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hakir/Desktop/Concolabs/masterbuilders/data/"/>
    </mc:Choice>
  </mc:AlternateContent>
  <xr:revisionPtr revIDLastSave="0" documentId="8_{BD9FC1D9-A5E8-1147-A764-D74F1F7C3AC6}" xr6:coauthVersionLast="47" xr6:coauthVersionMax="47" xr10:uidLastSave="{00000000-0000-0000-0000-000000000000}"/>
  <bookViews>
    <workbookView xWindow="0" yWindow="860" windowWidth="38400" windowHeight="23100" xr2:uid="{00000000-000D-0000-FFFF-FFFF00000000}"/>
  </bookViews>
  <sheets>
    <sheet name="Material " sheetId="1" r:id="rId1"/>
    <sheet name="Electrical " sheetId="2" r:id="rId2"/>
    <sheet name="Plumbing " sheetId="3" r:id="rId3"/>
    <sheet name="GI Pipes and Box bars" sheetId="4" state="hidden" r:id="rId4"/>
    <sheet name="Rates" sheetId="5" r:id="rId5"/>
    <sheet name="Steel Calculator" sheetId="6" r:id="rId6"/>
    <sheet name="Material" sheetId="7" state="hidden" r:id="rId7"/>
    <sheet name="Electrical" sheetId="8" state="hidden" r:id="rId8"/>
    <sheet name="Plumbing" sheetId="9" state="hidden" r:id="rId9"/>
  </sheets>
  <definedNames>
    <definedName name="Ton">'Steel Calculator'!$H$6</definedName>
    <definedName name="tonprice">'Steel Calculator'!$H$60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KRWwNN/NJMqmueT7Mxzc+zmtwY3FrIa9pa6t2T0goIM="/>
    </ext>
  </extLst>
</workbook>
</file>

<file path=xl/calcChain.xml><?xml version="1.0" encoding="utf-8"?>
<calcChain xmlns="http://schemas.openxmlformats.org/spreadsheetml/2006/main">
  <c r="P208" i="9" l="1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N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O36" i="8"/>
  <c r="O35" i="8"/>
  <c r="O34" i="8"/>
  <c r="O33" i="8"/>
  <c r="O32" i="8"/>
  <c r="O31" i="8"/>
  <c r="O30" i="8"/>
  <c r="R29" i="8"/>
  <c r="O29" i="8"/>
  <c r="R28" i="8"/>
  <c r="O28" i="8"/>
  <c r="R27" i="8"/>
  <c r="O27" i="8"/>
  <c r="R26" i="8"/>
  <c r="O26" i="8"/>
  <c r="R25" i="8"/>
  <c r="O25" i="8"/>
  <c r="R24" i="8"/>
  <c r="O24" i="8"/>
  <c r="R23" i="8"/>
  <c r="O23" i="8"/>
  <c r="R22" i="8"/>
  <c r="O22" i="8"/>
  <c r="R21" i="8"/>
  <c r="O21" i="8"/>
  <c r="R20" i="8"/>
  <c r="O20" i="8"/>
  <c r="R19" i="8"/>
  <c r="O19" i="8"/>
  <c r="R18" i="8"/>
  <c r="O18" i="8"/>
  <c r="R17" i="8"/>
  <c r="O17" i="8"/>
  <c r="R16" i="8"/>
  <c r="O16" i="8"/>
  <c r="R15" i="8"/>
  <c r="O15" i="8"/>
  <c r="R14" i="8"/>
  <c r="O14" i="8"/>
  <c r="R13" i="8"/>
  <c r="O13" i="8"/>
  <c r="R12" i="8"/>
  <c r="O12" i="8"/>
  <c r="R11" i="8"/>
  <c r="O11" i="8"/>
  <c r="R10" i="8"/>
  <c r="O10" i="8"/>
  <c r="R9" i="8"/>
  <c r="O9" i="8"/>
  <c r="R8" i="8"/>
  <c r="O8" i="8"/>
  <c r="R7" i="8"/>
  <c r="O7" i="8"/>
  <c r="R6" i="8"/>
  <c r="O6" i="8"/>
  <c r="G277" i="7"/>
  <c r="O275" i="7"/>
  <c r="O274" i="7"/>
  <c r="O273" i="7"/>
  <c r="O272" i="7"/>
  <c r="O271" i="7"/>
  <c r="O270" i="7"/>
  <c r="O269" i="7"/>
  <c r="O268" i="7"/>
  <c r="O267" i="7"/>
  <c r="O266" i="7"/>
  <c r="O265" i="7"/>
  <c r="O263" i="7"/>
  <c r="O262" i="7"/>
  <c r="O261" i="7"/>
  <c r="O260" i="7"/>
  <c r="O259" i="7"/>
  <c r="O258" i="7"/>
  <c r="O257" i="7"/>
  <c r="O256" i="7"/>
  <c r="S255" i="7"/>
  <c r="O255" i="7"/>
  <c r="O254" i="7"/>
  <c r="O253" i="7"/>
  <c r="O252" i="7"/>
  <c r="O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N235" i="7"/>
  <c r="S234" i="7"/>
  <c r="N234" i="7"/>
  <c r="S233" i="7"/>
  <c r="N233" i="7"/>
  <c r="S232" i="7"/>
  <c r="N232" i="7"/>
  <c r="S231" i="7"/>
  <c r="N231" i="7"/>
  <c r="S230" i="7"/>
  <c r="N230" i="7"/>
  <c r="S229" i="7"/>
  <c r="N229" i="7"/>
  <c r="S228" i="7"/>
  <c r="N228" i="7"/>
  <c r="S227" i="7"/>
  <c r="N227" i="7"/>
  <c r="S226" i="7"/>
  <c r="S225" i="7"/>
  <c r="S224" i="7"/>
  <c r="S223" i="7"/>
  <c r="N223" i="7"/>
  <c r="S222" i="7"/>
  <c r="N222" i="7"/>
  <c r="S221" i="7"/>
  <c r="N221" i="7"/>
  <c r="S220" i="7"/>
  <c r="N220" i="7"/>
  <c r="S219" i="7"/>
  <c r="N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N203" i="7"/>
  <c r="S202" i="7"/>
  <c r="N202" i="7"/>
  <c r="S201" i="7"/>
  <c r="S200" i="7"/>
  <c r="S199" i="7"/>
  <c r="S198" i="7"/>
  <c r="S197" i="7"/>
  <c r="S196" i="7"/>
  <c r="N196" i="7"/>
  <c r="S195" i="7"/>
  <c r="S194" i="7"/>
  <c r="S193" i="7"/>
  <c r="S192" i="7"/>
  <c r="S191" i="7"/>
  <c r="S190" i="7"/>
  <c r="S189" i="7"/>
  <c r="S188" i="7"/>
  <c r="S187" i="7"/>
  <c r="S186" i="7"/>
  <c r="N186" i="7"/>
  <c r="S185" i="7"/>
  <c r="N185" i="7"/>
  <c r="S184" i="7"/>
  <c r="N184" i="7"/>
  <c r="S183" i="7"/>
  <c r="S182" i="7"/>
  <c r="S181" i="7"/>
  <c r="S180" i="7"/>
  <c r="S179" i="7"/>
  <c r="S178" i="7"/>
  <c r="S177" i="7"/>
  <c r="S176" i="7"/>
  <c r="S175" i="7"/>
  <c r="S173" i="7"/>
  <c r="S172" i="7"/>
  <c r="S171" i="7"/>
  <c r="S169" i="7"/>
  <c r="S168" i="7"/>
  <c r="S167" i="7"/>
  <c r="S166" i="7"/>
  <c r="S165" i="7"/>
  <c r="S164" i="7"/>
  <c r="S163" i="7"/>
  <c r="S162" i="7"/>
  <c r="S161" i="7"/>
  <c r="S160" i="7"/>
  <c r="S159" i="7"/>
  <c r="N159" i="7"/>
  <c r="S158" i="7"/>
  <c r="N158" i="7"/>
  <c r="S157" i="7"/>
  <c r="S156" i="7"/>
  <c r="S155" i="7"/>
  <c r="N155" i="7"/>
  <c r="S154" i="7"/>
  <c r="N154" i="7"/>
  <c r="S153" i="7"/>
  <c r="N153" i="7"/>
  <c r="S152" i="7"/>
  <c r="N152" i="7"/>
  <c r="S151" i="7"/>
  <c r="S150" i="7"/>
  <c r="S149" i="7"/>
  <c r="N149" i="7"/>
  <c r="S148" i="7"/>
  <c r="B148" i="7"/>
  <c r="S147" i="7"/>
  <c r="S146" i="7"/>
  <c r="S145" i="7"/>
  <c r="S144" i="7"/>
  <c r="S143" i="7"/>
  <c r="S142" i="7"/>
  <c r="N142" i="7"/>
  <c r="S141" i="7"/>
  <c r="N141" i="7"/>
  <c r="S140" i="7"/>
  <c r="N140" i="7"/>
  <c r="S139" i="7"/>
  <c r="N139" i="7"/>
  <c r="S137" i="7"/>
  <c r="S136" i="7"/>
  <c r="S135" i="7"/>
  <c r="N135" i="7"/>
  <c r="S134" i="7"/>
  <c r="N134" i="7"/>
  <c r="S133" i="7"/>
  <c r="N133" i="7"/>
  <c r="S132" i="7"/>
  <c r="N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7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S56" i="7"/>
  <c r="O56" i="7"/>
  <c r="S55" i="7"/>
  <c r="S54" i="7"/>
  <c r="S53" i="7"/>
  <c r="S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N28" i="7"/>
  <c r="S27" i="7"/>
  <c r="S26" i="7"/>
  <c r="S25" i="7"/>
  <c r="S24" i="7"/>
  <c r="S23" i="7"/>
  <c r="S22" i="7"/>
  <c r="S21" i="7"/>
  <c r="S20" i="7"/>
  <c r="S19" i="7"/>
  <c r="S18" i="7"/>
  <c r="S17" i="7"/>
  <c r="V16" i="7"/>
  <c r="S16" i="7"/>
  <c r="S15" i="7"/>
  <c r="V14" i="7"/>
  <c r="S14" i="7"/>
  <c r="S13" i="7"/>
  <c r="S12" i="7"/>
  <c r="S11" i="7"/>
  <c r="S10" i="7"/>
  <c r="S9" i="7"/>
  <c r="O9" i="7"/>
  <c r="N9" i="7"/>
  <c r="S8" i="7"/>
  <c r="S7" i="7"/>
  <c r="S6" i="7"/>
  <c r="S5" i="7"/>
  <c r="H99" i="6"/>
  <c r="H95" i="6"/>
  <c r="H89" i="6"/>
  <c r="H85" i="6"/>
  <c r="H80" i="6"/>
  <c r="H75" i="6"/>
  <c r="H70" i="6"/>
  <c r="H65" i="6"/>
  <c r="H61" i="6"/>
  <c r="H60" i="6"/>
  <c r="H101" i="6" s="1"/>
  <c r="H6" i="6"/>
  <c r="H40" i="6" s="1"/>
  <c r="H411" i="5"/>
  <c r="AA230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0" i="5"/>
  <c r="AA169" i="5"/>
  <c r="AA168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8" i="5"/>
  <c r="AA59" i="5"/>
  <c r="AA58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1" i="5"/>
  <c r="AA30" i="5"/>
  <c r="AA29" i="5"/>
  <c r="AA25" i="5"/>
  <c r="AA21" i="5"/>
  <c r="AA20" i="5"/>
  <c r="AA19" i="5"/>
  <c r="AA18" i="5"/>
  <c r="AA17" i="5"/>
  <c r="AA16" i="5"/>
  <c r="AD15" i="5"/>
  <c r="AA15" i="5"/>
  <c r="AA14" i="5"/>
  <c r="AD13" i="5"/>
  <c r="AA13" i="5"/>
  <c r="AA12" i="5"/>
  <c r="AA11" i="5"/>
  <c r="AA10" i="5"/>
  <c r="AA9" i="5"/>
  <c r="AA8" i="5"/>
  <c r="AA7" i="5"/>
  <c r="AA6" i="5"/>
  <c r="AA5" i="5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0" i="4"/>
  <c r="Z61" i="4"/>
  <c r="Z60" i="4"/>
  <c r="Z56" i="4"/>
  <c r="Z55" i="4"/>
  <c r="Z54" i="4"/>
  <c r="Z53" i="4"/>
  <c r="Z52" i="4"/>
  <c r="Z51" i="4"/>
  <c r="Z50" i="4"/>
  <c r="Z49" i="4"/>
  <c r="Z48" i="4"/>
  <c r="Z47" i="4"/>
  <c r="Z46" i="4"/>
  <c r="V46" i="4"/>
  <c r="Z45" i="4"/>
  <c r="V45" i="4"/>
  <c r="Z44" i="4"/>
  <c r="V44" i="4"/>
  <c r="Z43" i="4"/>
  <c r="V43" i="4"/>
  <c r="Z42" i="4"/>
  <c r="V42" i="4"/>
  <c r="Z41" i="4"/>
  <c r="V41" i="4"/>
  <c r="Z40" i="4"/>
  <c r="V40" i="4"/>
  <c r="Z39" i="4"/>
  <c r="V39" i="4"/>
  <c r="Z38" i="4"/>
  <c r="V38" i="4"/>
  <c r="Z37" i="4"/>
  <c r="V37" i="4"/>
  <c r="Z36" i="4"/>
  <c r="V36" i="4"/>
  <c r="V35" i="4"/>
  <c r="V34" i="4"/>
  <c r="V33" i="4"/>
  <c r="Z32" i="4"/>
  <c r="V32" i="4"/>
  <c r="Z31" i="4"/>
  <c r="V31" i="4"/>
  <c r="Z30" i="4"/>
  <c r="V30" i="4"/>
  <c r="Z29" i="4"/>
  <c r="V29" i="4"/>
  <c r="Z28" i="4"/>
  <c r="V28" i="4"/>
  <c r="Z27" i="4"/>
  <c r="V27" i="4"/>
  <c r="Z26" i="4"/>
  <c r="V26" i="4"/>
  <c r="Z25" i="4"/>
  <c r="V25" i="4"/>
  <c r="Z24" i="4"/>
  <c r="V24" i="4"/>
  <c r="V23" i="4"/>
  <c r="V22" i="4"/>
  <c r="V21" i="4"/>
  <c r="V20" i="4"/>
  <c r="V19" i="4"/>
  <c r="V18" i="4"/>
  <c r="V17" i="4"/>
  <c r="Z16" i="4"/>
  <c r="V16" i="4"/>
  <c r="AC15" i="4"/>
  <c r="Z15" i="4"/>
  <c r="V15" i="4"/>
  <c r="Z14" i="4"/>
  <c r="V14" i="4"/>
  <c r="AC13" i="4"/>
  <c r="Z13" i="4"/>
  <c r="V13" i="4"/>
  <c r="Z12" i="4"/>
  <c r="V12" i="4"/>
  <c r="Z11" i="4"/>
  <c r="V11" i="4"/>
  <c r="Z10" i="4"/>
  <c r="V10" i="4"/>
  <c r="Z9" i="4"/>
  <c r="V9" i="4"/>
  <c r="Z8" i="4"/>
  <c r="V8" i="4"/>
  <c r="Z7" i="4"/>
  <c r="V7" i="4"/>
  <c r="Z6" i="4"/>
  <c r="V6" i="4"/>
  <c r="Z5" i="4"/>
  <c r="N387" i="3"/>
  <c r="N386" i="3"/>
  <c r="N385" i="3"/>
  <c r="N384" i="3"/>
  <c r="N383" i="3"/>
  <c r="N382" i="3"/>
  <c r="N381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H377" i="2"/>
  <c r="X325" i="1"/>
  <c r="W325" i="1"/>
  <c r="V325" i="1"/>
  <c r="U325" i="1"/>
  <c r="T325" i="1"/>
  <c r="X324" i="1"/>
  <c r="W324" i="1"/>
  <c r="V324" i="1"/>
  <c r="U324" i="1"/>
  <c r="T324" i="1"/>
  <c r="X323" i="1"/>
  <c r="W323" i="1"/>
  <c r="V323" i="1"/>
  <c r="U323" i="1"/>
  <c r="T323" i="1"/>
  <c r="X305" i="1"/>
  <c r="W305" i="1"/>
  <c r="V305" i="1"/>
  <c r="U305" i="1"/>
  <c r="T305" i="1"/>
  <c r="S305" i="1"/>
  <c r="X304" i="1"/>
  <c r="W304" i="1"/>
  <c r="V304" i="1"/>
  <c r="U304" i="1"/>
  <c r="T304" i="1"/>
  <c r="S304" i="1"/>
  <c r="X303" i="1"/>
  <c r="W303" i="1"/>
  <c r="V303" i="1"/>
  <c r="U303" i="1"/>
  <c r="T303" i="1"/>
  <c r="S303" i="1"/>
  <c r="X302" i="1"/>
  <c r="W302" i="1"/>
  <c r="V302" i="1"/>
  <c r="U302" i="1"/>
  <c r="T302" i="1"/>
  <c r="S302" i="1"/>
  <c r="N302" i="1"/>
  <c r="X301" i="1"/>
  <c r="W301" i="1"/>
  <c r="V301" i="1"/>
  <c r="U301" i="1"/>
  <c r="T301" i="1"/>
  <c r="S301" i="1"/>
  <c r="N301" i="1"/>
  <c r="X300" i="1"/>
  <c r="W300" i="1"/>
  <c r="V300" i="1"/>
  <c r="U300" i="1"/>
  <c r="T300" i="1"/>
  <c r="S300" i="1"/>
  <c r="X299" i="1"/>
  <c r="W299" i="1"/>
  <c r="V299" i="1"/>
  <c r="U299" i="1"/>
  <c r="T299" i="1"/>
  <c r="S299" i="1"/>
  <c r="X298" i="1"/>
  <c r="W298" i="1"/>
  <c r="V298" i="1"/>
  <c r="U298" i="1"/>
  <c r="T298" i="1"/>
  <c r="S298" i="1"/>
  <c r="N298" i="1"/>
  <c r="X297" i="1"/>
  <c r="W297" i="1"/>
  <c r="V297" i="1"/>
  <c r="U297" i="1"/>
  <c r="T297" i="1"/>
  <c r="S297" i="1"/>
  <c r="N297" i="1"/>
  <c r="X296" i="1"/>
  <c r="W296" i="1"/>
  <c r="V296" i="1"/>
  <c r="U296" i="1"/>
  <c r="T296" i="1"/>
  <c r="S296" i="1"/>
  <c r="N296" i="1"/>
  <c r="X295" i="1"/>
  <c r="W295" i="1"/>
  <c r="V295" i="1"/>
  <c r="U295" i="1"/>
  <c r="T295" i="1"/>
  <c r="S295" i="1"/>
  <c r="N295" i="1"/>
  <c r="X294" i="1"/>
  <c r="W294" i="1"/>
  <c r="V294" i="1"/>
  <c r="U294" i="1"/>
  <c r="T294" i="1"/>
  <c r="S294" i="1"/>
  <c r="U293" i="1"/>
  <c r="T293" i="1"/>
  <c r="S293" i="1"/>
  <c r="Y290" i="1"/>
  <c r="X290" i="1"/>
  <c r="W290" i="1"/>
  <c r="U290" i="1"/>
  <c r="T290" i="1"/>
  <c r="S290" i="1"/>
  <c r="R290" i="1"/>
  <c r="Q290" i="1"/>
  <c r="P290" i="1"/>
  <c r="O290" i="1"/>
  <c r="N290" i="1"/>
  <c r="Y288" i="1"/>
  <c r="X288" i="1"/>
  <c r="W288" i="1"/>
  <c r="V288" i="1"/>
  <c r="U288" i="1"/>
  <c r="T288" i="1"/>
  <c r="Y287" i="1"/>
  <c r="X287" i="1"/>
  <c r="W287" i="1"/>
  <c r="V287" i="1"/>
  <c r="U287" i="1"/>
  <c r="T287" i="1"/>
  <c r="Y286" i="1"/>
  <c r="X286" i="1"/>
  <c r="W286" i="1"/>
  <c r="V286" i="1"/>
  <c r="U286" i="1"/>
  <c r="T286" i="1"/>
  <c r="Y285" i="1"/>
  <c r="X285" i="1"/>
  <c r="W285" i="1"/>
  <c r="V285" i="1"/>
  <c r="U285" i="1"/>
  <c r="T285" i="1"/>
  <c r="X284" i="1"/>
  <c r="W284" i="1"/>
  <c r="V284" i="1"/>
  <c r="U284" i="1"/>
  <c r="T284" i="1"/>
  <c r="S284" i="1"/>
  <c r="N284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Y253" i="1"/>
  <c r="X253" i="1"/>
  <c r="W253" i="1"/>
  <c r="V253" i="1"/>
  <c r="U253" i="1"/>
  <c r="T253" i="1"/>
  <c r="S253" i="1"/>
  <c r="Y252" i="1"/>
  <c r="X252" i="1"/>
  <c r="W252" i="1"/>
  <c r="V252" i="1"/>
  <c r="U252" i="1"/>
  <c r="T252" i="1"/>
  <c r="S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Y249" i="1"/>
  <c r="V249" i="1"/>
  <c r="U249" i="1"/>
  <c r="T249" i="1"/>
  <c r="S249" i="1"/>
  <c r="Y248" i="1"/>
  <c r="U248" i="1"/>
  <c r="T248" i="1"/>
  <c r="S248" i="1"/>
  <c r="Y247" i="1"/>
  <c r="V247" i="1"/>
  <c r="U247" i="1"/>
  <c r="T247" i="1"/>
  <c r="S247" i="1"/>
  <c r="V245" i="1"/>
  <c r="U245" i="1"/>
  <c r="T245" i="1"/>
  <c r="S245" i="1"/>
  <c r="V244" i="1"/>
  <c r="U244" i="1"/>
  <c r="T244" i="1"/>
  <c r="S244" i="1"/>
  <c r="V243" i="1"/>
  <c r="U243" i="1"/>
  <c r="T243" i="1"/>
  <c r="S243" i="1"/>
  <c r="Y241" i="1"/>
  <c r="X241" i="1"/>
  <c r="W241" i="1"/>
  <c r="V241" i="1"/>
  <c r="U241" i="1"/>
  <c r="T241" i="1"/>
  <c r="S241" i="1"/>
  <c r="Y240" i="1"/>
  <c r="X240" i="1"/>
  <c r="W240" i="1"/>
  <c r="V240" i="1"/>
  <c r="U240" i="1"/>
  <c r="T240" i="1"/>
  <c r="S240" i="1"/>
  <c r="Y239" i="1"/>
  <c r="X239" i="1"/>
  <c r="W239" i="1"/>
  <c r="V239" i="1"/>
  <c r="U239" i="1"/>
  <c r="T239" i="1"/>
  <c r="S239" i="1"/>
  <c r="Y235" i="1"/>
  <c r="X235" i="1"/>
  <c r="W235" i="1"/>
  <c r="V235" i="1"/>
  <c r="U235" i="1"/>
  <c r="Y234" i="1"/>
  <c r="X234" i="1"/>
  <c r="W234" i="1"/>
  <c r="V234" i="1"/>
  <c r="U234" i="1"/>
  <c r="Y233" i="1"/>
  <c r="X233" i="1"/>
  <c r="W233" i="1"/>
  <c r="V233" i="1"/>
  <c r="U233" i="1"/>
  <c r="S233" i="1"/>
  <c r="R233" i="1"/>
  <c r="Q233" i="1"/>
  <c r="P233" i="1"/>
  <c r="O233" i="1"/>
  <c r="N233" i="1"/>
  <c r="Y232" i="1"/>
  <c r="X232" i="1"/>
  <c r="W232" i="1"/>
  <c r="V232" i="1"/>
  <c r="U232" i="1"/>
  <c r="Y231" i="1"/>
  <c r="X231" i="1"/>
  <c r="W231" i="1"/>
  <c r="V231" i="1"/>
  <c r="U231" i="1"/>
  <c r="Y230" i="1"/>
  <c r="X230" i="1"/>
  <c r="W230" i="1"/>
  <c r="V230" i="1"/>
  <c r="U230" i="1"/>
  <c r="Y229" i="1"/>
  <c r="X229" i="1"/>
  <c r="W229" i="1"/>
  <c r="V229" i="1"/>
  <c r="S229" i="1"/>
  <c r="R229" i="1"/>
  <c r="Q229" i="1"/>
  <c r="P229" i="1"/>
  <c r="O229" i="1"/>
  <c r="N229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Y221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Y204" i="1"/>
  <c r="X204" i="1"/>
  <c r="W204" i="1"/>
  <c r="V204" i="1"/>
  <c r="U204" i="1"/>
  <c r="T204" i="1"/>
  <c r="S204" i="1"/>
  <c r="R204" i="1"/>
  <c r="Q204" i="1"/>
  <c r="P204" i="1"/>
  <c r="Y203" i="1"/>
  <c r="X203" i="1"/>
  <c r="W203" i="1"/>
  <c r="V203" i="1"/>
  <c r="U203" i="1"/>
  <c r="T203" i="1"/>
  <c r="S203" i="1"/>
  <c r="R203" i="1"/>
  <c r="Q203" i="1"/>
  <c r="P203" i="1"/>
  <c r="Y202" i="1"/>
  <c r="X202" i="1"/>
  <c r="W202" i="1"/>
  <c r="V202" i="1"/>
  <c r="U202" i="1"/>
  <c r="T202" i="1"/>
  <c r="S202" i="1"/>
  <c r="R202" i="1"/>
  <c r="Q202" i="1"/>
  <c r="P202" i="1"/>
  <c r="Y196" i="1"/>
  <c r="X196" i="1"/>
  <c r="W196" i="1"/>
  <c r="V196" i="1"/>
  <c r="U196" i="1"/>
  <c r="T196" i="1"/>
  <c r="S196" i="1"/>
  <c r="R196" i="1"/>
  <c r="Q196" i="1"/>
  <c r="P196" i="1"/>
  <c r="Y195" i="1"/>
  <c r="X195" i="1"/>
  <c r="W195" i="1"/>
  <c r="V195" i="1"/>
  <c r="U195" i="1"/>
  <c r="T195" i="1"/>
  <c r="S195" i="1"/>
  <c r="R195" i="1"/>
  <c r="Q195" i="1"/>
  <c r="P195" i="1"/>
  <c r="Y192" i="1"/>
  <c r="X192" i="1"/>
  <c r="W192" i="1"/>
  <c r="V192" i="1"/>
  <c r="U192" i="1"/>
  <c r="Y191" i="1"/>
  <c r="X191" i="1"/>
  <c r="W191" i="1"/>
  <c r="V191" i="1"/>
  <c r="U191" i="1"/>
  <c r="T191" i="1"/>
  <c r="S191" i="1"/>
  <c r="R191" i="1"/>
  <c r="Q191" i="1"/>
  <c r="P191" i="1"/>
  <c r="Y190" i="1"/>
  <c r="X190" i="1"/>
  <c r="W190" i="1"/>
  <c r="V190" i="1"/>
  <c r="U190" i="1"/>
  <c r="T190" i="1"/>
  <c r="S190" i="1"/>
  <c r="R190" i="1"/>
  <c r="Q190" i="1"/>
  <c r="P190" i="1"/>
  <c r="Y181" i="1"/>
  <c r="X181" i="1"/>
  <c r="W181" i="1"/>
  <c r="V181" i="1"/>
  <c r="U181" i="1"/>
  <c r="U180" i="1"/>
  <c r="T180" i="1"/>
  <c r="S180" i="1"/>
  <c r="R180" i="1"/>
  <c r="Q180" i="1"/>
  <c r="P180" i="1"/>
  <c r="Y179" i="1"/>
  <c r="X179" i="1"/>
  <c r="W179" i="1"/>
  <c r="V179" i="1"/>
  <c r="U179" i="1"/>
  <c r="T179" i="1"/>
  <c r="S179" i="1"/>
  <c r="R179" i="1"/>
  <c r="Q179" i="1"/>
  <c r="P179" i="1"/>
  <c r="Y178" i="1"/>
  <c r="X178" i="1"/>
  <c r="W178" i="1"/>
  <c r="V178" i="1"/>
  <c r="U178" i="1"/>
  <c r="T178" i="1"/>
  <c r="S178" i="1"/>
  <c r="R178" i="1"/>
  <c r="Q178" i="1"/>
  <c r="P178" i="1"/>
  <c r="Y177" i="1"/>
  <c r="X177" i="1"/>
  <c r="W177" i="1"/>
  <c r="V177" i="1"/>
  <c r="U177" i="1"/>
  <c r="T177" i="1"/>
  <c r="S177" i="1"/>
  <c r="R177" i="1"/>
  <c r="Q177" i="1"/>
  <c r="P177" i="1"/>
  <c r="X175" i="1"/>
  <c r="W175" i="1"/>
  <c r="X174" i="1"/>
  <c r="W174" i="1"/>
  <c r="Y172" i="1"/>
  <c r="X172" i="1"/>
  <c r="W172" i="1"/>
  <c r="Y171" i="1"/>
  <c r="X171" i="1"/>
  <c r="W171" i="1"/>
  <c r="U171" i="1"/>
  <c r="T171" i="1"/>
  <c r="S171" i="1"/>
  <c r="X168" i="1"/>
  <c r="W168" i="1"/>
  <c r="V168" i="1"/>
  <c r="U168" i="1"/>
  <c r="U167" i="1"/>
  <c r="T167" i="1"/>
  <c r="S167" i="1"/>
  <c r="U166" i="1"/>
  <c r="T166" i="1"/>
  <c r="S166" i="1"/>
  <c r="O165" i="1"/>
  <c r="O164" i="1"/>
  <c r="X162" i="1"/>
  <c r="W162" i="1"/>
  <c r="V162" i="1"/>
  <c r="Y160" i="1"/>
  <c r="X160" i="1"/>
  <c r="W160" i="1"/>
  <c r="V160" i="1"/>
  <c r="U160" i="1"/>
  <c r="T160" i="1"/>
  <c r="Y159" i="1"/>
  <c r="X159" i="1"/>
  <c r="W159" i="1"/>
  <c r="V159" i="1"/>
  <c r="U159" i="1"/>
  <c r="O159" i="1"/>
  <c r="Y158" i="1"/>
  <c r="X158" i="1"/>
  <c r="W158" i="1"/>
  <c r="V158" i="1"/>
  <c r="U158" i="1"/>
  <c r="T158" i="1"/>
  <c r="S158" i="1"/>
  <c r="P158" i="1"/>
  <c r="O158" i="1"/>
  <c r="N158" i="1"/>
  <c r="Y157" i="1"/>
  <c r="X157" i="1"/>
  <c r="W157" i="1"/>
  <c r="V157" i="1"/>
  <c r="U157" i="1"/>
  <c r="T157" i="1"/>
  <c r="S157" i="1"/>
  <c r="P157" i="1"/>
  <c r="O157" i="1"/>
  <c r="N157" i="1"/>
  <c r="G157" i="1"/>
  <c r="Y156" i="1"/>
  <c r="X156" i="1"/>
  <c r="W156" i="1"/>
  <c r="V156" i="1"/>
  <c r="U156" i="1"/>
  <c r="N156" i="1"/>
  <c r="Y155" i="1"/>
  <c r="X155" i="1"/>
  <c r="W155" i="1"/>
  <c r="V155" i="1"/>
  <c r="U155" i="1"/>
  <c r="N155" i="1"/>
  <c r="Y154" i="1"/>
  <c r="X154" i="1"/>
  <c r="W154" i="1"/>
  <c r="V154" i="1"/>
  <c r="U154" i="1"/>
  <c r="Y153" i="1"/>
  <c r="X153" i="1"/>
  <c r="W153" i="1"/>
  <c r="V153" i="1"/>
  <c r="U153" i="1"/>
  <c r="T153" i="1"/>
  <c r="S153" i="1"/>
  <c r="N153" i="1"/>
  <c r="Y152" i="1"/>
  <c r="X152" i="1"/>
  <c r="W152" i="1"/>
  <c r="U152" i="1"/>
  <c r="T152" i="1"/>
  <c r="S152" i="1"/>
  <c r="Y151" i="1"/>
  <c r="X151" i="1"/>
  <c r="W151" i="1"/>
  <c r="V151" i="1"/>
  <c r="U151" i="1"/>
  <c r="T151" i="1"/>
  <c r="S151" i="1"/>
  <c r="X150" i="1"/>
  <c r="W150" i="1"/>
  <c r="V150" i="1"/>
  <c r="U150" i="1"/>
  <c r="T150" i="1"/>
  <c r="S150" i="1"/>
  <c r="Y149" i="1"/>
  <c r="X149" i="1"/>
  <c r="W149" i="1"/>
  <c r="V149" i="1"/>
  <c r="Y148" i="1"/>
  <c r="X148" i="1"/>
  <c r="W148" i="1"/>
  <c r="V148" i="1"/>
  <c r="Y147" i="1"/>
  <c r="X147" i="1"/>
  <c r="W147" i="1"/>
  <c r="V147" i="1"/>
  <c r="P147" i="1"/>
  <c r="O147" i="1"/>
  <c r="Y146" i="1"/>
  <c r="X146" i="1"/>
  <c r="W146" i="1"/>
  <c r="V146" i="1"/>
  <c r="Y145" i="1"/>
  <c r="X145" i="1"/>
  <c r="W145" i="1"/>
  <c r="V145" i="1"/>
  <c r="V143" i="1"/>
  <c r="V142" i="1"/>
  <c r="U142" i="1"/>
  <c r="T142" i="1"/>
  <c r="S142" i="1"/>
  <c r="X140" i="1"/>
  <c r="W140" i="1"/>
  <c r="V140" i="1"/>
  <c r="U140" i="1"/>
  <c r="T140" i="1"/>
  <c r="S140" i="1"/>
  <c r="X139" i="1"/>
  <c r="W139" i="1"/>
  <c r="V139" i="1"/>
  <c r="U139" i="1"/>
  <c r="T139" i="1"/>
  <c r="S139" i="1"/>
  <c r="X138" i="1"/>
  <c r="W138" i="1"/>
  <c r="V138" i="1"/>
  <c r="U138" i="1"/>
  <c r="T138" i="1"/>
  <c r="S138" i="1"/>
  <c r="X137" i="1"/>
  <c r="W137" i="1"/>
  <c r="V137" i="1"/>
  <c r="U137" i="1"/>
  <c r="T137" i="1"/>
  <c r="S137" i="1"/>
  <c r="X135" i="1"/>
  <c r="W135" i="1"/>
  <c r="V135" i="1"/>
  <c r="T135" i="1"/>
  <c r="S135" i="1"/>
  <c r="Q135" i="1"/>
  <c r="P135" i="1"/>
  <c r="X134" i="1"/>
  <c r="W134" i="1"/>
  <c r="V134" i="1"/>
  <c r="U134" i="1"/>
  <c r="T134" i="1"/>
  <c r="S134" i="1"/>
  <c r="Q134" i="1"/>
  <c r="P134" i="1"/>
  <c r="X133" i="1"/>
  <c r="W133" i="1"/>
  <c r="V133" i="1"/>
  <c r="T133" i="1"/>
  <c r="S133" i="1"/>
  <c r="Q133" i="1"/>
  <c r="P133" i="1"/>
  <c r="X132" i="1"/>
  <c r="W132" i="1"/>
  <c r="V132" i="1"/>
  <c r="T132" i="1"/>
  <c r="S132" i="1"/>
  <c r="Q132" i="1"/>
  <c r="P132" i="1"/>
  <c r="X131" i="1"/>
  <c r="W131" i="1"/>
  <c r="V131" i="1"/>
  <c r="U131" i="1"/>
  <c r="T131" i="1"/>
  <c r="S131" i="1"/>
  <c r="Q131" i="1"/>
  <c r="P131" i="1"/>
  <c r="X130" i="1"/>
  <c r="W130" i="1"/>
  <c r="V130" i="1"/>
  <c r="U130" i="1"/>
  <c r="T130" i="1"/>
  <c r="S130" i="1"/>
  <c r="Q130" i="1"/>
  <c r="P130" i="1"/>
  <c r="V128" i="1"/>
  <c r="U128" i="1"/>
  <c r="T128" i="1"/>
  <c r="S128" i="1"/>
  <c r="P128" i="1"/>
  <c r="O128" i="1"/>
  <c r="V127" i="1"/>
  <c r="U127" i="1"/>
  <c r="T127" i="1"/>
  <c r="S127" i="1"/>
  <c r="P127" i="1"/>
  <c r="O127" i="1"/>
  <c r="V126" i="1"/>
  <c r="U126" i="1"/>
  <c r="T126" i="1"/>
  <c r="S126" i="1"/>
  <c r="P126" i="1"/>
  <c r="O126" i="1"/>
  <c r="V125" i="1"/>
  <c r="U125" i="1"/>
  <c r="T125" i="1"/>
  <c r="S125" i="1"/>
  <c r="P125" i="1"/>
  <c r="O125" i="1"/>
  <c r="V124" i="1"/>
  <c r="U124" i="1"/>
  <c r="T124" i="1"/>
  <c r="S124" i="1"/>
  <c r="P124" i="1"/>
  <c r="O124" i="1"/>
  <c r="V123" i="1"/>
  <c r="U123" i="1"/>
  <c r="T123" i="1"/>
  <c r="S123" i="1"/>
  <c r="P123" i="1"/>
  <c r="O123" i="1"/>
  <c r="V122" i="1"/>
  <c r="U122" i="1"/>
  <c r="T122" i="1"/>
  <c r="S122" i="1"/>
  <c r="P122" i="1"/>
  <c r="O122" i="1"/>
  <c r="V121" i="1"/>
  <c r="U121" i="1"/>
  <c r="T121" i="1"/>
  <c r="S121" i="1"/>
  <c r="P121" i="1"/>
  <c r="O121" i="1"/>
  <c r="V120" i="1"/>
  <c r="U120" i="1"/>
  <c r="T120" i="1"/>
  <c r="S120" i="1"/>
  <c r="P120" i="1"/>
  <c r="O120" i="1"/>
  <c r="V119" i="1"/>
  <c r="U119" i="1"/>
  <c r="T119" i="1"/>
  <c r="S119" i="1"/>
  <c r="P119" i="1"/>
  <c r="O119" i="1"/>
  <c r="V118" i="1"/>
  <c r="U118" i="1"/>
  <c r="T118" i="1"/>
  <c r="S118" i="1"/>
  <c r="P118" i="1"/>
  <c r="O118" i="1"/>
  <c r="V117" i="1"/>
  <c r="U117" i="1"/>
  <c r="T117" i="1"/>
  <c r="S117" i="1"/>
  <c r="P117" i="1"/>
  <c r="O117" i="1"/>
  <c r="V116" i="1"/>
  <c r="U116" i="1"/>
  <c r="T116" i="1"/>
  <c r="S116" i="1"/>
  <c r="P116" i="1"/>
  <c r="O116" i="1"/>
  <c r="V115" i="1"/>
  <c r="U115" i="1"/>
  <c r="T115" i="1"/>
  <c r="S115" i="1"/>
  <c r="P115" i="1"/>
  <c r="O115" i="1"/>
  <c r="V114" i="1"/>
  <c r="U114" i="1"/>
  <c r="T114" i="1"/>
  <c r="S114" i="1"/>
  <c r="P114" i="1"/>
  <c r="O114" i="1"/>
  <c r="V113" i="1"/>
  <c r="U113" i="1"/>
  <c r="T113" i="1"/>
  <c r="S113" i="1"/>
  <c r="P113" i="1"/>
  <c r="O113" i="1"/>
  <c r="V112" i="1"/>
  <c r="U112" i="1"/>
  <c r="T112" i="1"/>
  <c r="S112" i="1"/>
  <c r="P112" i="1"/>
  <c r="O112" i="1"/>
  <c r="V110" i="1"/>
  <c r="U110" i="1"/>
  <c r="T110" i="1"/>
  <c r="S110" i="1"/>
  <c r="P110" i="1"/>
  <c r="O110" i="1"/>
  <c r="V109" i="1"/>
  <c r="U109" i="1"/>
  <c r="T109" i="1"/>
  <c r="S109" i="1"/>
  <c r="P109" i="1"/>
  <c r="O109" i="1"/>
  <c r="V108" i="1"/>
  <c r="U108" i="1"/>
  <c r="T108" i="1"/>
  <c r="S108" i="1"/>
  <c r="P108" i="1"/>
  <c r="O108" i="1"/>
  <c r="V107" i="1"/>
  <c r="U107" i="1"/>
  <c r="T107" i="1"/>
  <c r="S107" i="1"/>
  <c r="P107" i="1"/>
  <c r="O107" i="1"/>
  <c r="T106" i="1"/>
  <c r="S106" i="1"/>
  <c r="P106" i="1"/>
  <c r="O106" i="1"/>
  <c r="V105" i="1"/>
  <c r="U105" i="1"/>
  <c r="T105" i="1"/>
  <c r="S105" i="1"/>
  <c r="P105" i="1"/>
  <c r="O105" i="1"/>
  <c r="V104" i="1"/>
  <c r="U104" i="1"/>
  <c r="T104" i="1"/>
  <c r="S104" i="1"/>
  <c r="P104" i="1"/>
  <c r="O104" i="1"/>
  <c r="V103" i="1"/>
  <c r="U103" i="1"/>
  <c r="T103" i="1"/>
  <c r="S103" i="1"/>
  <c r="P103" i="1"/>
  <c r="O103" i="1"/>
  <c r="V102" i="1"/>
  <c r="U102" i="1"/>
  <c r="T102" i="1"/>
  <c r="S102" i="1"/>
  <c r="P102" i="1"/>
  <c r="O102" i="1"/>
  <c r="V101" i="1"/>
  <c r="U101" i="1"/>
  <c r="T101" i="1"/>
  <c r="S101" i="1"/>
  <c r="P101" i="1"/>
  <c r="O101" i="1"/>
  <c r="V100" i="1"/>
  <c r="U100" i="1"/>
  <c r="T100" i="1"/>
  <c r="S100" i="1"/>
  <c r="P100" i="1"/>
  <c r="O100" i="1"/>
  <c r="V99" i="1"/>
  <c r="U99" i="1"/>
  <c r="T99" i="1"/>
  <c r="S99" i="1"/>
  <c r="P99" i="1"/>
  <c r="O99" i="1"/>
  <c r="V98" i="1"/>
  <c r="U98" i="1"/>
  <c r="T98" i="1"/>
  <c r="S98" i="1"/>
  <c r="P98" i="1"/>
  <c r="O98" i="1"/>
  <c r="Y96" i="1"/>
  <c r="X96" i="1"/>
  <c r="W96" i="1"/>
  <c r="V96" i="1"/>
  <c r="U96" i="1"/>
  <c r="Y95" i="1"/>
  <c r="X95" i="1"/>
  <c r="W95" i="1"/>
  <c r="V95" i="1"/>
  <c r="U95" i="1"/>
  <c r="Y94" i="1"/>
  <c r="X94" i="1"/>
  <c r="W94" i="1"/>
  <c r="V94" i="1"/>
  <c r="U94" i="1"/>
  <c r="Y93" i="1"/>
  <c r="X93" i="1"/>
  <c r="W93" i="1"/>
  <c r="V93" i="1"/>
  <c r="U93" i="1"/>
  <c r="Y92" i="1"/>
  <c r="X92" i="1"/>
  <c r="W92" i="1"/>
  <c r="V92" i="1"/>
  <c r="U92" i="1"/>
  <c r="Y91" i="1"/>
  <c r="X91" i="1"/>
  <c r="W91" i="1"/>
  <c r="V91" i="1"/>
  <c r="U91" i="1"/>
  <c r="X88" i="1"/>
  <c r="Y88" i="1" s="1"/>
  <c r="W88" i="1"/>
  <c r="V88" i="1"/>
  <c r="U88" i="1"/>
  <c r="T88" i="1"/>
  <c r="S88" i="1"/>
  <c r="R88" i="1"/>
  <c r="Q88" i="1"/>
  <c r="P88" i="1"/>
  <c r="O88" i="1"/>
  <c r="X87" i="1"/>
  <c r="Y87" i="1" s="1"/>
  <c r="W87" i="1"/>
  <c r="V87" i="1"/>
  <c r="U87" i="1"/>
  <c r="T87" i="1"/>
  <c r="S87" i="1"/>
  <c r="R87" i="1"/>
  <c r="Q87" i="1"/>
  <c r="P87" i="1"/>
  <c r="O87" i="1"/>
  <c r="X86" i="1"/>
  <c r="Y86" i="1" s="1"/>
  <c r="W86" i="1"/>
  <c r="V86" i="1"/>
  <c r="U86" i="1"/>
  <c r="T86" i="1"/>
  <c r="S86" i="1"/>
  <c r="R86" i="1"/>
  <c r="Q86" i="1"/>
  <c r="P86" i="1"/>
  <c r="O86" i="1"/>
  <c r="X85" i="1"/>
  <c r="Y85" i="1" s="1"/>
  <c r="W85" i="1"/>
  <c r="V85" i="1"/>
  <c r="U85" i="1"/>
  <c r="T85" i="1"/>
  <c r="S85" i="1"/>
  <c r="R85" i="1"/>
  <c r="Q85" i="1"/>
  <c r="P85" i="1"/>
  <c r="O85" i="1"/>
  <c r="X84" i="1"/>
  <c r="Y84" i="1" s="1"/>
  <c r="W84" i="1"/>
  <c r="V84" i="1"/>
  <c r="U84" i="1"/>
  <c r="T84" i="1"/>
  <c r="S84" i="1"/>
  <c r="R84" i="1"/>
  <c r="Q84" i="1"/>
  <c r="P84" i="1"/>
  <c r="O84" i="1"/>
  <c r="X83" i="1"/>
  <c r="Y83" i="1" s="1"/>
  <c r="W83" i="1"/>
  <c r="V83" i="1"/>
  <c r="U83" i="1"/>
  <c r="T83" i="1"/>
  <c r="S83" i="1"/>
  <c r="R83" i="1"/>
  <c r="Q83" i="1"/>
  <c r="P83" i="1"/>
  <c r="O83" i="1"/>
  <c r="X82" i="1"/>
  <c r="Y82" i="1" s="1"/>
  <c r="W82" i="1"/>
  <c r="V82" i="1"/>
  <c r="U82" i="1"/>
  <c r="T82" i="1"/>
  <c r="S82" i="1"/>
  <c r="R82" i="1"/>
  <c r="Q82" i="1"/>
  <c r="P82" i="1"/>
  <c r="O82" i="1"/>
  <c r="X81" i="1"/>
  <c r="Y81" i="1" s="1"/>
  <c r="W81" i="1"/>
  <c r="V81" i="1"/>
  <c r="U81" i="1"/>
  <c r="T81" i="1"/>
  <c r="S81" i="1"/>
  <c r="R81" i="1"/>
  <c r="Q81" i="1"/>
  <c r="P81" i="1"/>
  <c r="O81" i="1"/>
  <c r="X80" i="1"/>
  <c r="Y80" i="1" s="1"/>
  <c r="W80" i="1"/>
  <c r="V80" i="1"/>
  <c r="U80" i="1"/>
  <c r="T80" i="1"/>
  <c r="S80" i="1"/>
  <c r="R80" i="1"/>
  <c r="Q80" i="1"/>
  <c r="P80" i="1"/>
  <c r="O80" i="1"/>
  <c r="X79" i="1"/>
  <c r="Y79" i="1" s="1"/>
  <c r="W79" i="1"/>
  <c r="V79" i="1"/>
  <c r="U79" i="1"/>
  <c r="T79" i="1"/>
  <c r="S79" i="1"/>
  <c r="R79" i="1"/>
  <c r="Q79" i="1"/>
  <c r="P79" i="1"/>
  <c r="O79" i="1"/>
  <c r="X78" i="1"/>
  <c r="Y78" i="1" s="1"/>
  <c r="W78" i="1"/>
  <c r="V78" i="1"/>
  <c r="U78" i="1"/>
  <c r="T78" i="1"/>
  <c r="S78" i="1"/>
  <c r="R78" i="1"/>
  <c r="Q78" i="1"/>
  <c r="P78" i="1"/>
  <c r="O78" i="1"/>
  <c r="Y76" i="1"/>
  <c r="X76" i="1"/>
  <c r="W76" i="1"/>
  <c r="V76" i="1"/>
  <c r="U76" i="1"/>
  <c r="T76" i="1"/>
  <c r="S76" i="1"/>
  <c r="R76" i="1"/>
  <c r="Q76" i="1"/>
  <c r="P76" i="1"/>
  <c r="O76" i="1"/>
  <c r="Y75" i="1"/>
  <c r="X75" i="1"/>
  <c r="W75" i="1"/>
  <c r="V75" i="1"/>
  <c r="U75" i="1"/>
  <c r="T75" i="1"/>
  <c r="S75" i="1"/>
  <c r="R75" i="1"/>
  <c r="Q75" i="1"/>
  <c r="P75" i="1"/>
  <c r="O75" i="1"/>
  <c r="Y74" i="1"/>
  <c r="X74" i="1"/>
  <c r="W74" i="1"/>
  <c r="V74" i="1"/>
  <c r="U74" i="1"/>
  <c r="T74" i="1"/>
  <c r="S74" i="1"/>
  <c r="R74" i="1"/>
  <c r="Q74" i="1"/>
  <c r="P74" i="1"/>
  <c r="O74" i="1"/>
  <c r="Y73" i="1"/>
  <c r="X73" i="1"/>
  <c r="W73" i="1"/>
  <c r="V73" i="1"/>
  <c r="U73" i="1"/>
  <c r="T73" i="1"/>
  <c r="S73" i="1"/>
  <c r="R73" i="1"/>
  <c r="Q73" i="1"/>
  <c r="P73" i="1"/>
  <c r="O73" i="1"/>
  <c r="Y72" i="1"/>
  <c r="X72" i="1"/>
  <c r="W72" i="1"/>
  <c r="V72" i="1"/>
  <c r="U72" i="1"/>
  <c r="T72" i="1"/>
  <c r="S72" i="1"/>
  <c r="R72" i="1"/>
  <c r="Q72" i="1"/>
  <c r="P72" i="1"/>
  <c r="O72" i="1"/>
  <c r="Y71" i="1"/>
  <c r="X71" i="1"/>
  <c r="W71" i="1"/>
  <c r="V71" i="1"/>
  <c r="U71" i="1"/>
  <c r="T71" i="1"/>
  <c r="S71" i="1"/>
  <c r="R71" i="1"/>
  <c r="Q71" i="1"/>
  <c r="P71" i="1"/>
  <c r="O71" i="1"/>
  <c r="Y70" i="1"/>
  <c r="X70" i="1"/>
  <c r="W70" i="1"/>
  <c r="V70" i="1"/>
  <c r="U70" i="1"/>
  <c r="S70" i="1"/>
  <c r="R70" i="1"/>
  <c r="Q70" i="1"/>
  <c r="P70" i="1"/>
  <c r="O70" i="1"/>
  <c r="U69" i="1"/>
  <c r="T69" i="1"/>
  <c r="S69" i="1"/>
  <c r="R69" i="1"/>
  <c r="Q69" i="1"/>
  <c r="P69" i="1"/>
  <c r="O69" i="1"/>
  <c r="Y68" i="1"/>
  <c r="X68" i="1"/>
  <c r="W68" i="1"/>
  <c r="V68" i="1"/>
  <c r="U68" i="1"/>
  <c r="T68" i="1"/>
  <c r="S68" i="1"/>
  <c r="R68" i="1"/>
  <c r="Q68" i="1"/>
  <c r="P68" i="1"/>
  <c r="O68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S63" i="1"/>
  <c r="R63" i="1"/>
  <c r="Q63" i="1"/>
  <c r="P63" i="1"/>
  <c r="O63" i="1"/>
  <c r="N63" i="1"/>
  <c r="X62" i="1"/>
  <c r="Y62" i="1" s="1"/>
  <c r="W62" i="1"/>
  <c r="V62" i="1"/>
  <c r="U62" i="1"/>
  <c r="S62" i="1"/>
  <c r="R62" i="1"/>
  <c r="Q62" i="1"/>
  <c r="P62" i="1"/>
  <c r="O62" i="1"/>
  <c r="N62" i="1"/>
  <c r="X61" i="1"/>
  <c r="Y61" i="1" s="1"/>
  <c r="W61" i="1"/>
  <c r="V61" i="1"/>
  <c r="U61" i="1"/>
  <c r="S61" i="1"/>
  <c r="R61" i="1"/>
  <c r="Q61" i="1"/>
  <c r="P61" i="1"/>
  <c r="O61" i="1"/>
  <c r="N61" i="1"/>
  <c r="X60" i="1"/>
  <c r="Y60" i="1" s="1"/>
  <c r="W60" i="1"/>
  <c r="V60" i="1"/>
  <c r="U60" i="1"/>
  <c r="S60" i="1"/>
  <c r="R60" i="1"/>
  <c r="Q60" i="1"/>
  <c r="P60" i="1"/>
  <c r="O60" i="1"/>
  <c r="N60" i="1"/>
  <c r="Z58" i="1"/>
  <c r="Y58" i="1"/>
  <c r="X58" i="1"/>
  <c r="W58" i="1"/>
  <c r="V58" i="1"/>
  <c r="U58" i="1"/>
  <c r="T58" i="1"/>
  <c r="S58" i="1"/>
  <c r="Q58" i="1"/>
  <c r="P58" i="1"/>
  <c r="Z57" i="1"/>
  <c r="Y57" i="1"/>
  <c r="X57" i="1"/>
  <c r="W57" i="1"/>
  <c r="V57" i="1"/>
  <c r="U57" i="1"/>
  <c r="T57" i="1"/>
  <c r="S57" i="1"/>
  <c r="Q57" i="1"/>
  <c r="P57" i="1"/>
  <c r="Z56" i="1"/>
  <c r="Y56" i="1"/>
  <c r="X56" i="1"/>
  <c r="W56" i="1"/>
  <c r="V56" i="1"/>
  <c r="U56" i="1"/>
  <c r="T56" i="1"/>
  <c r="S56" i="1"/>
  <c r="Q56" i="1"/>
  <c r="P56" i="1"/>
  <c r="Z55" i="1"/>
  <c r="Y55" i="1"/>
  <c r="X55" i="1"/>
  <c r="W55" i="1"/>
  <c r="V55" i="1"/>
  <c r="U55" i="1"/>
  <c r="T55" i="1"/>
  <c r="S55" i="1"/>
  <c r="P55" i="1"/>
  <c r="O55" i="1"/>
  <c r="N55" i="1"/>
  <c r="Z54" i="1"/>
  <c r="Y54" i="1"/>
  <c r="X54" i="1"/>
  <c r="W54" i="1"/>
  <c r="V54" i="1"/>
  <c r="U54" i="1"/>
  <c r="T54" i="1"/>
  <c r="S54" i="1"/>
  <c r="Z53" i="1"/>
  <c r="Y53" i="1"/>
  <c r="X53" i="1"/>
  <c r="W53" i="1"/>
  <c r="Z52" i="1"/>
  <c r="Y52" i="1"/>
  <c r="X52" i="1"/>
  <c r="W52" i="1"/>
  <c r="Y51" i="1"/>
  <c r="X51" i="1"/>
  <c r="W51" i="1"/>
  <c r="V51" i="1"/>
  <c r="U51" i="1"/>
  <c r="T51" i="1"/>
  <c r="S51" i="1"/>
  <c r="Y50" i="1"/>
  <c r="X50" i="1"/>
  <c r="W50" i="1"/>
  <c r="V50" i="1"/>
  <c r="U50" i="1"/>
  <c r="T50" i="1"/>
  <c r="S50" i="1"/>
  <c r="Y49" i="1"/>
  <c r="X49" i="1"/>
  <c r="W49" i="1"/>
  <c r="V49" i="1"/>
  <c r="U49" i="1"/>
  <c r="T49" i="1"/>
  <c r="S49" i="1"/>
  <c r="Y48" i="1"/>
  <c r="X48" i="1"/>
  <c r="W48" i="1"/>
  <c r="V48" i="1"/>
  <c r="U48" i="1"/>
  <c r="T48" i="1"/>
  <c r="S48" i="1"/>
  <c r="Y47" i="1"/>
  <c r="X47" i="1"/>
  <c r="W47" i="1"/>
  <c r="V47" i="1"/>
  <c r="U47" i="1"/>
  <c r="T47" i="1"/>
  <c r="S47" i="1"/>
  <c r="Y46" i="1"/>
  <c r="X46" i="1"/>
  <c r="W46" i="1"/>
  <c r="V46" i="1"/>
  <c r="U46" i="1"/>
  <c r="T46" i="1"/>
  <c r="S46" i="1"/>
  <c r="Y45" i="1"/>
  <c r="X45" i="1"/>
  <c r="W45" i="1"/>
  <c r="V45" i="1"/>
  <c r="U45" i="1"/>
  <c r="T45" i="1"/>
  <c r="S45" i="1"/>
  <c r="Y44" i="1"/>
  <c r="X44" i="1"/>
  <c r="W44" i="1"/>
  <c r="V44" i="1"/>
  <c r="U44" i="1"/>
  <c r="T44" i="1"/>
  <c r="S44" i="1"/>
  <c r="Y43" i="1"/>
  <c r="X43" i="1"/>
  <c r="W43" i="1"/>
  <c r="V43" i="1"/>
  <c r="U43" i="1"/>
  <c r="T43" i="1"/>
  <c r="S43" i="1"/>
  <c r="Z40" i="1"/>
  <c r="Y40" i="1"/>
  <c r="X40" i="1"/>
  <c r="W40" i="1"/>
  <c r="V40" i="1"/>
  <c r="U40" i="1"/>
  <c r="T40" i="1"/>
  <c r="S40" i="1"/>
  <c r="Z39" i="1"/>
  <c r="Y39" i="1"/>
  <c r="X39" i="1"/>
  <c r="W39" i="1"/>
  <c r="V39" i="1"/>
  <c r="U39" i="1"/>
  <c r="T39" i="1"/>
  <c r="S39" i="1"/>
  <c r="Z38" i="1"/>
  <c r="Y38" i="1"/>
  <c r="X38" i="1"/>
  <c r="W38" i="1"/>
  <c r="V38" i="1"/>
  <c r="U38" i="1"/>
  <c r="T38" i="1"/>
  <c r="S38" i="1"/>
  <c r="Z37" i="1"/>
  <c r="Y37" i="1"/>
  <c r="X37" i="1"/>
  <c r="W37" i="1"/>
  <c r="V37" i="1"/>
  <c r="U37" i="1"/>
  <c r="T37" i="1"/>
  <c r="S37" i="1"/>
  <c r="Z36" i="1"/>
  <c r="Y36" i="1"/>
  <c r="X36" i="1"/>
  <c r="W36" i="1"/>
  <c r="V36" i="1"/>
  <c r="U36" i="1"/>
  <c r="T36" i="1"/>
  <c r="S36" i="1"/>
  <c r="Z35" i="1"/>
  <c r="Y35" i="1"/>
  <c r="X35" i="1"/>
  <c r="W35" i="1"/>
  <c r="V35" i="1"/>
  <c r="U35" i="1"/>
  <c r="T35" i="1"/>
  <c r="S35" i="1"/>
  <c r="Z34" i="1"/>
  <c r="Y34" i="1"/>
  <c r="X34" i="1"/>
  <c r="W34" i="1"/>
  <c r="V34" i="1"/>
  <c r="U34" i="1"/>
  <c r="T34" i="1"/>
  <c r="S34" i="1"/>
  <c r="Z33" i="1"/>
  <c r="Y33" i="1"/>
  <c r="X33" i="1"/>
  <c r="W33" i="1"/>
  <c r="V33" i="1"/>
  <c r="U33" i="1"/>
  <c r="T33" i="1"/>
  <c r="S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Z26" i="1"/>
  <c r="Y26" i="1"/>
  <c r="X26" i="1"/>
  <c r="W26" i="1"/>
  <c r="V26" i="1"/>
  <c r="Z25" i="1"/>
  <c r="Y25" i="1"/>
  <c r="X25" i="1"/>
  <c r="W25" i="1"/>
  <c r="V25" i="1"/>
  <c r="Z16" i="1"/>
  <c r="O16" i="1"/>
  <c r="Z15" i="1"/>
  <c r="Z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Y11" i="1"/>
  <c r="X11" i="1"/>
  <c r="V11" i="1"/>
  <c r="U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Z9" i="1"/>
  <c r="Y5" i="1"/>
  <c r="H12" i="6" l="1"/>
  <c r="H22" i="6"/>
  <c r="H32" i="6"/>
  <c r="H41" i="6"/>
  <c r="H63" i="6"/>
  <c r="H72" i="6"/>
  <c r="H82" i="6"/>
  <c r="H92" i="6"/>
  <c r="H102" i="6"/>
  <c r="H14" i="6"/>
  <c r="H23" i="6"/>
  <c r="H33" i="6"/>
  <c r="H43" i="6"/>
  <c r="H64" i="6"/>
  <c r="H73" i="6"/>
  <c r="H83" i="6"/>
  <c r="H94" i="6"/>
  <c r="H104" i="6"/>
  <c r="H15" i="6"/>
  <c r="H24" i="6"/>
  <c r="H34" i="6"/>
  <c r="H44" i="6"/>
  <c r="H7" i="6"/>
  <c r="H16" i="6"/>
  <c r="H25" i="6"/>
  <c r="H35" i="6"/>
  <c r="H46" i="6"/>
  <c r="H66" i="6"/>
  <c r="H76" i="6"/>
  <c r="H86" i="6"/>
  <c r="H96" i="6"/>
  <c r="H8" i="6"/>
  <c r="H17" i="6"/>
  <c r="H27" i="6"/>
  <c r="H37" i="6"/>
  <c r="H48" i="6"/>
  <c r="H68" i="6"/>
  <c r="H77" i="6"/>
  <c r="H87" i="6"/>
  <c r="H97" i="6"/>
  <c r="H9" i="6"/>
  <c r="H18" i="6"/>
  <c r="H28" i="6"/>
  <c r="H38" i="6"/>
  <c r="H69" i="6"/>
  <c r="H78" i="6"/>
  <c r="H88" i="6"/>
  <c r="H98" i="6"/>
  <c r="H10" i="6"/>
  <c r="H19" i="6"/>
  <c r="H29" i="6"/>
  <c r="H39" i="6"/>
  <c r="H11" i="6"/>
  <c r="H20" i="6"/>
  <c r="H30" i="6"/>
  <c r="H62" i="6"/>
  <c r="H71" i="6"/>
  <c r="H81" i="6"/>
  <c r="H9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5" authorId="0" shapeId="0" xr:uid="{00000000-0006-0000-0000-00005C020000}">
      <text>
        <r>
          <rPr>
            <sz val="11"/>
            <color rgb="FF000000"/>
            <rFont val="Calibri"/>
            <scheme val="minor"/>
          </rPr>
          <t>======
ID#AAABUz9wsBA
tc={76D0757A-DC75-4074-BA26-D413C3E57220}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T5" authorId="0" shapeId="0" xr:uid="{00000000-0006-0000-0000-00007A020000}">
      <text>
        <r>
          <rPr>
            <sz val="11"/>
            <color rgb="FF000000"/>
            <rFont val="Calibri"/>
            <scheme val="minor"/>
          </rPr>
          <t>======
ID#AAABUz9wr_E
tc={A96FA006-5C13-4A99-81C7-A7203D84A43B}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U5" authorId="0" shapeId="0" xr:uid="{00000000-0006-0000-0000-00009B020000}">
      <text>
        <r>
          <rPr>
            <sz val="11"/>
            <color rgb="FF000000"/>
            <rFont val="Calibri"/>
            <scheme val="minor"/>
          </rPr>
          <t>======
ID#AAABUz9wr80
tc={5DB1D2FF-1CFD-4B54-BC60-D768744BC618}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V5" authorId="0" shapeId="0" xr:uid="{00000000-0006-0000-0000-000039010000}">
      <text>
        <r>
          <rPr>
            <sz val="11"/>
            <color rgb="FF000000"/>
            <rFont val="Calibri"/>
            <scheme val="minor"/>
          </rPr>
          <t>======
ID#AAABWRoPbkQ
Muditha Aruppola    (2024-09-23 08:55:17)
Seller- Venus Hardware 
Location- Peliyagoda</t>
        </r>
      </text>
    </comment>
    <comment ref="W5" authorId="0" shapeId="0" xr:uid="{00000000-0006-0000-0000-000061000000}">
      <text>
        <r>
          <rPr>
            <sz val="11"/>
            <color rgb="FF000000"/>
            <rFont val="Calibri"/>
            <scheme val="minor"/>
          </rPr>
          <t>======
ID#AAABXKFOK-Q
tc={BC548242-56A7-4277-81BF-05AFE71A4D59}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Gangarama Hardware
Location- Boralasgamuwa
TP- 0112 150 775</t>
        </r>
      </text>
    </comment>
    <comment ref="X5" authorId="0" shapeId="0" xr:uid="{00000000-0006-0000-0000-00004B000000}">
      <text>
        <r>
          <rPr>
            <sz val="11"/>
            <color rgb="FF000000"/>
            <rFont val="Calibri"/>
            <scheme val="minor"/>
          </rPr>
          <t>======
ID#AAABYlgAenc
Muditha Aruppola    (2024-11-18 07:06:59)
Seller-Sikuradapola Hardware
Location-RXG6+R48, Rathmaldeniya Rd, Pannipitiya
TP-077 338 6872</t>
        </r>
      </text>
    </comment>
    <comment ref="Y5" authorId="0" shapeId="0" xr:uid="{00000000-0006-0000-0000-000014000000}">
      <text>
        <r>
          <rPr>
            <sz val="11"/>
            <color rgb="FF000000"/>
            <rFont val="Calibri"/>
            <scheme val="minor"/>
          </rPr>
          <t>======
ID#AAABag-w3aY
Muditha Aruppola    (2024-12-19 05:26:04)
Seller- Martinus Hardwares
TP- 0112 910 217</t>
        </r>
      </text>
    </comment>
    <comment ref="Z5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ID#AAABb1YAIEQ
Muditha Aruppola    (2025-01-17 10:05:32)
Seller- Weerakkodi Supplier
Location- 340 Biyagama Rd, Peliyagoda
TP- 0112 914 436</t>
        </r>
      </text>
    </comment>
    <comment ref="W6" authorId="0" shapeId="0" xr:uid="{00000000-0006-0000-0000-00005F000000}">
      <text>
        <r>
          <rPr>
            <sz val="11"/>
            <color rgb="FF000000"/>
            <rFont val="Calibri"/>
            <scheme val="minor"/>
          </rPr>
          <t>======
ID#AAABXKFOK-w
tc={42F08C0C-1EC4-4C5D-88DF-067C63391BEB}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X6" authorId="0" shapeId="0" xr:uid="{00000000-0006-0000-0000-00004A000000}">
      <text>
        <r>
          <rPr>
            <sz val="11"/>
            <color rgb="FF000000"/>
            <rFont val="Calibri"/>
            <scheme val="minor"/>
          </rPr>
          <t>======
ID#AAABYlgAeoQ
Muditha Aruppola    (2024-11-18 08:09:01)
Seller-Samantha Enterprises
Location-5, 19 1st Ln, Moratuwa 10400
TP-077 605 8923</t>
        </r>
      </text>
    </comment>
    <comment ref="Y6" authorId="0" shapeId="0" xr:uid="{00000000-0006-0000-0000-000015000000}">
      <text>
        <r>
          <rPr>
            <sz val="11"/>
            <color rgb="FF000000"/>
            <rFont val="Calibri"/>
            <scheme val="minor"/>
          </rPr>
          <t>======
ID#AAABag-w3aU
Muditha Aruppola    (2024-12-19 05:25:46)
Seller- Mr Amila Nuwan
TP- 0714701094
Cube 3 - 34000</t>
        </r>
      </text>
    </comment>
    <comment ref="S7" authorId="0" shapeId="0" xr:uid="{00000000-0006-0000-0000-000085010000}">
      <text>
        <r>
          <rPr>
            <sz val="11"/>
            <color rgb="FF000000"/>
            <rFont val="Calibri"/>
            <scheme val="minor"/>
          </rPr>
          <t>======
ID#AAABU0VI1CM
tc={A89F3A4E-F557-4552-B644-7E30DD1509BE}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T7" authorId="0" shapeId="0" xr:uid="{00000000-0006-0000-0000-00000C020000}">
      <text>
        <r>
          <rPr>
            <sz val="11"/>
            <color rgb="FF000000"/>
            <rFont val="Calibri"/>
            <scheme val="minor"/>
          </rPr>
          <t>======
ID#AAABU0VI05Y
tc={414A8FA5-5F6A-47C5-85B8-5CC9FA22D9F3}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U7" authorId="0" shapeId="0" xr:uid="{00000000-0006-0000-0000-000095010000}">
      <text>
        <r>
          <rPr>
            <sz val="11"/>
            <color rgb="FF000000"/>
            <rFont val="Calibri"/>
            <scheme val="minor"/>
          </rPr>
          <t>======
ID#AAABU0VI1BI
tc={00491A3E-7804-4029-8924-958748331634}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V7" authorId="0" shapeId="0" xr:uid="{00000000-0006-0000-0000-0000FD000000}">
      <text>
        <r>
          <rPr>
            <sz val="11"/>
            <color rgb="FF000000"/>
            <rFont val="Calibri"/>
            <scheme val="minor"/>
          </rPr>
          <t>======
ID#AAABVuFyfA8
Muditha Aruppola    (2024-09-24 07:12:46)
Seller- Martinus Hardwares
TP- 0112 910 217</t>
        </r>
      </text>
    </comment>
    <comment ref="W7" authorId="0" shapeId="0" xr:uid="{00000000-0006-0000-0000-0000FE000000}">
      <text>
        <r>
          <rPr>
            <sz val="11"/>
            <color rgb="FF000000"/>
            <rFont val="Calibri"/>
            <scheme val="minor"/>
          </rPr>
          <t>======
ID#AAABXKEqTco
Muditha Aruppola    (2024-09-24 07:12:46)
Seller- Martinus Hardwares
TP- 0112 910 217</t>
        </r>
      </text>
    </comment>
    <comment ref="X7" authorId="0" shapeId="0" xr:uid="{00000000-0006-0000-0000-000049000000}">
      <text>
        <r>
          <rPr>
            <sz val="11"/>
            <color rgb="FF000000"/>
            <rFont val="Calibri"/>
            <scheme val="minor"/>
          </rPr>
          <t>======
ID#AAABYlgAeoU
Muditha Aruppola    (2024-11-18 08:09:08)
Seller-Samantha Enterprises
Location-5, 19 1st Ln, Moratuwa 10400
TP-077 605 8923</t>
        </r>
      </text>
    </comment>
    <comment ref="Y7" authorId="0" shapeId="0" xr:uid="{00000000-0006-0000-0000-000013000000}">
      <text>
        <r>
          <rPr>
            <sz val="11"/>
            <color rgb="FF000000"/>
            <rFont val="Calibri"/>
            <scheme val="minor"/>
          </rPr>
          <t>======
ID#AAABag-w3ac
Muditha Aruppola    (2024-12-19 05:26:17)
Seller- Martinus Hardwares
TP- 0112 910 217</t>
        </r>
      </text>
    </comment>
    <comment ref="Z7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ID#AAABb1YAIEU
Muditha Aruppola    (2025-01-17 10:05:57)
Seller- Martinus Hardwares
TP- 0112 910 217</t>
        </r>
      </text>
    </comment>
    <comment ref="W8" authorId="0" shapeId="0" xr:uid="{00000000-0006-0000-0000-000067000000}">
      <text>
        <r>
          <rPr>
            <sz val="11"/>
            <color rgb="FF000000"/>
            <rFont val="Calibri"/>
            <scheme val="minor"/>
          </rPr>
          <t>======
ID#AAABXKFOK9s
tc={D3622DB6-0C54-494F-932F-18DCB53D5DAF}    (2024-10-28 04:54:45)
[Threaded comment]
Your version of Excel allows you to read this threaded comment; however, any edits to it will get removed if the file is opened in a newer version of Excel. Learn more: https://go.microsoft.com/fwlink/?linkid=870924
Comment:
      Seller - Janatha Holdings 
TP - 0750476828 / 0715293603 
Location - Athurugiriya , Colombo 
Description- Transport up to10km from Athurugiriya</t>
        </r>
      </text>
    </comment>
    <comment ref="X8" authorId="0" shapeId="0" xr:uid="{00000000-0006-0000-0000-000048000000}">
      <text>
        <r>
          <rPr>
            <sz val="11"/>
            <color rgb="FF000000"/>
            <rFont val="Calibri"/>
            <scheme val="minor"/>
          </rPr>
          <t>======
ID#AAABYlgAeog
Muditha Aruppola    (2024-11-18 08:14:38)
Seller-Samantha Enterprises
Location-5, 19 1st Ln, Moratuwa 10400
TP-077 605 8923</t>
        </r>
      </text>
    </comment>
    <comment ref="Y8" authorId="0" shapeId="0" xr:uid="{00000000-0006-0000-0000-000016000000}">
      <text>
        <r>
          <rPr>
            <sz val="11"/>
            <color rgb="FF000000"/>
            <rFont val="Calibri"/>
            <scheme val="minor"/>
          </rPr>
          <t>======
ID#AAABag-w3aQ
Muditha Aruppola    (2024-12-19 05:25:38)
Seller- Mr Amila Nuwan
TP- 0714701094
Cube 3 - 34000</t>
        </r>
      </text>
    </comment>
    <comment ref="Z8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ID#AAABb1YAIEI
Muditha Aruppola    (2025-01-17 09:33:42)
Seller- Thushara 
TP- 0717192868</t>
        </r>
      </text>
    </comment>
    <comment ref="S9" authorId="0" shapeId="0" xr:uid="{00000000-0006-0000-0000-0000A4010000}">
      <text>
        <r>
          <rPr>
            <sz val="11"/>
            <color rgb="FF000000"/>
            <rFont val="Calibri"/>
            <scheme val="minor"/>
          </rPr>
          <t>======
ID#AAABU0VI1AI
tc={F9F38A2C-34CE-424F-BD37-CA1DCB1E9804}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T9" authorId="0" shapeId="0" xr:uid="{00000000-0006-0000-0000-000063010000}">
      <text>
        <r>
          <rPr>
            <sz val="11"/>
            <color rgb="FF000000"/>
            <rFont val="Calibri"/>
            <scheme val="minor"/>
          </rPr>
          <t>======
ID#AAABU0VI1Ec
tc={4F304495-2C0F-4C87-ABBE-BF0500AD2E9C}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U9" authorId="0" shapeId="0" xr:uid="{00000000-0006-0000-0000-000047020000}">
      <text>
        <r>
          <rPr>
            <sz val="11"/>
            <color rgb="FF000000"/>
            <rFont val="Calibri"/>
            <scheme val="minor"/>
          </rPr>
          <t>======
ID#AAABU0VI0Jc
tc={F1BF79D9-E07E-4D54-AF1C-F743D5F9B223}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V9" authorId="0" shapeId="0" xr:uid="{00000000-0006-0000-0000-0000FB000000}">
      <text>
        <r>
          <rPr>
            <sz val="11"/>
            <color rgb="FF000000"/>
            <rFont val="Calibri"/>
            <scheme val="minor"/>
          </rPr>
          <t>======
ID#AAABVuFyfBA
Muditha Aruppola    (2024-09-24 07:12:57)
Seller- Martinus Hardwares
TP- 0112 910 217</t>
        </r>
      </text>
    </comment>
    <comment ref="W9" authorId="0" shapeId="0" xr:uid="{00000000-0006-0000-0000-0000FC000000}">
      <text>
        <r>
          <rPr>
            <sz val="11"/>
            <color rgb="FF000000"/>
            <rFont val="Calibri"/>
            <scheme val="minor"/>
          </rPr>
          <t>======
ID#AAABXKBgNwo
Muditha Aruppola    (2024-09-24 07:12:57)
Seller- Martinus Hardwares
TP- 0112 910 217</t>
        </r>
      </text>
    </comment>
    <comment ref="X9" authorId="0" shapeId="0" xr:uid="{00000000-0006-0000-0000-00004C000000}">
      <text>
        <r>
          <rPr>
            <sz val="11"/>
            <color rgb="FF000000"/>
            <rFont val="Calibri"/>
            <scheme val="minor"/>
          </rPr>
          <t>======
ID#AAABYlgAenY
Muditha Aruppola    (2024-11-18 07:06:53)
Seller-Sikuradapola Hardware
Location-RXG6+R48, Rathmaldeniya Rd, Pannipitiya
TP-077 338 6872</t>
        </r>
      </text>
    </comment>
    <comment ref="Y9" authorId="0" shapeId="0" xr:uid="{00000000-0006-0000-0000-00001B000000}">
      <text>
        <r>
          <rPr>
            <sz val="11"/>
            <color rgb="FF000000"/>
            <rFont val="Calibri"/>
            <scheme val="minor"/>
          </rPr>
          <t>======
ID#AAABag-w3Z8
Muditha Aruppola    (2024-12-19 05:03:55)
Seller- Mr Amila Nuwan
TP- 0714701094
Cube 3 - 34000</t>
        </r>
      </text>
    </comment>
    <comment ref="Z9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ID#AAABb1YAIEE
Muditha Aruppola    (2025-01-17 09:33:36)
Seller- Thushara 
TP- 0717192868</t>
        </r>
      </text>
    </comment>
    <comment ref="V10" authorId="0" shapeId="0" xr:uid="{00000000-0006-0000-0000-0000FA000000}">
      <text>
        <r>
          <rPr>
            <sz val="11"/>
            <color rgb="FF000000"/>
            <rFont val="Calibri"/>
            <scheme val="minor"/>
          </rPr>
          <t>======
ID#AAABVuFyfBE
Muditha Aruppola    (2024-09-24 07:13:02)
Seller- Martinus Hardwares
TP- 0112 910 217</t>
        </r>
      </text>
    </comment>
    <comment ref="X10" authorId="0" shapeId="0" xr:uid="{00000000-0006-0000-0000-000047000000}">
      <text>
        <r>
          <rPr>
            <sz val="11"/>
            <color rgb="FF000000"/>
            <rFont val="Calibri"/>
            <scheme val="minor"/>
          </rPr>
          <t>======
ID#AAABYlgAeok
Muditha Aruppola    (2024-11-18 08:34:48)
Seller-Sikuradapola Hardware
Location-RXG6+R48, Rathmaldeniya Rd, Pannipitiya
TP-077 338 6872</t>
        </r>
      </text>
    </comment>
    <comment ref="Z10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ID#AAABb1YAIEY
Muditha Aruppola    (2025-01-17 10:06:24)
Seller- Weerakkodi Supplier
Location- 340 Biyagama Rd, Peliyagoda
TP- 0112 914 436</t>
        </r>
      </text>
    </comment>
    <comment ref="V11" authorId="0" shapeId="0" xr:uid="{00000000-0006-0000-0000-0000F4000000}">
      <text>
        <r>
          <rPr>
            <sz val="11"/>
            <color rgb="FF000000"/>
            <rFont val="Calibri"/>
            <scheme val="minor"/>
          </rPr>
          <t>======
ID#AAABVuFyfBY
Muditha Aruppola    (2024-09-24 07:26:28)
Seller- Insee (Sanstha)</t>
        </r>
      </text>
    </comment>
    <comment ref="W11" authorId="0" shapeId="0" xr:uid="{00000000-0006-0000-0000-00005B000000}">
      <text>
        <r>
          <rPr>
            <sz val="11"/>
            <color rgb="FF000000"/>
            <rFont val="Calibri"/>
            <scheme val="minor"/>
          </rPr>
          <t>======
ID#AAABXKFOK_0
tc={E2272DA7-E3F2-4980-8647-96A026978AB6}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Insee
TP-0773733950(Mr Asanka)</t>
        </r>
      </text>
    </comment>
    <comment ref="X11" authorId="0" shapeId="0" xr:uid="{00000000-0006-0000-0000-00001C000000}">
      <text>
        <r>
          <rPr>
            <sz val="11"/>
            <color rgb="FF000000"/>
            <rFont val="Calibri"/>
            <scheme val="minor"/>
          </rPr>
          <t>======
ID#AAABag-w3Y0
Muditha Aruppola    (2024-12-19 04:55:47)
0777327021- INSEE</t>
        </r>
      </text>
    </comment>
    <comment ref="Y11" authorId="0" shapeId="0" xr:uid="{00000000-0006-0000-0000-000010000000}">
      <text>
        <r>
          <rPr>
            <sz val="11"/>
            <color rgb="FF000000"/>
            <rFont val="Calibri"/>
            <scheme val="minor"/>
          </rPr>
          <t>======
ID#AAABag-w3as
Muditha Aruppola    (2024-12-19 05:31:22)
0777327021- INSEE</t>
        </r>
      </text>
    </comment>
    <comment ref="T12" authorId="0" shapeId="0" xr:uid="{00000000-0006-0000-0000-000080020000}">
      <text>
        <r>
          <rPr>
            <sz val="11"/>
            <color rgb="FF000000"/>
            <rFont val="Calibri"/>
            <scheme val="minor"/>
          </rPr>
          <t>======
ID#AAABUz9wr-o
tc={A3478677-68F3-45CB-9737-FC4DC8BE6997}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2" authorId="0" shapeId="0" xr:uid="{00000000-0006-0000-0000-000083020000}">
      <text>
        <r>
          <rPr>
            <sz val="11"/>
            <color rgb="FF000000"/>
            <rFont val="Calibri"/>
            <scheme val="minor"/>
          </rPr>
          <t>======
ID#AAABUz9wr-c
    (2024-08-29 06:55:09)
Seller-S A hardware
TP- 0777849722
Location- Dehiwala
	-Muditha Aruppola</t>
        </r>
      </text>
    </comment>
    <comment ref="V12" authorId="0" shapeId="0" xr:uid="{00000000-0006-0000-0000-0000F3000000}">
      <text>
        <r>
          <rPr>
            <sz val="11"/>
            <color rgb="FF000000"/>
            <rFont val="Calibri"/>
            <scheme val="minor"/>
          </rPr>
          <t>======
ID#AAABVuFyfBg
Muditha Aruppola    (2024-09-24 07:34:07)
Seller-S A hardware
TP- 0777849722</t>
        </r>
      </text>
    </comment>
    <comment ref="X12" authorId="0" shapeId="0" xr:uid="{00000000-0006-0000-0000-000046000000}">
      <text>
        <r>
          <rPr>
            <sz val="11"/>
            <color rgb="FF000000"/>
            <rFont val="Calibri"/>
            <scheme val="minor"/>
          </rPr>
          <t>======
ID#AAABYlgAeoo
Muditha Aruppola    (2024-11-18 08:35:27)
Seller-Sikuradapola Hardware
Location-RXG6+R48, Rathmaldeniya Rd, Pannipitiya
TP-077 338 6872</t>
        </r>
      </text>
    </comment>
    <comment ref="Y12" authorId="0" shapeId="0" xr:uid="{00000000-0006-0000-0000-000012000000}">
      <text>
        <r>
          <rPr>
            <sz val="11"/>
            <color rgb="FF000000"/>
            <rFont val="Calibri"/>
            <scheme val="minor"/>
          </rPr>
          <t>======
ID#AAABag-w3ak
Muditha Aruppola    (2024-12-19 05:30:55)
Seller-S A hardware
TP- 0777849722</t>
        </r>
      </text>
    </comment>
    <comment ref="T13" authorId="0" shapeId="0" xr:uid="{00000000-0006-0000-0000-000089020000}">
      <text>
        <r>
          <rPr>
            <sz val="11"/>
            <color rgb="FF000000"/>
            <rFont val="Calibri"/>
            <scheme val="minor"/>
          </rPr>
          <t>======
ID#AAABUz9wr-E
tc={31CE9D59-99F0-4E2B-812B-FBBB882E0637}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3" authorId="0" shapeId="0" xr:uid="{00000000-0006-0000-0000-0000DA010000}">
      <text>
        <r>
          <rPr>
            <sz val="11"/>
            <color rgb="FF000000"/>
            <rFont val="Calibri"/>
            <scheme val="minor"/>
          </rPr>
          <t>======
ID#AAABU0VI08s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V13" authorId="0" shapeId="0" xr:uid="{00000000-0006-0000-0000-0000F2000000}">
      <text>
        <r>
          <rPr>
            <sz val="11"/>
            <color rgb="FF000000"/>
            <rFont val="Calibri"/>
            <scheme val="minor"/>
          </rPr>
          <t>======
ID#AAABVuFyfBk
Muditha Aruppola    (2024-09-24 07:34:08)
Seller-S A hardware
TP- 0777849722</t>
        </r>
      </text>
    </comment>
    <comment ref="W13" authorId="0" shapeId="0" xr:uid="{00000000-0006-0000-0000-00006B000000}">
      <text>
        <r>
          <rPr>
            <sz val="11"/>
            <color rgb="FF000000"/>
            <rFont val="Calibri"/>
            <scheme val="minor"/>
          </rPr>
          <t>======
ID#AAABXKFOK9A
tc={01D3910A-9729-4565-A381-039D06246859}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Gangarama Hardware
Location- Boralasgamuwa
TP- 0112 150 775</t>
        </r>
      </text>
    </comment>
    <comment ref="X13" authorId="0" shapeId="0" xr:uid="{00000000-0006-0000-0000-000045000000}">
      <text>
        <r>
          <rPr>
            <sz val="11"/>
            <color rgb="FF000000"/>
            <rFont val="Calibri"/>
            <scheme val="minor"/>
          </rPr>
          <t>======
ID#AAABYlgAeos
Muditha Aruppola    (2024-11-18 08:35:36)
Seller-Sikuradapola Hardware
Location-RXG6+R48, Rathmaldeniya Rd, Pannipitiya
TP-077 338 6872</t>
        </r>
      </text>
    </comment>
    <comment ref="Y13" authorId="0" shapeId="0" xr:uid="{00000000-0006-0000-0000-000011000000}">
      <text>
        <r>
          <rPr>
            <sz val="11"/>
            <color rgb="FF000000"/>
            <rFont val="Calibri"/>
            <scheme val="minor"/>
          </rPr>
          <t>======
ID#AAABag-w3ao
Muditha Aruppola    (2024-12-19 05:30:57)
Seller-S A hardware
TP- 0777849722</t>
        </r>
      </text>
    </comment>
    <comment ref="S14" authorId="0" shapeId="0" xr:uid="{00000000-0006-0000-0000-00005D020000}">
      <text>
        <r>
          <rPr>
            <sz val="11"/>
            <color rgb="FF000000"/>
            <rFont val="Calibri"/>
            <scheme val="minor"/>
          </rPr>
          <t>======
ID#AAABUz9wsA8
tc={B6ACCFC6-0AEB-49C0-A675-75A8238C2DF6}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sunil wijesir
TP    - 075 7585563
locations- Maharagama, Bope
Description- Rubble  6"-9" with transport from maharagama and up to 20 cubs can be supplied.</t>
        </r>
      </text>
    </comment>
    <comment ref="T14" authorId="0" shapeId="0" xr:uid="{00000000-0006-0000-0000-000081020000}">
      <text>
        <r>
          <rPr>
            <sz val="11"/>
            <color rgb="FF000000"/>
            <rFont val="Calibri"/>
            <scheme val="minor"/>
          </rPr>
          <t>======
ID#AAABUz9wr-k
tc={3A8A7FAD-79EF-474D-8A43-A405210F1253}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sunil wijesir
TP    - 075 7585563
locations- Maharagama, Bope
Description- Rubble  6"-9" with transport from maharagama and up to 20 cubs can be supplied.</t>
        </r>
      </text>
    </comment>
    <comment ref="U14" authorId="0" shapeId="0" xr:uid="{00000000-0006-0000-0000-000061010000}">
      <text>
        <r>
          <rPr>
            <sz val="11"/>
            <color rgb="FF000000"/>
            <rFont val="Calibri"/>
            <scheme val="minor"/>
          </rPr>
          <t>======
ID#AAABU0VI1Ek
tc={4DF7D6A0-1F7B-4555-B567-0A10326A30E2}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V14" authorId="0" shapeId="0" xr:uid="{00000000-0006-0000-0000-0000F9000000}">
      <text>
        <r>
          <rPr>
            <sz val="11"/>
            <color rgb="FF000000"/>
            <rFont val="Calibri"/>
            <scheme val="minor"/>
          </rPr>
          <t>======
ID#AAABVuFyfBI
Muditha Aruppola    (2024-09-24 07:13:06)
Seller- Martinus Hardwares
TP- 0112 910 217</t>
        </r>
      </text>
    </comment>
    <comment ref="W14" authorId="0" shapeId="0" xr:uid="{00000000-0006-0000-0000-000078000000}">
      <text>
        <r>
          <rPr>
            <sz val="11"/>
            <color rgb="FF000000"/>
            <rFont val="Calibri"/>
            <scheme val="minor"/>
          </rPr>
          <t>======
ID#AAABXKBgNwA
tc={2EF1A760-80CC-4695-8964-B357E80C442E}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Shashika Himaruwan
Location- Aturugiriya, colombo
TP- 071 1387480</t>
        </r>
      </text>
    </comment>
    <comment ref="Y14" authorId="0" shapeId="0" xr:uid="{00000000-0006-0000-0000-000017000000}">
      <text>
        <r>
          <rPr>
            <sz val="11"/>
            <color rgb="FF000000"/>
            <rFont val="Calibri"/>
            <scheme val="minor"/>
          </rPr>
          <t>======
ID#AAABag-w3aM
Muditha Aruppola    (2024-12-19 05:25:20)
Seller- Mr Amila Nuwan
TP- 0714701094
Cube 3 - 34000</t>
        </r>
      </text>
    </comment>
    <comment ref="Z14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ID#AAABb1YAIEM
Muditha Aruppola    (2025-01-17 09:50:21)
Seller- KM ENTERPRISES
TP- 0760111890 | 0723247509
Location- 71/24, Flower road , pinnawala madapatha , Piliyandala</t>
        </r>
      </text>
    </comment>
    <comment ref="S15" authorId="0" shapeId="0" xr:uid="{00000000-0006-0000-0000-000022020000}">
      <text>
        <r>
          <rPr>
            <sz val="11"/>
            <color rgb="FF000000"/>
            <rFont val="Calibri"/>
            <scheme val="minor"/>
          </rPr>
          <t>======
ID#AAABU0VI0MA
tc={F97617E3-ECEB-4BA8-83A5-200ABE58627A}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T15" authorId="0" shapeId="0" xr:uid="{00000000-0006-0000-0000-000066020000}">
      <text>
        <r>
          <rPr>
            <sz val="11"/>
            <color rgb="FF000000"/>
            <rFont val="Calibri"/>
            <scheme val="minor"/>
          </rPr>
          <t>======
ID#AAABUz9wsAU
tc={CDF68F82-7688-4574-8741-D60EF9E8AE70}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U15" authorId="0" shapeId="0" xr:uid="{00000000-0006-0000-0000-00006E010000}">
      <text>
        <r>
          <rPr>
            <sz val="11"/>
            <color rgb="FF000000"/>
            <rFont val="Calibri"/>
            <scheme val="minor"/>
          </rPr>
          <t>======
ID#AAABU0VI1Ds
tc={5734CBCD-1F16-4BAF-87D8-C86716EE4FA8}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Janatha Holdings 
TP - 0750476828 / 0715293603 
Location - Athurugiriya , Colombo 
Description- Transport up to10km from Athurugiriya</t>
        </r>
      </text>
    </comment>
    <comment ref="V15" authorId="0" shapeId="0" xr:uid="{00000000-0006-0000-0000-0000F7000000}">
      <text>
        <r>
          <rPr>
            <sz val="11"/>
            <color rgb="FF000000"/>
            <rFont val="Calibri"/>
            <scheme val="minor"/>
          </rPr>
          <t>======
ID#AAABVuFyfBM
Muditha Aruppola    (2024-09-24 07:13:10)
Seller- Martinus Hardwares
TP- 0112 910 217</t>
        </r>
      </text>
    </comment>
    <comment ref="W15" authorId="0" shapeId="0" xr:uid="{00000000-0006-0000-0000-0000F8000000}">
      <text>
        <r>
          <rPr>
            <sz val="11"/>
            <color rgb="FF000000"/>
            <rFont val="Calibri"/>
            <scheme val="minor"/>
          </rPr>
          <t>======
ID#AAABXKFOLCU
Muditha Aruppola    (2024-09-24 07:13:10)
Seller- Martinus Hardwares
TP- 0112 910 217</t>
        </r>
      </text>
    </comment>
    <comment ref="X15" authorId="0" shapeId="0" xr:uid="{00000000-0006-0000-0000-000044000000}">
      <text>
        <r>
          <rPr>
            <sz val="11"/>
            <color rgb="FF000000"/>
            <rFont val="Calibri"/>
            <scheme val="minor"/>
          </rPr>
          <t>======
ID#AAABYlgAepA
Muditha Aruppola    (2024-11-18 10:12:22)
Seller-Sikuradapola Hardware
Location-RXG6+R48, Rathmaldeniya Rd, Pannipitiya
TP-077 338 6872</t>
        </r>
      </text>
    </comment>
    <comment ref="Y15" authorId="0" shapeId="0" xr:uid="{00000000-0006-0000-0000-000019000000}">
      <text>
        <r>
          <rPr>
            <sz val="11"/>
            <color rgb="FF000000"/>
            <rFont val="Calibri"/>
            <scheme val="minor"/>
          </rPr>
          <t>======
ID#AAABag-w3aE
Muditha Aruppola    (2024-12-19 05:04:45)
Seller- Martinus Hardwares
TP- 0112 910 217</t>
        </r>
      </text>
    </comment>
    <comment ref="Z15" authorId="0" shapeId="0" xr:uid="{00000000-0006-0000-0000-000009000000}">
      <text>
        <r>
          <rPr>
            <sz val="11"/>
            <color rgb="FF000000"/>
            <rFont val="Calibri"/>
            <scheme val="minor"/>
          </rPr>
          <t>======
ID#AAABb1YAID4
Muditha Aruppola    (2025-01-17 09:32:31)
Seller- Shihan River Sand Supply
Location- No.499/20 , Padukka
TP-  0754032019 | 0760191342 | 0707712750</t>
        </r>
      </text>
    </comment>
    <comment ref="S16" authorId="0" shapeId="0" xr:uid="{00000000-0006-0000-0000-0000AE010000}">
      <text>
        <r>
          <rPr>
            <sz val="11"/>
            <color rgb="FF000000"/>
            <rFont val="Calibri"/>
            <scheme val="minor"/>
          </rPr>
          <t>======
ID#AAABU0VI0_g
tc={B026825F-4EB9-4D75-A84E-B363905AE3CE}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GIM General Trading And Construction (Pvt) Ltd
TP - 0777261476 / 0718163391 / 0703795186 
Location - 101/4, kalalgoda Road, , Pannipitiya , Colombo 
Description- Transport up to10km from pannipitiya</t>
        </r>
      </text>
    </comment>
    <comment ref="T16" authorId="0" shapeId="0" xr:uid="{00000000-0006-0000-0000-0000C3010000}">
      <text>
        <r>
          <rPr>
            <sz val="11"/>
            <color rgb="FF000000"/>
            <rFont val="Calibri"/>
            <scheme val="minor"/>
          </rPr>
          <t>======
ID#AAABU0VI0-M
tc={01CBD0D6-1300-494A-83F3-FB76F52E8E16}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GIM General Trading And Construction (Pvt) Ltd
TP - 0777261476 / 0718163391 / 0703795186 
Location - 101/4, kalalgoda Road, , Pannipitiya , Colombo 
Description- Transport up to10km from pannipitiya</t>
        </r>
      </text>
    </comment>
    <comment ref="U16" authorId="0" shapeId="0" xr:uid="{00000000-0006-0000-0000-0000BD010000}">
      <text>
        <r>
          <rPr>
            <sz val="11"/>
            <color rgb="FF000000"/>
            <rFont val="Calibri"/>
            <scheme val="minor"/>
          </rPr>
          <t>======
ID#AAABU0VI0-k
tc={AB625A1A-B1B5-43D1-8863-8488EF255996}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 -  Thushan Supplier and Transport
TP -   0717192868 
Location -  Nugegoda , Delakada, Papiliyana , Colombo 
Description- Transport up to10km from Athurugiriya</t>
        </r>
      </text>
    </comment>
    <comment ref="V16" authorId="0" shapeId="0" xr:uid="{00000000-0006-0000-0000-0000F5000000}">
      <text>
        <r>
          <rPr>
            <sz val="11"/>
            <color rgb="FF000000"/>
            <rFont val="Calibri"/>
            <scheme val="minor"/>
          </rPr>
          <t>======
ID#AAABVuFyfBU
Muditha Aruppola    (2024-09-24 07:13:39)
Seller - Thushan Supplier and Transport
TP - 0717192868
Location - Nugegoda , Delakada, Papiliyana , Colombo
Description- Transport up to10km from Athurugiriya</t>
        </r>
      </text>
    </comment>
    <comment ref="W16" authorId="0" shapeId="0" xr:uid="{00000000-0006-0000-0000-00004F000000}">
      <text>
        <r>
          <rPr>
            <sz val="11"/>
            <color rgb="FF000000"/>
            <rFont val="Calibri"/>
            <scheme val="minor"/>
          </rPr>
          <t>======
ID#AAABXKFOLCM
tc={91928E41-D677-4790-9205-2AC10AA28D7C}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 -  Sri Lanka Land Development Corporation - SLLDC
TP - 0112 868 002 
Location - 03 Sri Jayawardenepura Mawatha Welikada Colombo, Sri Jayawardenepura Kotte</t>
        </r>
      </text>
    </comment>
    <comment ref="Y16" authorId="0" shapeId="0" xr:uid="{00000000-0006-0000-0000-000018000000}">
      <text>
        <r>
          <rPr>
            <sz val="11"/>
            <color rgb="FF000000"/>
            <rFont val="Calibri"/>
            <scheme val="minor"/>
          </rPr>
          <t>======
ID#AAABag-w3aI
Muditha Aruppola    (2024-12-19 05:05:34)
Seller - Sri Lanka Land Development Corporation - SLLDC
TP - 0112 868 002
Location - 03 Sri Jayawardenepura Mawatha Welikada Colombo, Sri Jayawardenepura Kotte</t>
        </r>
      </text>
    </comment>
    <comment ref="Z16" authorId="0" shapeId="0" xr:uid="{00000000-0006-0000-0000-000008000000}">
      <text>
        <r>
          <rPr>
            <sz val="11"/>
            <color rgb="FF000000"/>
            <rFont val="Calibri"/>
            <scheme val="minor"/>
          </rPr>
          <t>======
ID#AAABb1YAID8
Muditha Aruppola    (2025-01-17 09:32:35)
Seller- Shihan River Sand Supply
Location- No.499/20 , Padukka
TP- 0754032019 | 0760191342 | 0707712750</t>
        </r>
      </text>
    </comment>
    <comment ref="S17" authorId="0" shapeId="0" xr:uid="{00000000-0006-0000-0000-00007B020000}">
      <text>
        <r>
          <rPr>
            <sz val="11"/>
            <color rgb="FF000000"/>
            <rFont val="Calibri"/>
            <scheme val="minor"/>
          </rPr>
          <t>======
ID#AAABUz9wr_A
tc={8AC6B65A-3992-4CDF-B2DE-F9C4FEE06EFF}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sunil wijesir
TP    - 075 7585563
locations- Maharagama, Bope</t>
        </r>
      </text>
    </comment>
    <comment ref="T17" authorId="0" shapeId="0" xr:uid="{00000000-0006-0000-0000-00002B020000}">
      <text>
        <r>
          <rPr>
            <sz val="11"/>
            <color rgb="FF000000"/>
            <rFont val="Calibri"/>
            <scheme val="minor"/>
          </rPr>
          <t>======
ID#AAABU0VI0Lc
tc={87DF20FB-7652-4064-8353-03A72FCDA0B8}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sunil wijesir
TP    - 075 7585563
locations- Maharagama, Bope</t>
        </r>
      </text>
    </comment>
    <comment ref="V17" authorId="0" shapeId="0" xr:uid="{00000000-0006-0000-0000-0000F6000000}">
      <text>
        <r>
          <rPr>
            <sz val="11"/>
            <color rgb="FF000000"/>
            <rFont val="Calibri"/>
            <scheme val="minor"/>
          </rPr>
          <t>======
ID#AAABVuFyfBQ
Muditha Aruppola    (2024-09-24 07:13:15)
Seller- Martinus Hardwares
TP- 0112 910 217</t>
        </r>
      </text>
    </comment>
    <comment ref="W17" authorId="0" shapeId="0" xr:uid="{00000000-0006-0000-0000-000077000000}">
      <text>
        <r>
          <rPr>
            <sz val="11"/>
            <color rgb="FF000000"/>
            <rFont val="Calibri"/>
            <scheme val="minor"/>
          </rPr>
          <t>======
ID#AAABXKBgNwM
tc={1CAAA06B-567B-4B71-8A8E-47A8E328170F}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Shashika Himaruwan
Location- Aturugiriya, colombo
TP- 071 1387480</t>
        </r>
      </text>
    </comment>
    <comment ref="X17" authorId="0" shapeId="0" xr:uid="{00000000-0006-0000-0000-00004D000000}">
      <text>
        <r>
          <rPr>
            <sz val="11"/>
            <color rgb="FF000000"/>
            <rFont val="Calibri"/>
            <scheme val="minor"/>
          </rPr>
          <t>======
ID#AAABYlgAenU
Muditha Aruppola    (2024-11-18 07:06:15)
Seller-Sikuradapola Hardware
Location-RXG6+R48, Rathmaldeniya Rd, Pannipitiya
TP-077 338 6872</t>
        </r>
      </text>
    </comment>
    <comment ref="Y17" authorId="0" shapeId="0" xr:uid="{00000000-0006-0000-0000-00001A000000}">
      <text>
        <r>
          <rPr>
            <sz val="11"/>
            <color rgb="FF000000"/>
            <rFont val="Calibri"/>
            <scheme val="minor"/>
          </rPr>
          <t>======
ID#AAABag-w3aA
Muditha Aruppola    (2024-12-19 05:04:03)
Seller- Mr Amila Nuwan
TP- 0714701094
Cube 3 - 34000</t>
        </r>
      </text>
    </comment>
    <comment ref="Z17" authorId="0" shapeId="0" xr:uid="{00000000-0006-0000-0000-000007000000}">
      <text>
        <r>
          <rPr>
            <sz val="11"/>
            <color rgb="FF000000"/>
            <rFont val="Calibri"/>
            <scheme val="minor"/>
          </rPr>
          <t>======
ID#AAABb1YAIEA
Muditha Aruppola    (2025-01-17 09:32:39)
Seller- Shihan River Sand Supply
Location- No.499/20 , Padukka
TP- 0754032019 | 0760191342 | 0707712750</t>
        </r>
      </text>
    </comment>
    <comment ref="Q20" authorId="0" shapeId="0" xr:uid="{00000000-0006-0000-0000-0000E6020000}">
      <text>
        <r>
          <rPr>
            <sz val="11"/>
            <color rgb="FF000000"/>
            <rFont val="Calibri"/>
            <scheme val="minor"/>
          </rPr>
          <t>======
ID#AAABUzvHrhA
    (2024-08-29 06:55:08)
ICC
	-Chathurika Waidyadasa</t>
        </r>
      </text>
    </comment>
    <comment ref="R20" authorId="0" shapeId="0" xr:uid="{00000000-0006-0000-0000-00002E020000}">
      <text>
        <r>
          <rPr>
            <sz val="11"/>
            <color rgb="FF000000"/>
            <rFont val="Calibri"/>
            <scheme val="minor"/>
          </rPr>
          <t>======
ID#AAABU0VI0LQ
    (2024-08-29 06:55:09)
N&amp;A Ready Mix
	-Chathurika Waidyadasa</t>
        </r>
      </text>
    </comment>
    <comment ref="S20" authorId="0" shapeId="0" xr:uid="{00000000-0006-0000-0000-000067010000}">
      <text>
        <r>
          <rPr>
            <sz val="11"/>
            <color rgb="FF000000"/>
            <rFont val="Calibri"/>
            <scheme val="minor"/>
          </rPr>
          <t>======
ID#AAABU0VI1EM
    (2024-08-29 06:55:09)
N&amp;A Ready Mix
	-Chathurika Waidyadasa</t>
        </r>
      </text>
    </comment>
    <comment ref="T20" authorId="0" shapeId="0" xr:uid="{00000000-0006-0000-0000-00003C010000}">
      <text>
        <r>
          <rPr>
            <sz val="11"/>
            <color rgb="FF000000"/>
            <rFont val="Calibri"/>
            <scheme val="minor"/>
          </rPr>
          <t>======
ID#AAABU0VI1HA
tc={9F46EA79-8D9A-46EE-99FC-F0FE1B7001A7}    (2024-08-29 06:55:10)
[Threaded comment]
Your version of Excel allows you to read this threaded comment; however, any edits to it will get removed if the file is opened in a newer version of Excel. Learn more: https://go.microsoft.com/fwlink/?linkid=870924
Comment:
    N &amp; A redy mix</t>
        </r>
      </text>
    </comment>
    <comment ref="U20" authorId="0" shapeId="0" xr:uid="{00000000-0006-0000-0000-0000A9020000}">
      <text>
        <r>
          <rPr>
            <sz val="11"/>
            <color rgb="FF000000"/>
            <rFont val="Calibri"/>
            <scheme val="minor"/>
          </rPr>
          <t>======
ID#AAABUz9wr74
tc={0CC85F2D-2EEA-41B6-8577-295173BF3443}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ICC</t>
        </r>
      </text>
    </comment>
    <comment ref="V20" authorId="0" shapeId="0" xr:uid="{00000000-0006-0000-0000-000038010000}">
      <text>
        <r>
          <rPr>
            <sz val="11"/>
            <color rgb="FF000000"/>
            <rFont val="Calibri"/>
            <scheme val="minor"/>
          </rPr>
          <t>======
ID#AAABWRoPbkU
Muditha Aruppola    (2024-09-23 08:56:38)
Seller- ICC</t>
        </r>
      </text>
    </comment>
    <comment ref="W20" authorId="0" shapeId="0" xr:uid="{00000000-0006-0000-0000-00006E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ID#AAABXKEqTdE
</t>
        </r>
        <r>
          <rPr>
            <sz val="11"/>
            <color rgb="FF000000"/>
            <rFont val="Calibri"/>
            <family val="2"/>
          </rPr>
          <t xml:space="preserve">tc={D2FB0A3A-5B2E-4FEB-9A4E-CA87386D9DEB}    (2024-10-28 04:54:44)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N&amp;A ready mix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TP- 0710372879</t>
        </r>
      </text>
    </comment>
    <comment ref="X20" authorId="0" shapeId="0" xr:uid="{00000000-0006-0000-0000-000043000000}">
      <text>
        <r>
          <rPr>
            <sz val="11"/>
            <color rgb="FF000000"/>
            <rFont val="Calibri"/>
            <scheme val="minor"/>
          </rPr>
          <t>======
ID#AAABYlgAepE
Muditha Aruppola    (2024-11-18 10:16:23)
Seller- N&amp;A ready mix
TP- 0710372879</t>
        </r>
      </text>
    </comment>
    <comment ref="Y20" authorId="0" shapeId="0" xr:uid="{00000000-0006-0000-0000-000020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ID#AAABag-w3YY
</t>
        </r>
        <r>
          <rPr>
            <sz val="11"/>
            <color rgb="FF000000"/>
            <rFont val="Calibri"/>
            <family val="2"/>
          </rPr>
          <t xml:space="preserve">Muditha Aruppola    (2024-12-19 04:45:40)
</t>
        </r>
        <r>
          <rPr>
            <sz val="11"/>
            <color rgb="FF000000"/>
            <rFont val="Calibri"/>
            <family val="2"/>
          </rPr>
          <t xml:space="preserve">Seller- N&amp;A ready mix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TP- 0710372879</t>
        </r>
      </text>
    </comment>
    <comment ref="T21" authorId="0" shapeId="0" xr:uid="{00000000-0006-0000-0000-00004E020000}">
      <text>
        <r>
          <rPr>
            <sz val="11"/>
            <color rgb="FF000000"/>
            <rFont val="Calibri"/>
            <scheme val="minor"/>
          </rPr>
          <t>======
ID#AAABU0VI0JA
tc={1D5A373D-3155-45F0-81F1-3BB17EEB5939}    (2024-08-29 06:55:09)
[Threaded comment]
Your version of Excel allows you to read this threaded comment; however, any edits to it will get removed if the file is opened in a newer version of Excel. Learn more: https://go.microsoft.com/fwlink/?linkid=870924
Comment:
    N &amp; A redy mix</t>
        </r>
      </text>
    </comment>
    <comment ref="U21" authorId="0" shapeId="0" xr:uid="{00000000-0006-0000-0000-0000D6010000}">
      <text>
        <r>
          <rPr>
            <sz val="11"/>
            <color rgb="FF000000"/>
            <rFont val="Calibri"/>
            <scheme val="minor"/>
          </rPr>
          <t>======
ID#AAABU0VI09A
tc={421D79C6-1E92-404B-8553-3F99B095FDB9}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ICC</t>
        </r>
      </text>
    </comment>
    <comment ref="V21" authorId="0" shapeId="0" xr:uid="{00000000-0006-0000-0000-000037010000}">
      <text>
        <r>
          <rPr>
            <sz val="11"/>
            <color rgb="FF000000"/>
            <rFont val="Calibri"/>
            <scheme val="minor"/>
          </rPr>
          <t>======
ID#AAABWRoPbkY
Muditha Aruppola    (2024-09-23 08:56:42)
Seller- ICC</t>
        </r>
      </text>
    </comment>
    <comment ref="W21" authorId="0" shapeId="0" xr:uid="{00000000-0006-0000-0000-00004E000000}">
      <text>
        <r>
          <rPr>
            <sz val="11"/>
            <color rgb="FF000000"/>
            <rFont val="Calibri"/>
            <scheme val="minor"/>
          </rPr>
          <t>======
ID#AAABXKFOLCc
tc={1C740130-F87F-468D-B3FC-66917F9ED5AA}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N&amp;A ready mix
TP- 0710372879</t>
        </r>
      </text>
    </comment>
    <comment ref="X21" authorId="0" shapeId="0" xr:uid="{00000000-0006-0000-0000-000042000000}">
      <text>
        <r>
          <rPr>
            <sz val="11"/>
            <color rgb="FF000000"/>
            <rFont val="Calibri"/>
            <scheme val="minor"/>
          </rPr>
          <t>======
ID#AAABYlgAepI
Muditha Aruppola    (2024-11-18 10:16:27)
Seller- N&amp;A ready mix
TP- 0710372879</t>
        </r>
      </text>
    </comment>
    <comment ref="Y21" authorId="0" shapeId="0" xr:uid="{00000000-0006-0000-0000-00001F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ID#AAABag-w3Yc
</t>
        </r>
        <r>
          <rPr>
            <sz val="11"/>
            <color rgb="FF000000"/>
            <rFont val="Calibri"/>
            <family val="2"/>
          </rPr>
          <t xml:space="preserve">Muditha Aruppola    (2024-12-19 04:45:44)
</t>
        </r>
        <r>
          <rPr>
            <sz val="11"/>
            <color rgb="FF000000"/>
            <rFont val="Calibri"/>
            <family val="2"/>
          </rPr>
          <t xml:space="preserve">Seller- N&amp;A ready mix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TP- 0710372879</t>
        </r>
      </text>
    </comment>
    <comment ref="T22" authorId="0" shapeId="0" xr:uid="{00000000-0006-0000-0000-00000F020000}">
      <text>
        <r>
          <rPr>
            <sz val="11"/>
            <color rgb="FF000000"/>
            <rFont val="Calibri"/>
            <scheme val="minor"/>
          </rPr>
          <t>======
ID#AAABU0VI05M
tc={F60589F7-6A30-4CF3-8994-338796B4358A}    (2024-08-29 06:55:09)
[Threaded comment]
Your version of Excel allows you to read this threaded comment; however, any edits to it will get removed if the file is opened in a newer version of Excel. Learn more: https://go.microsoft.com/fwlink/?linkid=870924
Comment:
    N &amp; A redy mix</t>
        </r>
      </text>
    </comment>
    <comment ref="U22" authorId="0" shapeId="0" xr:uid="{00000000-0006-0000-0000-0000C5020000}">
      <text>
        <r>
          <rPr>
            <sz val="11"/>
            <color rgb="FF000000"/>
            <rFont val="Calibri"/>
            <scheme val="minor"/>
          </rPr>
          <t>======
ID#AAABUz9wr6A
tc={1D1B2A08-8BED-4D00-999E-F09EF04F8F17}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ICC</t>
        </r>
      </text>
    </comment>
    <comment ref="V22" authorId="0" shapeId="0" xr:uid="{00000000-0006-0000-0000-000036010000}">
      <text>
        <r>
          <rPr>
            <sz val="11"/>
            <color rgb="FF000000"/>
            <rFont val="Calibri"/>
            <scheme val="minor"/>
          </rPr>
          <t>======
ID#AAABWRoPbkc
Muditha Aruppola    (2024-09-23 08:56:46)
Seller- ICC</t>
        </r>
      </text>
    </comment>
    <comment ref="W22" authorId="0" shapeId="0" xr:uid="{00000000-0006-0000-0000-000054000000}">
      <text>
        <r>
          <rPr>
            <sz val="11"/>
            <color rgb="FF000000"/>
            <rFont val="Calibri"/>
            <scheme val="minor"/>
          </rPr>
          <t>======
ID#AAABXKFOLBg
tc={B9ECB93E-20C3-4322-B7F6-00B70EA89761}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N&amp;A ready mix
TP- 0710372879</t>
        </r>
      </text>
    </comment>
    <comment ref="X22" authorId="0" shapeId="0" xr:uid="{00000000-0006-0000-0000-000041000000}">
      <text>
        <r>
          <rPr>
            <sz val="11"/>
            <color rgb="FF000000"/>
            <rFont val="Calibri"/>
            <scheme val="minor"/>
          </rPr>
          <t>======
ID#AAABYlgAepM
Muditha Aruppola    (2024-11-18 10:16:30)
Seller- N&amp;A ready mix
TP- 0710372879</t>
        </r>
      </text>
    </comment>
    <comment ref="Y22" authorId="0" shapeId="0" xr:uid="{00000000-0006-0000-0000-00001E000000}">
      <text>
        <r>
          <rPr>
            <sz val="11"/>
            <color rgb="FF000000"/>
            <rFont val="Calibri"/>
            <scheme val="minor"/>
          </rPr>
          <t>======
ID#AAABag-w3Yg
Muditha Aruppola    (2024-12-19 04:45:50)
Seller- N&amp;A ready mix
TP- 0710372879</t>
        </r>
      </text>
    </comment>
    <comment ref="T23" authorId="0" shapeId="0" xr:uid="{00000000-0006-0000-0000-00005B010000}">
      <text>
        <r>
          <rPr>
            <sz val="11"/>
            <color rgb="FF000000"/>
            <rFont val="Calibri"/>
            <scheme val="minor"/>
          </rPr>
          <t>======
ID#AAABU0VI1E8
tc={052685C7-0592-480F-AA87-DBB5CFED5A01}    (2024-08-29 06:55:09)
[Threaded comment]
Your version of Excel allows you to read this threaded comment; however, any edits to it will get removed if the file is opened in a newer version of Excel. Learn more: https://go.microsoft.com/fwlink/?linkid=870924
Comment:
    N &amp; A redy mix</t>
        </r>
      </text>
    </comment>
    <comment ref="U23" authorId="0" shapeId="0" xr:uid="{00000000-0006-0000-0000-000092020000}">
      <text>
        <r>
          <rPr>
            <sz val="11"/>
            <color rgb="FF000000"/>
            <rFont val="Calibri"/>
            <scheme val="minor"/>
          </rPr>
          <t>======
ID#AAABUz9wr9c
tc={6002C1E7-6CB8-4D1F-BE89-4FEDC44616D2}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ICC</t>
        </r>
      </text>
    </comment>
    <comment ref="V23" authorId="0" shapeId="0" xr:uid="{00000000-0006-0000-0000-000035010000}">
      <text>
        <r>
          <rPr>
            <sz val="11"/>
            <color rgb="FF000000"/>
            <rFont val="Calibri"/>
            <scheme val="minor"/>
          </rPr>
          <t>======
ID#AAABWRoPbkg
Muditha Aruppola    (2024-09-23 08:56:49)
Seller- ICC</t>
        </r>
      </text>
    </comment>
    <comment ref="W23" authorId="0" shapeId="0" xr:uid="{00000000-0006-0000-0000-000071000000}">
      <text>
        <r>
          <rPr>
            <sz val="11"/>
            <color rgb="FF000000"/>
            <rFont val="Calibri"/>
            <scheme val="minor"/>
          </rPr>
          <t>======
ID#AAABXKEqTcs
tc={52105DB5-1792-4AEB-9471-37ED69A2E0D3}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N&amp;A ready mix
TP- 0710372879</t>
        </r>
      </text>
    </comment>
    <comment ref="X23" authorId="0" shapeId="0" xr:uid="{00000000-0006-0000-0000-000040000000}">
      <text>
        <r>
          <rPr>
            <sz val="11"/>
            <color rgb="FF000000"/>
            <rFont val="Calibri"/>
            <scheme val="minor"/>
          </rPr>
          <t>======
ID#AAABYlgAepQ
Muditha Aruppola    (2024-11-18 10:16:34)
Seller- N&amp;A ready mix
TP- 0710372879</t>
        </r>
      </text>
    </comment>
    <comment ref="Y23" authorId="0" shapeId="0" xr:uid="{00000000-0006-0000-0000-00001D000000}">
      <text>
        <r>
          <rPr>
            <sz val="11"/>
            <color rgb="FF000000"/>
            <rFont val="Calibri"/>
            <scheme val="minor"/>
          </rPr>
          <t>======
ID#AAABag-w3Yk
Muditha Aruppola    (2024-12-19 04:45:54)
Seller- N&amp;A ready mix
TP- 0710372879</t>
        </r>
      </text>
    </comment>
    <comment ref="S25" authorId="0" shapeId="0" xr:uid="{00000000-0006-0000-0000-00003A020000}">
      <text>
        <r>
          <rPr>
            <sz val="11"/>
            <color rgb="FF000000"/>
            <rFont val="Calibri"/>
            <scheme val="minor"/>
          </rPr>
          <t>======
ID#AAABU0VI0Kc
tc={B2209A65-95F7-4FA7-847C-7EC87590654C}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SKC (pvt) ltd</t>
        </r>
      </text>
    </comment>
    <comment ref="T25" authorId="0" shapeId="0" xr:uid="{00000000-0006-0000-0000-000078010000}">
      <text>
        <r>
          <rPr>
            <sz val="11"/>
            <color rgb="FF000000"/>
            <rFont val="Calibri"/>
            <scheme val="minor"/>
          </rPr>
          <t>======
ID#AAABU0VI1DE
tc={1C5D1378-A797-4FEA-9BD8-51B54D4CF0BB}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SKC (pvt) ltd</t>
        </r>
      </text>
    </comment>
    <comment ref="U25" authorId="0" shapeId="0" xr:uid="{00000000-0006-0000-0000-000071010000}">
      <text>
        <r>
          <rPr>
            <sz val="11"/>
            <color rgb="FF000000"/>
            <rFont val="Calibri"/>
            <scheme val="minor"/>
          </rPr>
          <t>======
ID#AAABU0VI1Dg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SKC (pvt) ltd</t>
        </r>
      </text>
    </comment>
    <comment ref="W25" authorId="0" shapeId="0" xr:uid="{00000000-0006-0000-0000-00005C000000}">
      <text>
        <r>
          <rPr>
            <sz val="11"/>
            <color rgb="FF000000"/>
            <rFont val="Calibri"/>
            <scheme val="minor"/>
          </rPr>
          <t>======
ID#AAABXKFOK_w
tc={B13B8F26-55CF-40D2-8474-802446DA80FE}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Seller-Gamage Building Materials Suppliers
Location-317, 10 Malasinghagoda Road, Hokandara 10230 
TP-077 975 5754</t>
        </r>
      </text>
    </comment>
    <comment ref="X25" authorId="0" shapeId="0" xr:uid="{00000000-0006-0000-0000-00003F000000}">
      <text>
        <r>
          <rPr>
            <sz val="11"/>
            <color rgb="FF000000"/>
            <rFont val="Calibri"/>
            <scheme val="minor"/>
          </rPr>
          <t>======
ID#AAABZMs_tVY
Muditha Aruppola    (2024-12-02 03:53:24)
Seller- Neelaka Bricks 
TP-077 625 2239
Location-RWCP+7G8, Pannipitiya</t>
        </r>
      </text>
    </comment>
    <comment ref="Y25" authorId="0" shapeId="0" xr:uid="{00000000-0006-0000-0000-00000F000000}">
      <text>
        <r>
          <rPr>
            <sz val="11"/>
            <color rgb="FF000000"/>
            <rFont val="Calibri"/>
            <scheme val="minor"/>
          </rPr>
          <t>======
ID#AAABag-w3aw
Muditha Aruppola    (2024-12-19 05:32:29)
Seller- Neelaka Bricks
TP-077 625 2239
Location-RWCP+7G8, Pannipitiya</t>
        </r>
      </text>
    </comment>
    <comment ref="S26" authorId="0" shapeId="0" xr:uid="{00000000-0006-0000-0000-000047010000}">
      <text>
        <r>
          <rPr>
            <sz val="11"/>
            <color rgb="FF000000"/>
            <rFont val="Calibri"/>
            <scheme val="minor"/>
          </rPr>
          <t>======
ID#AAABU0VI1GU
tc={FE974A22-6AD0-4FAA-A4CA-E6E8A4B7148E}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Wasantha transport service 
TP- 0711500370 / 0702028651 / 0779260370 
location- No 8 , Bosirigama, 100 kanuwa , Embilipitiya 
Description - They give free transport an unloading also free</t>
        </r>
      </text>
    </comment>
    <comment ref="T26" authorId="0" shapeId="0" xr:uid="{00000000-0006-0000-0000-000046020000}">
      <text>
        <r>
          <rPr>
            <sz val="11"/>
            <color rgb="FF000000"/>
            <rFont val="Calibri"/>
            <scheme val="minor"/>
          </rPr>
          <t>======
ID#AAABU0VI0Jk
tc={B83603EE-7868-40A7-9A68-F83B66426863}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Wasantha transport service 
TP- 0711500370 / 0702028651 / 0779260370 
location- No 8 , Bosirigama, 100 kanuwa , Embilipitiya 
Description - They give free transport and unloading also free</t>
        </r>
      </text>
    </comment>
    <comment ref="U26" authorId="0" shapeId="0" xr:uid="{00000000-0006-0000-0000-0000AD020000}">
      <text>
        <r>
          <rPr>
            <sz val="11"/>
            <color rgb="FF000000"/>
            <rFont val="Calibri"/>
            <scheme val="minor"/>
          </rPr>
          <t>======
ID#AAABUz9wr7o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Wasantha transport service 
TP- 0711500370 / 0702028651 / 0779260370 
location- No 8 , Bosirigama, 100 kanuwa , Embilipitiya 
Description - They give free transport and unloading also free</t>
        </r>
      </text>
    </comment>
    <comment ref="W26" authorId="0" shapeId="0" xr:uid="{00000000-0006-0000-0000-000050000000}">
      <text>
        <r>
          <rPr>
            <sz val="11"/>
            <color rgb="FF000000"/>
            <rFont val="Calibri"/>
            <scheme val="minor"/>
          </rPr>
          <t>======
ID#AAABXKFOLCE
tc={4EFF931D-6763-4761-831B-82EDD181F81E}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Seller-Gamage Building Materials Suppliers
Location-317, 10 Malasinghagoda Road, Hokandara 10230 
TP-077 975 5754</t>
        </r>
      </text>
    </comment>
    <comment ref="X26" authorId="0" shapeId="0" xr:uid="{00000000-0006-0000-0000-00003E000000}">
      <text>
        <r>
          <rPr>
            <sz val="11"/>
            <color rgb="FF000000"/>
            <rFont val="Calibri"/>
            <scheme val="minor"/>
          </rPr>
          <t>======
ID#AAABZMs_tVc
Muditha Aruppola    (2024-12-02 03:53:27)
Seller- Neelaka Bricks
TP-077 625 2239
Location-RWCP+7G8, Pannipitiya</t>
        </r>
      </text>
    </comment>
    <comment ref="Y26" authorId="0" shapeId="0" xr:uid="{00000000-0006-0000-0000-00000E000000}">
      <text>
        <r>
          <rPr>
            <sz val="11"/>
            <color rgb="FF000000"/>
            <rFont val="Calibri"/>
            <scheme val="minor"/>
          </rPr>
          <t>======
ID#AAABag-w3a0
Muditha Aruppola    (2024-12-19 05:32:34)
Seller- Neelaka Bricks
TP-077 625 2239
Location-RWCP+7G8, Pannipitiya</t>
        </r>
      </text>
    </comment>
    <comment ref="T27" authorId="0" shapeId="0" xr:uid="{00000000-0006-0000-0000-0000A4020000}">
      <text>
        <r>
          <rPr>
            <sz val="11"/>
            <color rgb="FF000000"/>
            <rFont val="Calibri"/>
            <scheme val="minor"/>
          </rPr>
          <t>======
ID#AAABUz9wr8Q
tc={45B9D239-F588-4F5C-A61A-4C9B80AF4AA7}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U27" authorId="0" shapeId="0" xr:uid="{00000000-0006-0000-0000-00004F020000}">
      <text>
        <r>
          <rPr>
            <sz val="11"/>
            <color rgb="FF000000"/>
            <rFont val="Calibri"/>
            <scheme val="minor"/>
          </rPr>
          <t>======
ID#AAABU0VI0I8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T28" authorId="0" shapeId="0" xr:uid="{00000000-0006-0000-0000-00006D020000}">
      <text>
        <r>
          <rPr>
            <sz val="11"/>
            <color rgb="FF000000"/>
            <rFont val="Calibri"/>
            <scheme val="minor"/>
          </rPr>
          <t>======
ID#AAABUz9wr_4
tc={60190188-FADF-42D0-9CC5-1E47F26B7F88}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U28" authorId="0" shapeId="0" xr:uid="{00000000-0006-0000-0000-0000C8020000}">
      <text>
        <r>
          <rPr>
            <sz val="11"/>
            <color rgb="FF000000"/>
            <rFont val="Calibri"/>
            <scheme val="minor"/>
          </rPr>
          <t>======
ID#AAABUz9wr50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T29" authorId="0" shapeId="0" xr:uid="{00000000-0006-0000-0000-00003C020000}">
      <text>
        <r>
          <rPr>
            <sz val="11"/>
            <color rgb="FF000000"/>
            <rFont val="Calibri"/>
            <scheme val="minor"/>
          </rPr>
          <t>======
ID#AAABU0VI0KU
tc={BF2CDF78-5D01-4329-9733-22B08C8FF0A2}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U29" authorId="0" shapeId="0" xr:uid="{00000000-0006-0000-0000-000040020000}">
      <text>
        <r>
          <rPr>
            <sz val="11"/>
            <color rgb="FF000000"/>
            <rFont val="Calibri"/>
            <scheme val="minor"/>
          </rPr>
          <t>======
ID#AAABU0VI0KE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T30" authorId="0" shapeId="0" xr:uid="{00000000-0006-0000-0000-0000BC010000}">
      <text>
        <r>
          <rPr>
            <sz val="11"/>
            <color rgb="FF000000"/>
            <rFont val="Calibri"/>
            <scheme val="minor"/>
          </rPr>
          <t>======
ID#AAABU0VI0-o
tc={5BEA3413-0E29-4282-AACF-D81BFC762C79}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U30" authorId="0" shapeId="0" xr:uid="{00000000-0006-0000-0000-0000A8010000}">
      <text>
        <r>
          <rPr>
            <sz val="11"/>
            <color rgb="FF000000"/>
            <rFont val="Calibri"/>
            <scheme val="minor"/>
          </rPr>
          <t>======
ID#AAABU0VI0_4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T31" authorId="0" shapeId="0" xr:uid="{00000000-0006-0000-0000-00007F010000}">
      <text>
        <r>
          <rPr>
            <sz val="11"/>
            <color rgb="FF000000"/>
            <rFont val="Calibri"/>
            <scheme val="minor"/>
          </rPr>
          <t>======
ID#AAABU0VI1Co
tc={404EAD66-5904-4A38-B08E-308CF8A3B9AD}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U31" authorId="0" shapeId="0" xr:uid="{00000000-0006-0000-0000-000085020000}">
      <text>
        <r>
          <rPr>
            <sz val="11"/>
            <color rgb="FF000000"/>
            <rFont val="Calibri"/>
            <scheme val="minor"/>
          </rPr>
          <t>======
ID#AAABUz9wr-U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T32" authorId="0" shapeId="0" xr:uid="{00000000-0006-0000-0000-0000C2020000}">
      <text>
        <r>
          <rPr>
            <sz val="11"/>
            <color rgb="FF000000"/>
            <rFont val="Calibri"/>
            <scheme val="minor"/>
          </rPr>
          <t>======
ID#AAABUz9wr6M
tc={D8AA9AAB-5EFF-4430-BDCB-1C068097B1F7}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U32" authorId="0" shapeId="0" xr:uid="{00000000-0006-0000-0000-000034020000}">
      <text>
        <r>
          <rPr>
            <sz val="11"/>
            <color rgb="FF000000"/>
            <rFont val="Calibri"/>
            <scheme val="minor"/>
          </rPr>
          <t>======
ID#AAABU0VI0Kw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SMS Holdings (Pvt) Ltd 
TP- 0770805000
Location- 622 E W Perera Mawatha, Sri Jayawardenepura Kotte 10100</t>
        </r>
      </text>
    </comment>
    <comment ref="S33" authorId="0" shapeId="0" xr:uid="{00000000-0006-0000-0000-0000EF010000}">
      <text>
        <r>
          <rPr>
            <sz val="11"/>
            <color rgb="FF000000"/>
            <rFont val="Calibri"/>
            <scheme val="minor"/>
          </rPr>
          <t>======
ID#AAABU0VI07Y
tc={899ED1F6-5B25-4032-B21E-CE2C0B0E448F}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T33" authorId="0" shapeId="0" xr:uid="{00000000-0006-0000-0000-0000BA010000}">
      <text>
        <r>
          <rPr>
            <sz val="11"/>
            <color rgb="FF000000"/>
            <rFont val="Calibri"/>
            <scheme val="minor"/>
          </rPr>
          <t>======
ID#AAABU0VI0-w
tc={234EF60E-49A3-44C4-BA23-137DA571EB12}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U33" authorId="0" shapeId="0" xr:uid="{00000000-0006-0000-0000-000005020000}">
      <text>
        <r>
          <rPr>
            <sz val="11"/>
            <color rgb="FF000000"/>
            <rFont val="Calibri"/>
            <scheme val="minor"/>
          </rPr>
          <t>======
ID#AAABU0VI058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V33" authorId="0" shapeId="0" xr:uid="{00000000-0006-0000-0000-000095000000}">
      <text>
        <r>
          <rPr>
            <sz val="11"/>
            <color rgb="FF000000"/>
            <rFont val="Calibri"/>
            <scheme val="minor"/>
          </rPr>
          <t>======
ID#AAABWUoO9hU
Muditha Aruppola    (2024-09-26 09:28:42)
Seller- AAC Lanka</t>
        </r>
      </text>
    </comment>
    <comment ref="W33" authorId="0" shapeId="0" xr:uid="{00000000-0006-0000-0000-000096000000}">
      <text>
        <r>
          <rPr>
            <sz val="11"/>
            <color rgb="FF000000"/>
            <rFont val="Calibri"/>
            <scheme val="minor"/>
          </rPr>
          <t>======
ID#AAABXKFOK_s
Muditha Aruppola    (2024-09-26 09:28:42)
Seller- AAC Lanka</t>
        </r>
      </text>
    </comment>
    <comment ref="S34" authorId="0" shapeId="0" xr:uid="{00000000-0006-0000-0000-00004A020000}">
      <text>
        <r>
          <rPr>
            <sz val="11"/>
            <color rgb="FF000000"/>
            <rFont val="Calibri"/>
            <scheme val="minor"/>
          </rPr>
          <t>======
ID#AAABU0VI0JQ
tc={ADF238CE-2703-4BFC-9E72-A726C3F91C8F}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T34" authorId="0" shapeId="0" xr:uid="{00000000-0006-0000-0000-00008C010000}">
      <text>
        <r>
          <rPr>
            <sz val="11"/>
            <color rgb="FF000000"/>
            <rFont val="Calibri"/>
            <scheme val="minor"/>
          </rPr>
          <t>======
ID#AAABU0VI1Bs
tc={187944A0-C368-4BCA-92EE-719E98D4139C}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U34" authorId="0" shapeId="0" xr:uid="{00000000-0006-0000-0000-00007F020000}">
      <text>
        <r>
          <rPr>
            <sz val="11"/>
            <color rgb="FF000000"/>
            <rFont val="Calibri"/>
            <scheme val="minor"/>
          </rPr>
          <t>======
ID#AAABUz9wr-s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V34" authorId="0" shapeId="0" xr:uid="{00000000-0006-0000-0000-000093000000}">
      <text>
        <r>
          <rPr>
            <sz val="11"/>
            <color rgb="FF000000"/>
            <rFont val="Calibri"/>
            <scheme val="minor"/>
          </rPr>
          <t>======
ID#AAABWUoO9hY
Muditha Aruppola    (2024-09-26 09:28:48)
Seller- AAC Lanka</t>
        </r>
      </text>
    </comment>
    <comment ref="W34" authorId="0" shapeId="0" xr:uid="{00000000-0006-0000-0000-000094000000}">
      <text>
        <r>
          <rPr>
            <sz val="11"/>
            <color rgb="FF000000"/>
            <rFont val="Calibri"/>
            <scheme val="minor"/>
          </rPr>
          <t>======
ID#AAABXKFOLAM
Muditha Aruppola    (2024-09-26 09:28:48)
Seller- AAC Lanka</t>
        </r>
      </text>
    </comment>
    <comment ref="S35" authorId="0" shapeId="0" xr:uid="{00000000-0006-0000-0000-0000B2020000}">
      <text>
        <r>
          <rPr>
            <sz val="11"/>
            <color rgb="FF000000"/>
            <rFont val="Calibri"/>
            <scheme val="minor"/>
          </rPr>
          <t>======
ID#AAABUz9wr7U
tc={E440020E-5047-49CC-A8AD-89ACB886179E}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T35" authorId="0" shapeId="0" xr:uid="{00000000-0006-0000-0000-00002D020000}">
      <text>
        <r>
          <rPr>
            <sz val="11"/>
            <color rgb="FF000000"/>
            <rFont val="Calibri"/>
            <scheme val="minor"/>
          </rPr>
          <t>======
ID#AAABU0VI0LU
tc={C91794F0-7BCB-4C3D-B84D-D13C0346B710}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U35" authorId="0" shapeId="0" xr:uid="{00000000-0006-0000-0000-0000F2010000}">
      <text>
        <r>
          <rPr>
            <sz val="11"/>
            <color rgb="FF000000"/>
            <rFont val="Calibri"/>
            <scheme val="minor"/>
          </rPr>
          <t>======
ID#AAABU0VI07M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V35" authorId="0" shapeId="0" xr:uid="{00000000-0006-0000-0000-000091000000}">
      <text>
        <r>
          <rPr>
            <sz val="11"/>
            <color rgb="FF000000"/>
            <rFont val="Calibri"/>
            <scheme val="minor"/>
          </rPr>
          <t>======
ID#AAABWUoO9hc
Muditha Aruppola    (2024-09-26 09:28:51)
Seller- AAC Lanka</t>
        </r>
      </text>
    </comment>
    <comment ref="W35" authorId="0" shapeId="0" xr:uid="{00000000-0006-0000-0000-000092000000}">
      <text>
        <r>
          <rPr>
            <sz val="11"/>
            <color rgb="FF000000"/>
            <rFont val="Calibri"/>
            <scheme val="minor"/>
          </rPr>
          <t>======
ID#AAABXKFOLBM
Muditha Aruppola    (2024-09-26 09:28:51)
Seller- AAC Lanka</t>
        </r>
      </text>
    </comment>
    <comment ref="S36" authorId="0" shapeId="0" xr:uid="{00000000-0006-0000-0000-0000B1020000}">
      <text>
        <r>
          <rPr>
            <sz val="11"/>
            <color rgb="FF000000"/>
            <rFont val="Calibri"/>
            <scheme val="minor"/>
          </rPr>
          <t>======
ID#AAABUz9wr7Y
tc={3D7429A1-441A-4DBF-9349-CF184A3A0B35}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T36" authorId="0" shapeId="0" xr:uid="{00000000-0006-0000-0000-0000C3020000}">
      <text>
        <r>
          <rPr>
            <sz val="11"/>
            <color rgb="FF000000"/>
            <rFont val="Calibri"/>
            <scheme val="minor"/>
          </rPr>
          <t>======
ID#AAABUz9wr6I
tc={B77C70D4-1C97-45F1-B618-1B85CB8A26F9}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U36" authorId="0" shapeId="0" xr:uid="{00000000-0006-0000-0000-00008B010000}">
      <text>
        <r>
          <rPr>
            <sz val="11"/>
            <color rgb="FF000000"/>
            <rFont val="Calibri"/>
            <scheme val="minor"/>
          </rPr>
          <t>======
ID#AAABU0VI1Bw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V36" authorId="0" shapeId="0" xr:uid="{00000000-0006-0000-0000-00008F000000}">
      <text>
        <r>
          <rPr>
            <sz val="11"/>
            <color rgb="FF000000"/>
            <rFont val="Calibri"/>
            <scheme val="minor"/>
          </rPr>
          <t>======
ID#AAABWUoO9hg
Muditha Aruppola    (2024-09-26 09:28:53)
Seller- AAC Lanka</t>
        </r>
      </text>
    </comment>
    <comment ref="W36" authorId="0" shapeId="0" xr:uid="{00000000-0006-0000-0000-000090000000}">
      <text>
        <r>
          <rPr>
            <sz val="11"/>
            <color rgb="FF000000"/>
            <rFont val="Calibri"/>
            <scheme val="minor"/>
          </rPr>
          <t>======
ID#AAABXKFOK9I
Muditha Aruppola    (2024-09-26 09:28:53)
Seller- AAC Lanka</t>
        </r>
      </text>
    </comment>
    <comment ref="S37" authorId="0" shapeId="0" xr:uid="{00000000-0006-0000-0000-0000B8010000}">
      <text>
        <r>
          <rPr>
            <sz val="11"/>
            <color rgb="FF000000"/>
            <rFont val="Calibri"/>
            <scheme val="minor"/>
          </rPr>
          <t>======
ID#AAABU0VI0-4
tc={C9373E03-5D4B-4335-9529-3429C1F56288}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T37" authorId="0" shapeId="0" xr:uid="{00000000-0006-0000-0000-0000C7010000}">
      <text>
        <r>
          <rPr>
            <sz val="11"/>
            <color rgb="FF000000"/>
            <rFont val="Calibri"/>
            <scheme val="minor"/>
          </rPr>
          <t>======
ID#AAABU0VI098
tc={F01CB82F-D364-4EE1-83E7-147B99FE996B}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U37" authorId="0" shapeId="0" xr:uid="{00000000-0006-0000-0000-0000E6010000}">
      <text>
        <r>
          <rPr>
            <sz val="11"/>
            <color rgb="FF000000"/>
            <rFont val="Calibri"/>
            <scheme val="minor"/>
          </rPr>
          <t>======
ID#AAABU0VI078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Lanka AAC (Pvt) Ltd 
TP-  077 429 4069 
Location- XVQH+X55, Bodhirajapura</t>
        </r>
      </text>
    </comment>
    <comment ref="V37" authorId="0" shapeId="0" xr:uid="{00000000-0006-0000-0000-00008D000000}">
      <text>
        <r>
          <rPr>
            <sz val="11"/>
            <color rgb="FF000000"/>
            <rFont val="Calibri"/>
            <scheme val="minor"/>
          </rPr>
          <t>======
ID#AAABWUoO9hk
Muditha Aruppola    (2024-09-26 09:28:56)
Seller- AAC Lanka</t>
        </r>
      </text>
    </comment>
    <comment ref="W37" authorId="0" shapeId="0" xr:uid="{00000000-0006-0000-0000-00008E000000}">
      <text>
        <r>
          <rPr>
            <sz val="11"/>
            <color rgb="FF000000"/>
            <rFont val="Calibri"/>
            <scheme val="minor"/>
          </rPr>
          <t>======
ID#AAABXKFOLBo
Muditha Aruppola    (2024-09-26 09:28:56)
Seller- AAC Lanka</t>
        </r>
      </text>
    </comment>
    <comment ref="S38" authorId="0" shapeId="0" xr:uid="{00000000-0006-0000-0000-0000C1020000}">
      <text>
        <r>
          <rPr>
            <sz val="11"/>
            <color rgb="FF000000"/>
            <rFont val="Calibri"/>
            <scheme val="minor"/>
          </rPr>
          <t>======
ID#AAABUz9wr6Q
tc={A9FAD4E3-F4CE-4873-8C81-A424D9675501}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 
Location- Kaduwela</t>
        </r>
      </text>
    </comment>
    <comment ref="T38" authorId="0" shapeId="0" xr:uid="{00000000-0006-0000-0000-00009C020000}">
      <text>
        <r>
          <rPr>
            <sz val="11"/>
            <color rgb="FF000000"/>
            <rFont val="Calibri"/>
            <scheme val="minor"/>
          </rPr>
          <t>======
ID#AAABUz9wr8w
tc={8DC345EB-9FE2-423A-99A6-0AC0DF634047}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 
Location- Kaduwela</t>
        </r>
      </text>
    </comment>
    <comment ref="U38" authorId="0" shapeId="0" xr:uid="{00000000-0006-0000-0000-00003F020000}">
      <text>
        <r>
          <rPr>
            <sz val="11"/>
            <color rgb="FF000000"/>
            <rFont val="Calibri"/>
            <scheme val="minor"/>
          </rPr>
          <t>======
ID#AAABU0VI0KI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 
Location- Kaduwela</t>
        </r>
      </text>
    </comment>
    <comment ref="V38" authorId="0" shapeId="0" xr:uid="{00000000-0006-0000-0000-00008B000000}">
      <text>
        <r>
          <rPr>
            <sz val="11"/>
            <color rgb="FF000000"/>
            <rFont val="Calibri"/>
            <scheme val="minor"/>
          </rPr>
          <t>======
ID#AAABWUoO9ho
Muditha Aruppola    (2024-09-26 09:29:14)
Seller- Anuradhapura Holdings (Pvt) Ltd
TP- 070 344 4047
Location- Kaduwela</t>
        </r>
      </text>
    </comment>
    <comment ref="W38" authorId="0" shapeId="0" xr:uid="{00000000-0006-0000-0000-00008C000000}">
      <text>
        <r>
          <rPr>
            <sz val="11"/>
            <color rgb="FF000000"/>
            <rFont val="Calibri"/>
            <scheme val="minor"/>
          </rPr>
          <t>======
ID#AAABXKBgNws
Muditha Aruppola    (2024-09-26 09:29:14)
Seller- Anuradhapura Holdings (Pvt) Ltd
TP- 070 344 4047
Location- Kaduwela</t>
        </r>
      </text>
    </comment>
    <comment ref="X38" authorId="0" shapeId="0" xr:uid="{00000000-0006-0000-0000-00003D000000}">
      <text>
        <r>
          <rPr>
            <sz val="11"/>
            <color rgb="FF000000"/>
            <rFont val="Calibri"/>
            <scheme val="minor"/>
          </rPr>
          <t>======
ID#AAABZMs_tV4
Muditha Aruppola    (2024-12-02 04:04:14)
Seller- Anuradhapura Holdings (Pvt) Ltd
TP- 070 344 4047,0703344055
Location- Kaduwela</t>
        </r>
      </text>
    </comment>
    <comment ref="Y38" authorId="0" shapeId="0" xr:uid="{00000000-0006-0000-0000-000023000000}">
      <text>
        <r>
          <rPr>
            <sz val="11"/>
            <color rgb="FF000000"/>
            <rFont val="Calibri"/>
            <scheme val="minor"/>
          </rPr>
          <t>======
ID#AAABag-w3YM
Muditha Aruppola    (2024-12-19 04:45:26)
Seller- Anuradhapura Holdings (Pvt) Ltd
TP- 070 344 4047,0703344055
Location- Kaduwela</t>
        </r>
      </text>
    </comment>
    <comment ref="S39" authorId="0" shapeId="0" xr:uid="{00000000-0006-0000-0000-0000FB01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ID#AAABU0VI06k
</t>
        </r>
        <r>
          <rPr>
            <sz val="11"/>
            <color rgb="FF000000"/>
            <rFont val="Calibri"/>
            <family val="2"/>
          </rPr>
          <t xml:space="preserve">tc={51174728-E932-4BC4-97DA-4023C377F83B}    (2024-08-29 06:55:09)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Anuradhapura Holdings (Pvt) Ltd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TP- 070 344 4047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Location- Kaduwela</t>
        </r>
      </text>
    </comment>
    <comment ref="T39" authorId="0" shapeId="0" xr:uid="{00000000-0006-0000-0000-000062010000}">
      <text>
        <r>
          <rPr>
            <sz val="11"/>
            <color rgb="FF000000"/>
            <rFont val="Calibri"/>
            <scheme val="minor"/>
          </rPr>
          <t>======
ID#AAABU0VI1Eg
tc={4AA669F0-5E2F-4275-A5AD-3233EFE25469}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 
Location- Kaduwela</t>
        </r>
      </text>
    </comment>
    <comment ref="U39" authorId="0" shapeId="0" xr:uid="{00000000-0006-0000-0000-00003B010000}">
      <text>
        <r>
          <rPr>
            <sz val="11"/>
            <color rgb="FF000000"/>
            <rFont val="Calibri"/>
            <scheme val="minor"/>
          </rPr>
          <t>======
ID#AAABU0VI1HE
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4047,070 344 4043
Location- Kaduwela</t>
        </r>
      </text>
    </comment>
    <comment ref="V39" authorId="0" shapeId="0" xr:uid="{00000000-0006-0000-0000-000089000000}">
      <text>
        <r>
          <rPr>
            <sz val="11"/>
            <color rgb="FF000000"/>
            <rFont val="Calibri"/>
            <scheme val="minor"/>
          </rPr>
          <t>======
ID#AAABWUoO9hs
Muditha Aruppola    (2024-09-26 09:29:16)
Seller- Anuradhapura Holdings (Pvt) Ltd
TP- 070 344 4048
Location- Kaduwela</t>
        </r>
      </text>
    </comment>
    <comment ref="W39" authorId="0" shapeId="0" xr:uid="{00000000-0006-0000-0000-00008A000000}">
      <text>
        <r>
          <rPr>
            <sz val="11"/>
            <color rgb="FF000000"/>
            <rFont val="Calibri"/>
            <scheme val="minor"/>
          </rPr>
          <t>======
ID#AAABXKEqTc4
Muditha Aruppola    (2024-09-26 09:29:16)
Seller- Anuradhapura Holdings (Pvt) Ltd
TP- 070 344 4048
Location- Kaduwela</t>
        </r>
      </text>
    </comment>
    <comment ref="X39" authorId="0" shapeId="0" xr:uid="{00000000-0006-0000-0000-00003C000000}">
      <text>
        <r>
          <rPr>
            <sz val="11"/>
            <color rgb="FF000000"/>
            <rFont val="Calibri"/>
            <scheme val="minor"/>
          </rPr>
          <t>======
ID#AAABZMs_tV8
Muditha Aruppola    (2024-12-02 04:04:17)
Seller- Anuradhapura Holdings (Pvt) Ltd
TP- 070 344 4047
Location- Kaduwela</t>
        </r>
      </text>
    </comment>
    <comment ref="Y39" authorId="0" shapeId="0" xr:uid="{00000000-0006-0000-0000-000022000000}">
      <text>
        <r>
          <rPr>
            <sz val="11"/>
            <color rgb="FF000000"/>
            <rFont val="Calibri"/>
            <scheme val="minor"/>
          </rPr>
          <t>======
ID#AAABag-w3YQ
Muditha Aruppola    (2024-12-19 04:45:28)
Seller- Anuradhapura Holdings (Pvt) Ltd
TP- 070 344 4047,0703344055
Location- Kaduwela</t>
        </r>
      </text>
    </comment>
    <comment ref="S40" authorId="0" shapeId="0" xr:uid="{00000000-0006-0000-0000-00005101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ID#AAABU0VI1Fs
</t>
        </r>
        <r>
          <rPr>
            <sz val="11"/>
            <color rgb="FF000000"/>
            <rFont val="Calibri"/>
            <family val="2"/>
          </rPr>
          <t xml:space="preserve">tc={40F26A58-8A23-4961-A19F-657EA271EF8E}    (2024-08-29 06:55:09)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Anuradhapura Holdings (Pvt) Ltd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TP- 070 344 4047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Location- Kaduwela</t>
        </r>
      </text>
    </comment>
    <comment ref="T40" authorId="0" shapeId="0" xr:uid="{00000000-0006-0000-0000-0000E2010000}">
      <text>
        <r>
          <rPr>
            <sz val="11"/>
            <color rgb="FF000000"/>
            <rFont val="Calibri"/>
            <scheme val="minor"/>
          </rPr>
          <t>======
ID#AAABU0VI08M
tc={FDB4A1D0-6267-4DBE-BACF-57433BC87518}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 
Location- Kaduwela</t>
        </r>
      </text>
    </comment>
    <comment ref="U40" authorId="0" shapeId="0" xr:uid="{00000000-0006-0000-0000-000045020000}">
      <text>
        <r>
          <rPr>
            <sz val="11"/>
            <color rgb="FF000000"/>
            <rFont val="Calibri"/>
            <scheme val="minor"/>
          </rPr>
          <t>======
ID#AAABU0VI0Jo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Anuradhapura Holdings (Pvt) Ltd 
TP- 070 344 4047 
Location- Kaduwela</t>
        </r>
      </text>
    </comment>
    <comment ref="V40" authorId="0" shapeId="0" xr:uid="{00000000-0006-0000-0000-000087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ID#AAABWUoO9hw
</t>
        </r>
        <r>
          <rPr>
            <sz val="11"/>
            <color rgb="FF000000"/>
            <rFont val="Calibri"/>
            <family val="2"/>
          </rPr>
          <t xml:space="preserve">Muditha Aruppola    (2024-09-26 09:29:19)
</t>
        </r>
        <r>
          <rPr>
            <sz val="11"/>
            <color rgb="FF000000"/>
            <rFont val="Calibri"/>
            <family val="2"/>
          </rPr>
          <t xml:space="preserve">Seller- Anuradhapura Holdings (Pvt) Ltd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TP- 070 344 4047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Location- Kaduwela</t>
        </r>
      </text>
    </comment>
    <comment ref="W40" authorId="0" shapeId="0" xr:uid="{00000000-0006-0000-0000-000088000000}">
      <text>
        <r>
          <rPr>
            <sz val="11"/>
            <color rgb="FF000000"/>
            <rFont val="Calibri"/>
            <scheme val="minor"/>
          </rPr>
          <t>======
ID#AAABXKFOLAY
Muditha Aruppola    (2024-09-26 09:29:19)
Seller- Anuradhapura Holdings (Pvt) Ltd
TP- 070 344 4047
Location- Kaduwela</t>
        </r>
      </text>
    </comment>
    <comment ref="X40" authorId="0" shapeId="0" xr:uid="{00000000-0006-0000-0000-00003B000000}">
      <text>
        <r>
          <rPr>
            <sz val="11"/>
            <color rgb="FF000000"/>
            <rFont val="Calibri"/>
            <scheme val="minor"/>
          </rPr>
          <t>======
ID#AAABZMs_tWA
Muditha Aruppola    (2024-12-02 04:04:20)
Seller- Anuradhapura Holdings (Pvt) Ltd
TP- 070 344 4047
Location- Kaduwela</t>
        </r>
      </text>
    </comment>
    <comment ref="Y40" authorId="0" shapeId="0" xr:uid="{00000000-0006-0000-0000-000021000000}">
      <text>
        <r>
          <rPr>
            <sz val="11"/>
            <color rgb="FF000000"/>
            <rFont val="Calibri"/>
            <scheme val="minor"/>
          </rPr>
          <t>======
ID#AAABag-w3YU
Muditha Aruppola    (2024-12-19 04:45:31)
Seller- Anuradhapura Holdings (Pvt) Ltd
TP- 070 344 4047,0703344055
Location- Kaduwela</t>
        </r>
      </text>
    </comment>
    <comment ref="S43" authorId="0" shapeId="0" xr:uid="{00000000-0006-0000-0000-000042010000}">
      <text>
        <r>
          <rPr>
            <sz val="11"/>
            <color rgb="FF000000"/>
            <rFont val="Calibri"/>
            <scheme val="minor"/>
          </rPr>
          <t>======
ID#AAABU0VI1Go
tc={0649E803-1817-41C5-A943-B3121B2A0778}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3" authorId="0" shapeId="0" xr:uid="{00000000-0006-0000-0000-0000AC020000}">
      <text>
        <r>
          <rPr>
            <sz val="11"/>
            <color rgb="FF000000"/>
            <rFont val="Calibri"/>
            <scheme val="minor"/>
          </rPr>
          <t>======
ID#AAABUz9wr7s
tc={554DE063-5546-41AC-A0F1-3018964E9E95}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43" authorId="0" shapeId="0" xr:uid="{00000000-0006-0000-0000-0000D4020000}">
      <text>
        <r>
          <rPr>
            <sz val="11"/>
            <color rgb="FF000000"/>
            <rFont val="Calibri"/>
            <scheme val="minor"/>
          </rPr>
          <t>======
ID#AAABUz9wr5E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3" authorId="0" shapeId="0" xr:uid="{00000000-0006-0000-0000-0000F0000000}">
      <text>
        <r>
          <rPr>
            <sz val="11"/>
            <color rgb="FF000000"/>
            <rFont val="Calibri"/>
            <scheme val="minor"/>
          </rPr>
          <t>======
ID#AAABVt92tE0
Muditha Aruppola    (2024-09-25 04:04:46)
Seller- Mr Punsiri
TP- 07703463528</t>
        </r>
      </text>
    </comment>
    <comment ref="W43" authorId="0" shapeId="0" xr:uid="{00000000-0006-0000-0000-0000F1000000}">
      <text>
        <r>
          <rPr>
            <sz val="11"/>
            <color rgb="FF000000"/>
            <rFont val="Calibri"/>
            <scheme val="minor"/>
          </rPr>
          <t>======
ID#AAABXKFOK_c
Muditha Aruppola    (2024-09-25 04:04:46)
Seller- Mr Punsiri
TP- 07703463528</t>
        </r>
      </text>
    </comment>
    <comment ref="X43" authorId="0" shapeId="0" xr:uid="{00000000-0006-0000-0000-00003A000000}">
      <text>
        <r>
          <rPr>
            <sz val="11"/>
            <color rgb="FF000000"/>
            <rFont val="Calibri"/>
            <scheme val="minor"/>
          </rPr>
          <t>======
ID#AAABZikzLXk
Muditha Aruppola    (2024-12-02 08:18:06)
Seller- Mr Punsiri
TP- 0773463528</t>
        </r>
      </text>
    </comment>
    <comment ref="Y43" authorId="0" shapeId="0" xr:uid="{00000000-0006-0000-0000-00002B000000}">
      <text>
        <r>
          <rPr>
            <sz val="11"/>
            <color rgb="FF000000"/>
            <rFont val="Calibri"/>
            <scheme val="minor"/>
          </rPr>
          <t>======
ID#AAABag-w3XE
Muditha Aruppola    (2024-12-19 04:29:23)
Seller- Mr Punsiri
TP- 0773463528</t>
        </r>
      </text>
    </comment>
    <comment ref="S44" authorId="0" shapeId="0" xr:uid="{00000000-0006-0000-0000-0000FD010000}">
      <text>
        <r>
          <rPr>
            <sz val="11"/>
            <color rgb="FF000000"/>
            <rFont val="Calibri"/>
            <scheme val="minor"/>
          </rPr>
          <t>======
ID#AAABU0VI06c
tc={B92178E0-524A-4796-8C8C-E93B6E5E988D}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4" authorId="0" shapeId="0" xr:uid="{00000000-0006-0000-0000-00009C010000}">
      <text>
        <r>
          <rPr>
            <sz val="11"/>
            <color rgb="FF000000"/>
            <rFont val="Calibri"/>
            <scheme val="minor"/>
          </rPr>
          <t>======
ID#AAABU0VI1Ao
tc={06824F55-9EAE-42C8-9DFE-F8470558AD82}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44" authorId="0" shapeId="0" xr:uid="{00000000-0006-0000-0000-000093020000}">
      <text>
        <r>
          <rPr>
            <sz val="11"/>
            <color rgb="FF000000"/>
            <rFont val="Calibri"/>
            <scheme val="minor"/>
          </rPr>
          <t>======
ID#AAABUz9wr9Y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4" authorId="0" shapeId="0" xr:uid="{00000000-0006-0000-0000-0000EE000000}">
      <text>
        <r>
          <rPr>
            <sz val="11"/>
            <color rgb="FF000000"/>
            <rFont val="Calibri"/>
            <scheme val="minor"/>
          </rPr>
          <t>======
ID#AAABVt92tE4
Muditha Aruppola    (2024-09-25 04:04:51)
Seller- Mr Punsiri
TP- 07703463528</t>
        </r>
      </text>
    </comment>
    <comment ref="W44" authorId="0" shapeId="0" xr:uid="{00000000-0006-0000-0000-0000EF000000}">
      <text>
        <r>
          <rPr>
            <sz val="11"/>
            <color rgb="FF000000"/>
            <rFont val="Calibri"/>
            <scheme val="minor"/>
          </rPr>
          <t>======
ID#AAABXKEqTcc
Muditha Aruppola    (2024-09-25 04:04:51)
Seller- Mr Punsiri
TP- 07703463528</t>
        </r>
      </text>
    </comment>
    <comment ref="X44" authorId="0" shapeId="0" xr:uid="{00000000-0006-0000-0000-000039000000}">
      <text>
        <r>
          <rPr>
            <sz val="11"/>
            <color rgb="FF000000"/>
            <rFont val="Calibri"/>
            <scheme val="minor"/>
          </rPr>
          <t>======
ID#AAABZikzLXo
Muditha Aruppola    (2024-12-02 08:18:11)
Seller- Mr Punsiri
TP- 0773463528</t>
        </r>
      </text>
    </comment>
    <comment ref="Y44" authorId="0" shapeId="0" xr:uid="{00000000-0006-0000-0000-00002A000000}">
      <text>
        <r>
          <rPr>
            <sz val="11"/>
            <color rgb="FF000000"/>
            <rFont val="Calibri"/>
            <scheme val="minor"/>
          </rPr>
          <t>======
ID#AAABag-w3XI
Muditha Aruppola    (2024-12-19 04:29:26)
Seller- Mr Punsiri
TP- 0773463528</t>
        </r>
      </text>
    </comment>
    <comment ref="S45" authorId="0" shapeId="0" xr:uid="{00000000-0006-0000-0000-0000BF010000}">
      <text>
        <r>
          <rPr>
            <sz val="11"/>
            <color rgb="FF000000"/>
            <rFont val="Calibri"/>
            <scheme val="minor"/>
          </rPr>
          <t>======
ID#AAABU0VI0-c
tc={6996C683-B159-45E6-9625-846F1EE4C003}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5" authorId="0" shapeId="0" xr:uid="{00000000-0006-0000-0000-0000C6010000}">
      <text>
        <r>
          <rPr>
            <sz val="11"/>
            <color rgb="FF000000"/>
            <rFont val="Calibri"/>
            <scheme val="minor"/>
          </rPr>
          <t>======
ID#AAABU0VI0-A
tc={B3381A84-2949-414F-87E3-7D1DD5FE0686}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45" authorId="0" shapeId="0" xr:uid="{00000000-0006-0000-0000-0000D5020000}">
      <text>
        <r>
          <rPr>
            <sz val="11"/>
            <color rgb="FF000000"/>
            <rFont val="Calibri"/>
            <scheme val="minor"/>
          </rPr>
          <t>======
ID#AAABUz9wr5A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5" authorId="0" shapeId="0" xr:uid="{00000000-0006-0000-0000-0000EC000000}">
      <text>
        <r>
          <rPr>
            <sz val="11"/>
            <color rgb="FF000000"/>
            <rFont val="Calibri"/>
            <scheme val="minor"/>
          </rPr>
          <t>======
ID#AAABVt92tE8
Muditha Aruppola    (2024-09-25 04:04:55)
Seller- Mr Punsiri
TP- 07703463528</t>
        </r>
      </text>
    </comment>
    <comment ref="W45" authorId="0" shapeId="0" xr:uid="{00000000-0006-0000-0000-0000ED000000}">
      <text>
        <r>
          <rPr>
            <sz val="11"/>
            <color rgb="FF000000"/>
            <rFont val="Calibri"/>
            <scheme val="minor"/>
          </rPr>
          <t>======
ID#AAABXKFOLBE
Muditha Aruppola    (2024-09-25 04:04:55)
Seller- Mr Punsiri
TP- 07703463528</t>
        </r>
      </text>
    </comment>
    <comment ref="X45" authorId="0" shapeId="0" xr:uid="{00000000-0006-0000-0000-000038000000}">
      <text>
        <r>
          <rPr>
            <sz val="11"/>
            <color rgb="FF000000"/>
            <rFont val="Calibri"/>
            <scheme val="minor"/>
          </rPr>
          <t>======
ID#AAABZikzLXs
Muditha Aruppola    (2024-12-02 08:18:14)
Seller- Mr Punsiri
TP- 0773463528</t>
        </r>
      </text>
    </comment>
    <comment ref="Y45" authorId="0" shapeId="0" xr:uid="{00000000-0006-0000-0000-000029000000}">
      <text>
        <r>
          <rPr>
            <sz val="11"/>
            <color rgb="FF000000"/>
            <rFont val="Calibri"/>
            <scheme val="minor"/>
          </rPr>
          <t>======
ID#AAABag-w3XM
Muditha Aruppola    (2024-12-19 04:29:29)
Seller- Mr Punsiri
TP- 0773463528</t>
        </r>
      </text>
    </comment>
    <comment ref="S46" authorId="0" shapeId="0" xr:uid="{00000000-0006-0000-0000-0000CA010000}">
      <text>
        <r>
          <rPr>
            <sz val="11"/>
            <color rgb="FF000000"/>
            <rFont val="Calibri"/>
            <scheme val="minor"/>
          </rPr>
          <t>======
ID#AAABU0VI09w
tc={CA9FC469-3E07-4843-B6AC-2E3171B1D90B}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6" authorId="0" shapeId="0" xr:uid="{00000000-0006-0000-0000-0000CE01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ID#AAABU0VI09g
</t>
        </r>
        <r>
          <rPr>
            <sz val="11"/>
            <color rgb="FF000000"/>
            <rFont val="Calibri"/>
            <family val="2"/>
          </rPr>
          <t xml:space="preserve">tc={00A727E1-1A38-424A-82C4-5EC022E071C9}    (2024-08-29 06:55:09)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Mr Punsiri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TP- 07703463528</t>
        </r>
      </text>
    </comment>
    <comment ref="U46" authorId="0" shapeId="0" xr:uid="{00000000-0006-0000-0000-0000BE020000}">
      <text>
        <r>
          <rPr>
            <sz val="11"/>
            <color rgb="FF000000"/>
            <rFont val="Calibri"/>
            <scheme val="minor"/>
          </rPr>
          <t>======
ID#AAABUz9wr6c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6" authorId="0" shapeId="0" xr:uid="{00000000-0006-0000-0000-0000EA000000}">
      <text>
        <r>
          <rPr>
            <sz val="11"/>
            <color rgb="FF000000"/>
            <rFont val="Calibri"/>
            <scheme val="minor"/>
          </rPr>
          <t>======
ID#AAABVt92tFA
Muditha Aruppola    (2024-09-25 04:04:57)
Seller- Mr Punsiri
TP- 07703463528</t>
        </r>
      </text>
    </comment>
    <comment ref="W46" authorId="0" shapeId="0" xr:uid="{00000000-0006-0000-0000-0000EB000000}">
      <text>
        <r>
          <rPr>
            <sz val="11"/>
            <color rgb="FF000000"/>
            <rFont val="Calibri"/>
            <scheme val="minor"/>
          </rPr>
          <t>======
ID#AAABXKFOK_o
Muditha Aruppola    (2024-09-25 04:04:57)
Seller- Mr Punsiri
TP- 07703463528</t>
        </r>
      </text>
    </comment>
    <comment ref="X46" authorId="0" shapeId="0" xr:uid="{00000000-0006-0000-0000-000037000000}">
      <text>
        <r>
          <rPr>
            <sz val="11"/>
            <color rgb="FF000000"/>
            <rFont val="Calibri"/>
            <scheme val="minor"/>
          </rPr>
          <t>======
ID#AAABZikzLXw
Muditha Aruppola    (2024-12-02 08:18:17)
Seller- Mr Punsiri
TP- 0773463528</t>
        </r>
      </text>
    </comment>
    <comment ref="Y46" authorId="0" shapeId="0" xr:uid="{00000000-0006-0000-0000-000028000000}">
      <text>
        <r>
          <rPr>
            <sz val="11"/>
            <color rgb="FF000000"/>
            <rFont val="Calibri"/>
            <scheme val="minor"/>
          </rPr>
          <t>======
ID#AAABag-w3XQ
Muditha Aruppola    (2024-12-19 04:29:32)
Seller- Mr Punsiri
TP- 0773463528</t>
        </r>
      </text>
    </comment>
    <comment ref="S47" authorId="0" shapeId="0" xr:uid="{00000000-0006-0000-0000-0000E2020000}">
      <text>
        <r>
          <rPr>
            <sz val="11"/>
            <color rgb="FF000000"/>
            <rFont val="Calibri"/>
            <scheme val="minor"/>
          </rPr>
          <t>======
ID#AAABUz9wr4I
tc={9633BD2C-0E5C-4641-9627-66533EABB95F}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7" authorId="0" shapeId="0" xr:uid="{00000000-0006-0000-0000-00006A010000}">
      <text>
        <r>
          <rPr>
            <sz val="11"/>
            <color rgb="FF000000"/>
            <rFont val="Calibri"/>
            <scheme val="minor"/>
          </rPr>
          <t>======
ID#AAABU0VI1EA
tc={955262E8-3F08-4FC7-A7AE-F34FE51F61A2}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47" authorId="0" shapeId="0" xr:uid="{00000000-0006-0000-0000-0000CF020000}">
      <text>
        <r>
          <rPr>
            <sz val="11"/>
            <color rgb="FF000000"/>
            <rFont val="Calibri"/>
            <scheme val="minor"/>
          </rPr>
          <t>======
ID#AAABUz9wr5Y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7" authorId="0" shapeId="0" xr:uid="{00000000-0006-0000-0000-0000E8000000}">
      <text>
        <r>
          <rPr>
            <sz val="11"/>
            <color rgb="FF000000"/>
            <rFont val="Calibri"/>
            <scheme val="minor"/>
          </rPr>
          <t>======
ID#AAABVt92tFE
Muditha Aruppola    (2024-09-25 04:05:00)
Seller- Mr Punsiri
TP- 07703463528</t>
        </r>
      </text>
    </comment>
    <comment ref="W47" authorId="0" shapeId="0" xr:uid="{00000000-0006-0000-0000-0000E9000000}">
      <text>
        <r>
          <rPr>
            <sz val="11"/>
            <color rgb="FF000000"/>
            <rFont val="Calibri"/>
            <scheme val="minor"/>
          </rPr>
          <t>======
ID#AAABXKFOK-4
Muditha Aruppola    (2024-09-25 04:05:00)
Seller- Mr Punsiri
TP- 07703463528</t>
        </r>
      </text>
    </comment>
    <comment ref="X47" authorId="0" shapeId="0" xr:uid="{00000000-0006-0000-0000-000036000000}">
      <text>
        <r>
          <rPr>
            <sz val="11"/>
            <color rgb="FF000000"/>
            <rFont val="Calibri"/>
            <scheme val="minor"/>
          </rPr>
          <t>======
ID#AAABZikzLX0
Muditha Aruppola    (2024-12-02 08:18:20)
Seller- Mr Punsiri
TP- 0773463528</t>
        </r>
      </text>
    </comment>
    <comment ref="Y47" authorId="0" shapeId="0" xr:uid="{00000000-0006-0000-0000-000027000000}">
      <text>
        <r>
          <rPr>
            <sz val="11"/>
            <color rgb="FF000000"/>
            <rFont val="Calibri"/>
            <scheme val="minor"/>
          </rPr>
          <t>======
ID#AAABag-w3XU
Muditha Aruppola    (2024-12-19 04:29:34)
Seller- Mr Punsiri
TP- 0773463528</t>
        </r>
      </text>
    </comment>
    <comment ref="S48" authorId="0" shapeId="0" xr:uid="{00000000-0006-0000-0000-00004C010000}">
      <text>
        <r>
          <rPr>
            <sz val="11"/>
            <color rgb="FF000000"/>
            <rFont val="Calibri"/>
            <scheme val="minor"/>
          </rPr>
          <t>======
ID#AAABU0VI1GA
tc={D70F09E6-10B9-41B7-AE63-68BD3C3FFC17}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8" authorId="0" shapeId="0" xr:uid="{00000000-0006-0000-0000-000036020000}">
      <text>
        <r>
          <rPr>
            <sz val="11"/>
            <color rgb="FF000000"/>
            <rFont val="Calibri"/>
            <scheme val="minor"/>
          </rPr>
          <t>======
ID#AAABU0VI0Ks
tc={8CDF5564-E579-48CC-B628-70E6E9740B8C}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48" authorId="0" shapeId="0" xr:uid="{00000000-0006-0000-0000-00002C020000}">
      <text>
        <r>
          <rPr>
            <sz val="11"/>
            <color rgb="FF000000"/>
            <rFont val="Calibri"/>
            <scheme val="minor"/>
          </rPr>
          <t>======
ID#AAABU0VI0LY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8" authorId="0" shapeId="0" xr:uid="{00000000-0006-0000-0000-0000E6000000}">
      <text>
        <r>
          <rPr>
            <sz val="11"/>
            <color rgb="FF000000"/>
            <rFont val="Calibri"/>
            <scheme val="minor"/>
          </rPr>
          <t>======
ID#AAABVt92tFI
Muditha Aruppola    (2024-09-25 04:05:02)
Seller- Mr Punsiri
TP- 07703463528</t>
        </r>
      </text>
    </comment>
    <comment ref="W48" authorId="0" shapeId="0" xr:uid="{00000000-0006-0000-0000-0000E7000000}">
      <text>
        <r>
          <rPr>
            <sz val="11"/>
            <color rgb="FF000000"/>
            <rFont val="Calibri"/>
            <scheme val="minor"/>
          </rPr>
          <t>======
ID#AAABXKEqTdM
Muditha Aruppola    (2024-09-25 04:05:02)
Seller- Mr Punsiri
TP- 07703463528</t>
        </r>
      </text>
    </comment>
    <comment ref="X48" authorId="0" shapeId="0" xr:uid="{00000000-0006-0000-0000-000035000000}">
      <text>
        <r>
          <rPr>
            <sz val="11"/>
            <color rgb="FF000000"/>
            <rFont val="Calibri"/>
            <scheme val="minor"/>
          </rPr>
          <t>======
ID#AAABZikzLX4
Muditha Aruppola    (2024-12-02 08:18:23)
Seller- Mr Punsiri
TP- 0773463528</t>
        </r>
      </text>
    </comment>
    <comment ref="Y48" authorId="0" shapeId="0" xr:uid="{00000000-0006-0000-0000-000026000000}">
      <text>
        <r>
          <rPr>
            <sz val="11"/>
            <color rgb="FF000000"/>
            <rFont val="Calibri"/>
            <scheme val="minor"/>
          </rPr>
          <t>======
ID#AAABag-w3XY
Muditha Aruppola    (2024-12-19 04:29:37)
Seller- Mr Punsiri
TP- 0773463528</t>
        </r>
      </text>
    </comment>
    <comment ref="S49" authorId="0" shapeId="0" xr:uid="{00000000-0006-0000-0000-0000B5020000}">
      <text>
        <r>
          <rPr>
            <sz val="11"/>
            <color rgb="FF000000"/>
            <rFont val="Calibri"/>
            <scheme val="minor"/>
          </rPr>
          <t>======
ID#AAABUz9wr7I
tc={76D42F46-C92D-43FD-807C-5EFFF02E76DF}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49" authorId="0" shapeId="0" xr:uid="{00000000-0006-0000-0000-000066010000}">
      <text>
        <r>
          <rPr>
            <sz val="11"/>
            <color rgb="FF000000"/>
            <rFont val="Calibri"/>
            <scheme val="minor"/>
          </rPr>
          <t>======
ID#AAABU0VI1EQ
tc={1FBBA5AC-1CBC-4458-8BBE-D544D8CF3498}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49" authorId="0" shapeId="0" xr:uid="{00000000-0006-0000-0000-00009A020000}">
      <text>
        <r>
          <rPr>
            <sz val="11"/>
            <color rgb="FF000000"/>
            <rFont val="Calibri"/>
            <scheme val="minor"/>
          </rPr>
          <t>======
ID#AAABUz9wr84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49" authorId="0" shapeId="0" xr:uid="{00000000-0006-0000-0000-0000E4000000}">
      <text>
        <r>
          <rPr>
            <sz val="11"/>
            <color rgb="FF000000"/>
            <rFont val="Calibri"/>
            <scheme val="minor"/>
          </rPr>
          <t>======
ID#AAABVt92tFM
Muditha Aruppola    (2024-09-25 04:05:05)
Seller- Mr Punsiri
TP- 07703463528</t>
        </r>
      </text>
    </comment>
    <comment ref="W49" authorId="0" shapeId="0" xr:uid="{00000000-0006-0000-0000-0000E5000000}">
      <text>
        <r>
          <rPr>
            <sz val="11"/>
            <color rgb="FF000000"/>
            <rFont val="Calibri"/>
            <scheme val="minor"/>
          </rPr>
          <t>======
ID#AAABXKFOK_Q
Muditha Aruppola    (2024-09-25 04:05:05)
Seller- Mr Punsiri
TP- 07703463528</t>
        </r>
      </text>
    </comment>
    <comment ref="X49" authorId="0" shapeId="0" xr:uid="{00000000-0006-0000-0000-000034000000}">
      <text>
        <r>
          <rPr>
            <sz val="11"/>
            <color rgb="FF000000"/>
            <rFont val="Calibri"/>
            <scheme val="minor"/>
          </rPr>
          <t>======
ID#AAABZikzLX8
Muditha Aruppola    (2024-12-02 08:18:26)
Seller- Mr Punsiri
TP- 0773463528</t>
        </r>
      </text>
    </comment>
    <comment ref="Y49" authorId="0" shapeId="0" xr:uid="{00000000-0006-0000-0000-000025000000}">
      <text>
        <r>
          <rPr>
            <sz val="11"/>
            <color rgb="FF000000"/>
            <rFont val="Calibri"/>
            <scheme val="minor"/>
          </rPr>
          <t>======
ID#AAABag-w3Xc
Muditha Aruppola    (2024-12-19 04:29:39)
Seller- Mr Punsiri
TP- 0773463528</t>
        </r>
      </text>
    </comment>
    <comment ref="S50" authorId="0" shapeId="0" xr:uid="{00000000-0006-0000-0000-0000A7010000}">
      <text>
        <r>
          <rPr>
            <sz val="11"/>
            <color rgb="FF000000"/>
            <rFont val="Calibri"/>
            <scheme val="minor"/>
          </rPr>
          <t>======
ID#AAABU0VI0_8
tc={344A7F39-8677-4915-94D4-55E19FF326D1}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50" authorId="0" shapeId="0" xr:uid="{00000000-0006-0000-0000-000018020000}">
      <text>
        <r>
          <rPr>
            <sz val="11"/>
            <color rgb="FF000000"/>
            <rFont val="Calibri"/>
            <scheme val="minor"/>
          </rPr>
          <t>======
ID#AAABU0VI0Mo
tc={88272C27-DEBE-48D1-8938-6AB1C94AF175}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50" authorId="0" shapeId="0" xr:uid="{00000000-0006-0000-0000-0000C0020000}">
      <text>
        <r>
          <rPr>
            <sz val="11"/>
            <color rgb="FF000000"/>
            <rFont val="Calibri"/>
            <scheme val="minor"/>
          </rPr>
          <t>======
ID#AAABUz9wr6U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50" authorId="0" shapeId="0" xr:uid="{00000000-0006-0000-0000-0000E2000000}">
      <text>
        <r>
          <rPr>
            <sz val="11"/>
            <color rgb="FF000000"/>
            <rFont val="Calibri"/>
            <scheme val="minor"/>
          </rPr>
          <t>======
ID#AAABVt92tFQ
Muditha Aruppola    (2024-09-25 04:05:08)
Seller- Mr Punsiri
TP- 07703463528</t>
        </r>
      </text>
    </comment>
    <comment ref="W50" authorId="0" shapeId="0" xr:uid="{00000000-0006-0000-0000-0000E3000000}">
      <text>
        <r>
          <rPr>
            <sz val="11"/>
            <color rgb="FF000000"/>
            <rFont val="Calibri"/>
            <scheme val="minor"/>
          </rPr>
          <t>======
ID#AAABXKFOK-8
Muditha Aruppola    (2024-09-25 04:05:08)
Seller- Mr Punsiri
TP- 07703463528</t>
        </r>
      </text>
    </comment>
    <comment ref="X50" authorId="0" shapeId="0" xr:uid="{00000000-0006-0000-0000-000033000000}">
      <text>
        <r>
          <rPr>
            <sz val="11"/>
            <color rgb="FF000000"/>
            <rFont val="Calibri"/>
            <scheme val="minor"/>
          </rPr>
          <t>======
ID#AAABZikzLYA
Muditha Aruppola    (2024-12-02 08:18:30)
Seller- Mr Punsiri
TP- 0773463528</t>
        </r>
      </text>
    </comment>
    <comment ref="Y50" authorId="0" shapeId="0" xr:uid="{00000000-0006-0000-0000-000024000000}">
      <text>
        <r>
          <rPr>
            <sz val="11"/>
            <color rgb="FF000000"/>
            <rFont val="Calibri"/>
            <scheme val="minor"/>
          </rPr>
          <t>======
ID#AAABag-w3Xg
Muditha Aruppola    (2024-12-19 04:29:43)
Seller- Mr Punsiri
TP- 0773463528</t>
        </r>
      </text>
    </comment>
    <comment ref="S51" authorId="0" shapeId="0" xr:uid="{00000000-0006-0000-0000-0000D9010000}">
      <text>
        <r>
          <rPr>
            <sz val="11"/>
            <color rgb="FF000000"/>
            <rFont val="Calibri"/>
            <scheme val="minor"/>
          </rPr>
          <t>======
ID#AAABU0VI08w
tc={785DEE49-055D-4039-B19E-A5D7E3D94E30}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T51" authorId="0" shapeId="0" xr:uid="{00000000-0006-0000-0000-000098010000}">
      <text>
        <r>
          <rPr>
            <sz val="11"/>
            <color rgb="FF000000"/>
            <rFont val="Calibri"/>
            <scheme val="minor"/>
          </rPr>
          <t>======
ID#AAABU0VI1A8
tc={E1F98300-4E48-47A2-B791-23A4999DDF27}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U51" authorId="0" shapeId="0" xr:uid="{00000000-0006-0000-0000-0000E1020000}">
      <text>
        <r>
          <rPr>
            <sz val="11"/>
            <color rgb="FF000000"/>
            <rFont val="Calibri"/>
            <scheme val="minor"/>
          </rPr>
          <t>======
ID#AAABUz9wr4M
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Mr Punsiri
TP- 07703463528</t>
        </r>
      </text>
    </comment>
    <comment ref="V51" authorId="0" shapeId="0" xr:uid="{00000000-0006-0000-0000-0000E0000000}">
      <text>
        <r>
          <rPr>
            <sz val="11"/>
            <color rgb="FF000000"/>
            <rFont val="Calibri"/>
            <scheme val="minor"/>
          </rPr>
          <t>======
ID#AAABVt92tFU
Muditha Aruppola    (2024-09-25 04:05:11)
Seller- Mr Punsiri
TP- 07703463528</t>
        </r>
      </text>
    </comment>
    <comment ref="W51" authorId="0" shapeId="0" xr:uid="{00000000-0006-0000-0000-0000E1000000}">
      <text>
        <r>
          <rPr>
            <sz val="11"/>
            <color rgb="FF000000"/>
            <rFont val="Calibri"/>
            <scheme val="minor"/>
          </rPr>
          <t>======
ID#AAABXKFOLA0
Muditha Aruppola    (2024-09-25 04:05:11)
Seller- Mr Punsiri
TP- 07703463528</t>
        </r>
      </text>
    </comment>
    <comment ref="Y52" authorId="0" shapeId="0" xr:uid="{00000000-0006-0000-0000-000032000000}">
      <text>
        <r>
          <rPr>
            <sz val="11"/>
            <color rgb="FF000000"/>
            <rFont val="Calibri"/>
            <scheme val="minor"/>
          </rPr>
          <t>======
ID#AAABag-w3Wo
Muditha Aruppola    (2024-12-19 04:28:19)
Seller- Ashvida Plywood House
TP- 077 788 8140
Location- 645-E Kandy Rd, Kadawatha 11850</t>
        </r>
      </text>
    </comment>
    <comment ref="Y53" authorId="0" shapeId="0" xr:uid="{00000000-0006-0000-0000-000031000000}">
      <text>
        <r>
          <rPr>
            <sz val="11"/>
            <color rgb="FF000000"/>
            <rFont val="Calibri"/>
            <scheme val="minor"/>
          </rPr>
          <t>======
ID#AAABag-w3Ws
Muditha Aruppola    (2024-12-19 04:28:23)
Seller- Ashvida Plywood House
TP- 077 788 8140
Location- 645-E Kandy Rd</t>
        </r>
      </text>
    </comment>
    <comment ref="S54" authorId="0" shapeId="0" xr:uid="{00000000-0006-0000-0000-00004D010000}">
      <text>
        <r>
          <rPr>
            <sz val="11"/>
            <color rgb="FF000000"/>
            <rFont val="Calibri"/>
            <scheme val="minor"/>
          </rPr>
          <t>======
ID#AAABU0VI1F8
tc={A4034D9B-948C-4E91-BEEB-CB5FF64CF5ED}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Mackply Factory Complex
TP- +94 114 309 141 / +94 114 400 136 
Location- No. 30, Nawala Road, Nugegoda, Sri Lanka.</t>
        </r>
      </text>
    </comment>
    <comment ref="T54" authorId="0" shapeId="0" xr:uid="{00000000-0006-0000-0000-00006C010000}">
      <text>
        <r>
          <rPr>
            <sz val="11"/>
            <color rgb="FF000000"/>
            <rFont val="Calibri"/>
            <scheme val="minor"/>
          </rPr>
          <t>======
ID#AAABU0VI1D0
tc={9CDFCB5E-483D-4FA9-949C-CACF7E22403E}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Mackply Factory Complex
TP- +94 114 309 141 / +94 114 400 136 
Location- No. 30, Nawala Road, Nugegoda, Sri Lanka</t>
        </r>
      </text>
    </comment>
    <comment ref="U54" authorId="0" shapeId="0" xr:uid="{00000000-0006-0000-0000-00000B020000}">
      <text>
        <r>
          <rPr>
            <sz val="11"/>
            <color rgb="FF000000"/>
            <rFont val="Calibri"/>
            <scheme val="minor"/>
          </rPr>
          <t>======
ID#AAABU0VI05g
    (2024-08-29 06:55:09)
Seller- SBK Steel Industries (Pvt) Ltd
TP- 0112144328 , 0112144328 
Location- R48X+547, Kandanapitiya Rd Bope, Padukka 10522
	-Muditha Aruppola</t>
        </r>
      </text>
    </comment>
    <comment ref="V54" authorId="0" shapeId="0" xr:uid="{00000000-0006-0000-0000-000000010000}">
      <text>
        <r>
          <rPr>
            <sz val="11"/>
            <color rgb="FF000000"/>
            <rFont val="Calibri"/>
            <scheme val="minor"/>
          </rPr>
          <t>======
ID#AAABVuFyfA0
Muditha Aruppola    (2024-09-24 06:40:27)
Seller- Plywood House Kegalla 
TP- 035 2223236</t>
        </r>
      </text>
    </comment>
    <comment ref="W54" authorId="0" shapeId="0" xr:uid="{00000000-0006-0000-0000-000074000000}">
      <text>
        <r>
          <rPr>
            <sz val="11"/>
            <color rgb="FF000000"/>
            <rFont val="Calibri"/>
            <scheme val="minor"/>
          </rPr>
          <t>======
ID#AAABXKBgNwc
tc={67629A2A-4FB2-4BBE-B75B-D8C465995E81}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Plywood House Kegalla 
TP- 035 2223236</t>
        </r>
      </text>
    </comment>
    <comment ref="Y54" authorId="0" shapeId="0" xr:uid="{00000000-0006-0000-0000-000030000000}">
      <text>
        <r>
          <rPr>
            <sz val="11"/>
            <color rgb="FF000000"/>
            <rFont val="Calibri"/>
            <scheme val="minor"/>
          </rPr>
          <t>======
ID#AAABag-w3Ww
Muditha Aruppola    (2024-12-19 04:28:28)
Seller- Ashvida Plywood House
TP- 077 788 8140
Location- 645-E Kandy Rd</t>
        </r>
      </text>
    </comment>
    <comment ref="S55" authorId="0" shapeId="0" xr:uid="{00000000-0006-0000-0000-00009A010000}">
      <text>
        <r>
          <rPr>
            <sz val="11"/>
            <color rgb="FF000000"/>
            <rFont val="Calibri"/>
            <scheme val="minor"/>
          </rPr>
          <t>======
ID#AAABU0VI1Aw
tc={C2A989B7-54F0-4E60-B45D-A2171A768423}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Mackply Factory Complex
TP- +94 114 309 141 / +94 114 400 136 
Location- No. 30, Nawala Road, Nugegoda, Sri Lanka</t>
        </r>
      </text>
    </comment>
    <comment ref="T55" authorId="0" shapeId="0" xr:uid="{00000000-0006-0000-0000-00007A010000}">
      <text>
        <r>
          <rPr>
            <sz val="11"/>
            <color rgb="FF000000"/>
            <rFont val="Calibri"/>
            <scheme val="minor"/>
          </rPr>
          <t>======
ID#AAABU0VI1C8
tc={BDB2AE39-94BB-4DCC-BA0E-BFD6C4F0716A}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Mackply Factory Complex
TP- +94 114 309 141 / +94 114 400 136 
Location- No. 30, Nawala Road, Nugegoda, Sri Lanka</t>
        </r>
      </text>
    </comment>
    <comment ref="U55" authorId="0" shapeId="0" xr:uid="{00000000-0006-0000-0000-0000AE020000}">
      <text>
        <r>
          <rPr>
            <sz val="11"/>
            <color rgb="FF000000"/>
            <rFont val="Calibri"/>
            <scheme val="minor"/>
          </rPr>
          <t>======
ID#AAABUz9wr7k
    (2024-08-29 06:55:09)
Seller- SBK Steel Industries (Pvt) Ltd
TP- 0112144328 , 0112144328 
Location- R48X+547, Kandanapitiya Rd Bope, Padukka 10522
	-Muditha Aruppola</t>
        </r>
      </text>
    </comment>
    <comment ref="V55" authorId="0" shapeId="0" xr:uid="{00000000-0006-0000-0000-0000FF000000}">
      <text>
        <r>
          <rPr>
            <sz val="11"/>
            <color rgb="FF000000"/>
            <rFont val="Calibri"/>
            <scheme val="minor"/>
          </rPr>
          <t>======
ID#AAABVuFyfA4
Muditha Aruppola    (2024-09-24 06:40:39)
Seller- Plywood House Kegalla 
TP- 035 2223236</t>
        </r>
      </text>
    </comment>
    <comment ref="W55" authorId="0" shapeId="0" xr:uid="{00000000-0006-0000-0000-000068000000}">
      <text>
        <r>
          <rPr>
            <sz val="11"/>
            <color rgb="FF000000"/>
            <rFont val="Calibri"/>
            <scheme val="minor"/>
          </rPr>
          <t>======
ID#AAABXKFOK9g
tc={6F9502DA-64A2-45EE-A1B6-0AC51DAF35DA}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Plywood House Kegalla 
TP- 035 2223236</t>
        </r>
      </text>
    </comment>
    <comment ref="Y55" authorId="0" shapeId="0" xr:uid="{00000000-0006-0000-0000-00002F000000}">
      <text>
        <r>
          <rPr>
            <sz val="11"/>
            <color rgb="FF000000"/>
            <rFont val="Calibri"/>
            <scheme val="minor"/>
          </rPr>
          <t>======
ID#AAABag-w3W0
Muditha Aruppola    (2024-12-19 04:28:32)
Seller- Ashvida Plywood House
TP- 077 788 8140
Location- 645-E Kandy Rd</t>
        </r>
      </text>
    </comment>
    <comment ref="S56" authorId="0" shapeId="0" xr:uid="{00000000-0006-0000-0000-000092010000}">
      <text>
        <r>
          <rPr>
            <sz val="11"/>
            <color rgb="FF000000"/>
            <rFont val="Calibri"/>
            <scheme val="minor"/>
          </rPr>
          <t>======
ID#AAABU0VI1BU
tc={7B7C1677-E68D-4018-B652-B628AF046E4F}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SBK Steel Industries (Pvt) Ltd
TP- 0112144328 , 0112144328 
Location- R48X+547, Kandanapitiya Rd Bope, Padukka 10522</t>
        </r>
      </text>
    </comment>
    <comment ref="T56" authorId="0" shapeId="0" xr:uid="{00000000-0006-0000-0000-0000E0010000}">
      <text>
        <r>
          <rPr>
            <sz val="11"/>
            <color rgb="FF000000"/>
            <rFont val="Calibri"/>
            <scheme val="minor"/>
          </rPr>
          <t>======
ID#AAABU0VI08U
tc={B3D010B2-F71C-4A2F-97D5-DEE5DD2CD8E9}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SBK Steel Industries (Pvt) Ltd
TP- 0112144328 , 0112144328 
Location- R48X+547, Kandanapitiya Rd Bope, Padukka 10522</t>
        </r>
      </text>
    </comment>
    <comment ref="U56" authorId="0" shapeId="0" xr:uid="{00000000-0006-0000-0000-000045010000}">
      <text>
        <r>
          <rPr>
            <sz val="11"/>
            <color rgb="FF000000"/>
            <rFont val="Calibri"/>
            <scheme val="minor"/>
          </rPr>
          <t>======
ID#AAABU0VI1Gc
    (2024-08-29 06:55:09)
Seller- SBK Steel Industries (Pvt) Ltd
TP- 0112144328 , 0112144328 
Location- R48X+547, Kandanapitiya Rd Bope, Padukka 10522
	-Muditha Aruppola</t>
        </r>
      </text>
    </comment>
    <comment ref="V56" authorId="0" shapeId="0" xr:uid="{00000000-0006-0000-0000-0000DF000000}">
      <text>
        <r>
          <rPr>
            <sz val="11"/>
            <color rgb="FF000000"/>
            <rFont val="Calibri"/>
            <scheme val="minor"/>
          </rPr>
          <t>======
ID#AAABVt92tFY
Muditha Aruppola    (2024-09-25 04:08:20)
Seller= K.U.S Formwork &amp; scaffolding (Private) Limited. 
TP= 077 0171958 ( Mr Asela)</t>
        </r>
      </text>
    </comment>
    <comment ref="W56" authorId="0" shapeId="0" xr:uid="{00000000-0006-0000-0000-000066000000}">
      <text>
        <r>
          <rPr>
            <sz val="11"/>
            <color rgb="FF000000"/>
            <rFont val="Calibri"/>
            <scheme val="minor"/>
          </rPr>
          <t>======
ID#AAABXKFOK9w
tc={15455529-3DC9-4EC7-8815-205C9E3ACC10}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Plywood House Kegalla 
TP- 035 2223236</t>
        </r>
      </text>
    </comment>
    <comment ref="Y56" authorId="0" shapeId="0" xr:uid="{00000000-0006-0000-0000-00002E000000}">
      <text>
        <r>
          <rPr>
            <sz val="11"/>
            <color rgb="FF000000"/>
            <rFont val="Calibri"/>
            <scheme val="minor"/>
          </rPr>
          <t>======
ID#AAABag-w3W4
Muditha Aruppola    (2024-12-19 04:28:34)
Seller- Ashvida Plywood House
TP- 077 788 8140
Location- 645-E Kandy Rd</t>
        </r>
      </text>
    </comment>
    <comment ref="S57" authorId="0" shapeId="0" xr:uid="{00000000-0006-0000-0000-000037020000}">
      <text>
        <r>
          <rPr>
            <sz val="11"/>
            <color rgb="FF000000"/>
            <rFont val="Calibri"/>
            <scheme val="minor"/>
          </rPr>
          <t>======
ID#AAABU0VI0Ko
tc={40B36954-0A33-491C-9751-70DB4585A64E}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SBK Steel Industries (Pvt) Ltd
TP- 0112144328 , 0112144328 
Location- R48X+547, Kandanapitiya Rd Bope, Padukka 10522</t>
        </r>
      </text>
    </comment>
    <comment ref="T57" authorId="0" shapeId="0" xr:uid="{00000000-0006-0000-0000-0000AC010000}">
      <text>
        <r>
          <rPr>
            <sz val="11"/>
            <color rgb="FF000000"/>
            <rFont val="Calibri"/>
            <scheme val="minor"/>
          </rPr>
          <t>======
ID#AAABU0VI0_o
tc={406A40D3-FCB3-4A61-BF8D-F5FC2DED0825}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SBK Steel Industries (Pvt) Ltd
TP- 0112144328 , 0112144328 
Location- R48X+547, Kandanapitiya Rd Bope, Padukka 10522</t>
        </r>
      </text>
    </comment>
    <comment ref="U57" authorId="0" shapeId="0" xr:uid="{00000000-0006-0000-0000-0000DF010000}">
      <text>
        <r>
          <rPr>
            <sz val="11"/>
            <color rgb="FF000000"/>
            <rFont val="Calibri"/>
            <scheme val="minor"/>
          </rPr>
          <t>======
ID#AAABU0VI08Y
    (2024-08-29 06:55:09)
Seller- SBK Steel Industries (Pvt) Ltd
TP- 0112144328 , 0112144328 
Location- R48X+547, Kandanapitiya Rd Bope, Padukka 10522
	-Muditha Aruppola</t>
        </r>
      </text>
    </comment>
    <comment ref="V57" authorId="0" shapeId="0" xr:uid="{00000000-0006-0000-0000-0000DE000000}">
      <text>
        <r>
          <rPr>
            <sz val="11"/>
            <color rgb="FF000000"/>
            <rFont val="Calibri"/>
            <scheme val="minor"/>
          </rPr>
          <t>======
ID#AAABVt92tFc
Muditha Aruppola    (2024-09-25 04:08:26)
Seller= K.U.S Formwork &amp; scaffolding (Private) Limited. 
TP= 077 0171958 ( Mr Asela)</t>
        </r>
      </text>
    </comment>
    <comment ref="W57" authorId="0" shapeId="0" xr:uid="{00000000-0006-0000-0000-000055000000}">
      <text>
        <r>
          <rPr>
            <sz val="11"/>
            <color rgb="FF000000"/>
            <rFont val="Calibri"/>
            <scheme val="minor"/>
          </rPr>
          <t>======
ID#AAABXKFOLBQ
tc={DB181A30-6643-49B9-B72E-BB21A17034D3}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Plywood House Kegalla 
TP- 035 2223236</t>
        </r>
      </text>
    </comment>
    <comment ref="Y57" authorId="0" shapeId="0" xr:uid="{00000000-0006-0000-0000-00002D000000}">
      <text>
        <r>
          <rPr>
            <sz val="11"/>
            <color rgb="FF000000"/>
            <rFont val="Calibri"/>
            <scheme val="minor"/>
          </rPr>
          <t>======
ID#AAABag-w3W8
Muditha Aruppola    (2024-12-19 04:28:37)
Seller- Ashvida Plywood House
TP- 077 788 8140
Location- 645-E Kandy Rd</t>
        </r>
      </text>
    </comment>
    <comment ref="S58" authorId="0" shapeId="0" xr:uid="{00000000-0006-0000-0000-000033020000}">
      <text>
        <r>
          <rPr>
            <sz val="11"/>
            <color rgb="FF000000"/>
            <rFont val="Calibri"/>
            <scheme val="minor"/>
          </rPr>
          <t>======
ID#AAABU0VI0K4
tc={5A60251A-C708-40A3-9DF0-8CA69C092FAD}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SBK Steel Industries (Pvt) Ltd
TP- 0112144328 , 0112144328 
Location- R48X+547, Kandanapitiya Rd Bope, Padukka 10522</t>
        </r>
      </text>
    </comment>
    <comment ref="T58" authorId="0" shapeId="0" xr:uid="{00000000-0006-0000-0000-0000C4010000}">
      <text>
        <r>
          <rPr>
            <sz val="11"/>
            <color rgb="FF000000"/>
            <rFont val="Calibri"/>
            <scheme val="minor"/>
          </rPr>
          <t>======
ID#AAABU0VI0-I
tc={8E63108F-51A1-47D0-83D7-36A50D1DFA68}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SBK Steel Industries (Pvt) Ltd
TP- 0112144328 , 0112144328 
Location- R48X+547, Kandanapitiya Rd Bope, Padukka 10522</t>
        </r>
      </text>
    </comment>
    <comment ref="U58" authorId="0" shapeId="0" xr:uid="{00000000-0006-0000-0000-000082020000}">
      <text>
        <r>
          <rPr>
            <sz val="11"/>
            <color rgb="FF000000"/>
            <rFont val="Calibri"/>
            <scheme val="minor"/>
          </rPr>
          <t>======
ID#AAABUz9wr-g
    (2024-08-29 06:55:09)
Seller- SBK Steel Industries (Pvt) Ltd
TP- 0112144328 , 0112144328 
Location- R48X+547, Kandanapitiya Rd Bope, Padukka 10522
	-Muditha Aruppola</t>
        </r>
      </text>
    </comment>
    <comment ref="V58" authorId="0" shapeId="0" xr:uid="{00000000-0006-0000-0000-0000DD000000}">
      <text>
        <r>
          <rPr>
            <sz val="11"/>
            <color rgb="FF000000"/>
            <rFont val="Calibri"/>
            <scheme val="minor"/>
          </rPr>
          <t>======
ID#AAABVt92tFg
Muditha Aruppola    (2024-09-25 04:08:29)
Seller= K.U.S Formwork &amp; scaffolding (Private) Limited. 
TP= 077 0171958 ( Mr Asela)</t>
        </r>
      </text>
    </comment>
    <comment ref="W58" authorId="0" shapeId="0" xr:uid="{00000000-0006-0000-0000-000053000000}">
      <text>
        <r>
          <rPr>
            <sz val="11"/>
            <color rgb="FF000000"/>
            <rFont val="Calibri"/>
            <scheme val="minor"/>
          </rPr>
          <t>======
ID#AAABXKFOLBk
tc={F4A62773-08E2-486F-984E-8FBB8D78863D}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Plywood House Kegalla 
TP- 035 2223236</t>
        </r>
      </text>
    </comment>
    <comment ref="Y58" authorId="0" shapeId="0" xr:uid="{00000000-0006-0000-0000-00002C000000}">
      <text>
        <r>
          <rPr>
            <sz val="11"/>
            <color rgb="FF000000"/>
            <rFont val="Calibri"/>
            <scheme val="minor"/>
          </rPr>
          <t>======
ID#AAABag-w3XA
Muditha Aruppola    (2024-12-19 04:29:04)
Seller- Plywood House Kegalla 
TP- 035 2223236</t>
        </r>
      </text>
    </comment>
    <comment ref="T60" authorId="0" shapeId="0" xr:uid="{00000000-0006-0000-0000-0000A2010000}">
      <text>
        <r>
          <rPr>
            <sz val="11"/>
            <color rgb="FF000000"/>
            <rFont val="Calibri"/>
            <scheme val="minor"/>
          </rPr>
          <t>======
ID#AAABU0VI1AQ
tc={F7492C42-97A4-4FA2-BC7E-C76E0EE9B9EA}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Sedawaththa Timbers Stores
TP- 077 328 4028 
location- Sedawatta - Ambatale Rd, Peliyagoda</t>
        </r>
      </text>
    </comment>
    <comment ref="U60" authorId="0" shapeId="0" xr:uid="{00000000-0006-0000-0000-0000D9020000}">
      <text>
        <r>
          <rPr>
            <sz val="11"/>
            <color rgb="FF000000"/>
            <rFont val="Calibri"/>
            <scheme val="minor"/>
          </rPr>
          <t>======
ID#AAABUz9wr4w
tc={E26CEB30-1151-4733-9F47-1D86AE652F34}    (2024-08-29 06:55:08)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T61" authorId="0" shapeId="0" xr:uid="{00000000-0006-0000-0000-000069020000}">
      <text>
        <r>
          <rPr>
            <sz val="11"/>
            <color rgb="FF000000"/>
            <rFont val="Calibri"/>
            <scheme val="minor"/>
          </rPr>
          <t>======
ID#AAABUz9wsAI
tc={0D9CC826-4426-4E60-BC55-06A680E4D78A}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Sedawaththa Timbers Stores
TP- 077 328 4028 
location- Sedawatta - Ambatale Rd, Peliyagoda</t>
        </r>
      </text>
    </comment>
    <comment ref="U61" authorId="0" shapeId="0" xr:uid="{00000000-0006-0000-0000-000070020000}">
      <text>
        <r>
          <rPr>
            <sz val="11"/>
            <color rgb="FF000000"/>
            <rFont val="Calibri"/>
            <scheme val="minor"/>
          </rPr>
          <t>======
ID#AAABUz9wr_s
tc={74F18822-B5D9-4EFE-841D-931045C1DF6C}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T62" authorId="0" shapeId="0" xr:uid="{00000000-0006-0000-0000-000056020000}">
      <text>
        <r>
          <rPr>
            <sz val="11"/>
            <color rgb="FF000000"/>
            <rFont val="Calibri"/>
            <scheme val="minor"/>
          </rPr>
          <t>======
ID#AAABU0VI0Ig
tc={B9370A79-B38B-4981-B99A-6AD207466EB7}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Sedawaththa Timbers Stores
TP- 077 328 4028 
location- Sedawatta - Ambatale Rd, Peliyagoda</t>
        </r>
      </text>
    </comment>
    <comment ref="U62" authorId="0" shapeId="0" xr:uid="{00000000-0006-0000-0000-000060010000}">
      <text>
        <r>
          <rPr>
            <sz val="11"/>
            <color rgb="FF000000"/>
            <rFont val="Calibri"/>
            <scheme val="minor"/>
          </rPr>
          <t>======
ID#AAABU0VI1Eo
tc={215D27A2-A6E4-4660-BEF6-1CE2CAD21A5E}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U63" authorId="0" shapeId="0" xr:uid="{00000000-0006-0000-0000-00000A020000}">
      <text>
        <r>
          <rPr>
            <sz val="11"/>
            <color rgb="FF000000"/>
            <rFont val="Calibri"/>
            <scheme val="minor"/>
          </rPr>
          <t>======
ID#AAABU0VI05k
tc={9757D779-C22E-470A-B5CD-3C9B28A6C8A7}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T64" authorId="0" shapeId="0" xr:uid="{00000000-0006-0000-0000-0000C0010000}">
      <text>
        <r>
          <rPr>
            <sz val="11"/>
            <color rgb="FF000000"/>
            <rFont val="Calibri"/>
            <scheme val="minor"/>
          </rPr>
          <t>======
ID#AAABU0VI0-Y
tc={EA746E00-48E1-4A40-8E87-114743708D9E}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Sedawaththa Timbers Stores
TP- 077 328 4028 
location- Sedawatta - Ambatale Rd, Peliyagoda</t>
        </r>
      </text>
    </comment>
    <comment ref="U64" authorId="0" shapeId="0" xr:uid="{00000000-0006-0000-0000-000053010000}">
      <text>
        <r>
          <rPr>
            <sz val="11"/>
            <color rgb="FF000000"/>
            <rFont val="Calibri"/>
            <scheme val="minor"/>
          </rPr>
          <t>======
ID#AAABU0VI1Fg
tc={495BF1A5-A8EA-47CF-BB74-AD20B4835B08}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T65" authorId="0" shapeId="0" xr:uid="{00000000-0006-0000-0000-00009D020000}">
      <text>
        <r>
          <rPr>
            <sz val="11"/>
            <color rgb="FF000000"/>
            <rFont val="Calibri"/>
            <scheme val="minor"/>
          </rPr>
          <t>======
ID#AAABUz9wr8s
tc={5194C777-4D3E-4359-AC95-0A8AC2B66006}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Sedawaththa Timbers Stores
TP- 077 328 4028 
location- Sedawatta - Ambatale Rd, Peliyagoda</t>
        </r>
      </text>
    </comment>
    <comment ref="U65" authorId="0" shapeId="0" xr:uid="{00000000-0006-0000-0000-000038020000}">
      <text>
        <r>
          <rPr>
            <sz val="11"/>
            <color rgb="FF000000"/>
            <rFont val="Calibri"/>
            <scheme val="minor"/>
          </rPr>
          <t>======
ID#AAABU0VI0Kk
tc={0D7A3B69-9398-42B5-8544-88C45A6AD4E0}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U66" authorId="0" shapeId="0" xr:uid="{00000000-0006-0000-0000-000090010000}">
      <text>
        <r>
          <rPr>
            <sz val="11"/>
            <color rgb="FF000000"/>
            <rFont val="Calibri"/>
            <scheme val="minor"/>
          </rPr>
          <t>======
ID#AAABU0VI1Bc
tc={C2309AA0-ECE0-496F-A2C9-34CE6AFBFDCA}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T68" authorId="0" shapeId="0" xr:uid="{00000000-0006-0000-0000-00003D020000}">
      <text>
        <r>
          <rPr>
            <sz val="11"/>
            <color rgb="FF000000"/>
            <rFont val="Calibri"/>
            <scheme val="minor"/>
          </rPr>
          <t>======
ID#AAABU0VI0KQ
tc={C84BF4F3-2DD6-4C30-92C2-27A436D32703}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68" authorId="0" shapeId="0" xr:uid="{00000000-0006-0000-0000-0000F0010000}">
      <text>
        <r>
          <rPr>
            <sz val="11"/>
            <color rgb="FF000000"/>
            <rFont val="Calibri"/>
            <scheme val="minor"/>
          </rPr>
          <t>======
ID#AAABU0VI07U
tc={E4DD6563-CA0D-4DAC-B3E1-4A3E2F8F0CA6}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68" authorId="0" shapeId="0" xr:uid="{00000000-0006-0000-0000-000033010000}">
      <text>
        <r>
          <rPr>
            <sz val="11"/>
            <color rgb="FF000000"/>
            <rFont val="Calibri"/>
            <scheme val="minor"/>
          </rPr>
          <t>======
ID#AAABVuFye-w
Muditha Aruppola    (2024-09-24 06:14:34)
Supplier- Kandurata Timber Depot
Location- No 1303 Biyagama Road Kelaniya
TP- 0112 908 452</t>
        </r>
      </text>
    </comment>
    <comment ref="W68" authorId="0" shapeId="0" xr:uid="{00000000-0006-0000-0000-000034010000}">
      <text>
        <r>
          <rPr>
            <sz val="11"/>
            <color rgb="FF000000"/>
            <rFont val="Calibri"/>
            <scheme val="minor"/>
          </rPr>
          <t>======
ID#AAABXKFOK_I
Muditha Aruppola    (2024-09-24 06:14:34)
Supplier- Kandurata Timber Depot
Location- No 1303 Biyagama Road Kelaniya
TP- 0112 908 452</t>
        </r>
      </text>
    </comment>
    <comment ref="T69" authorId="0" shapeId="0" xr:uid="{00000000-0006-0000-0000-0000B3010000}">
      <text>
        <r>
          <rPr>
            <sz val="11"/>
            <color rgb="FF000000"/>
            <rFont val="Calibri"/>
            <scheme val="minor"/>
          </rPr>
          <t>======
ID#AAABU0VI0_M
tc={315C0091-CBC8-4D29-B549-EFB79783AAC3}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69" authorId="0" shapeId="0" xr:uid="{00000000-0006-0000-0000-000074020000}">
      <text>
        <r>
          <rPr>
            <sz val="11"/>
            <color rgb="FF000000"/>
            <rFont val="Calibri"/>
            <scheme val="minor"/>
          </rPr>
          <t>======
ID#AAABUz9wr_c
tc={EC0DDB34-768B-4818-BAC1-89C48A763F0B}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T70" authorId="0" shapeId="0" xr:uid="{00000000-0006-0000-0000-0000B5010000}">
      <text>
        <r>
          <rPr>
            <sz val="11"/>
            <color rgb="FF000000"/>
            <rFont val="Calibri"/>
            <scheme val="minor"/>
          </rPr>
          <t>======
ID#AAABU0VI0_E
tc={A0AE1AA1-98AF-443F-B7DC-B5675C968E48}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0" authorId="0" shapeId="0" xr:uid="{00000000-0006-0000-0000-000010020000}">
      <text>
        <r>
          <rPr>
            <sz val="11"/>
            <color rgb="FF000000"/>
            <rFont val="Calibri"/>
            <scheme val="minor"/>
          </rPr>
          <t>======
ID#AAABU0VI05I
tc={3C9F7738-D1D9-49A4-90C1-529A089025F2}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0" authorId="0" shapeId="0" xr:uid="{00000000-0006-0000-0000-000031010000}">
      <text>
        <r>
          <rPr>
            <sz val="11"/>
            <color rgb="FF000000"/>
            <rFont val="Calibri"/>
            <scheme val="minor"/>
          </rPr>
          <t>======
ID#AAABVuFye-0
Muditha Aruppola    (2024-09-24 06:14:37)
Supplier- Kandurata Timber Depot
Location- No 1303 Biyagama Road Kelaniya
TP- 0112 908 452</t>
        </r>
      </text>
    </comment>
    <comment ref="W70" authorId="0" shapeId="0" xr:uid="{00000000-0006-0000-0000-000032010000}">
      <text>
        <r>
          <rPr>
            <sz val="11"/>
            <color rgb="FF000000"/>
            <rFont val="Calibri"/>
            <scheme val="minor"/>
          </rPr>
          <t>======
ID#AAABXKFOLBc
Muditha Aruppola    (2024-09-24 06:14:37)
Supplier- Kandurata Timber Depot
Location- No 1303 Biyagama Road Kelaniya
TP- 0112 908 452</t>
        </r>
      </text>
    </comment>
    <comment ref="U71" authorId="0" shapeId="0" xr:uid="{00000000-0006-0000-0000-00001C020000}">
      <text>
        <r>
          <rPr>
            <sz val="11"/>
            <color rgb="FF000000"/>
            <rFont val="Calibri"/>
            <scheme val="minor"/>
          </rPr>
          <t>======
ID#AAABU0VI0MY
tc={F1A0D12C-F75A-44A5-8E5C-C9DF73090F77}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1" authorId="0" shapeId="0" xr:uid="{00000000-0006-0000-0000-00002F010000}">
      <text>
        <r>
          <rPr>
            <sz val="11"/>
            <color rgb="FF000000"/>
            <rFont val="Calibri"/>
            <scheme val="minor"/>
          </rPr>
          <t>======
ID#AAABVuFye-4
Muditha Aruppola    (2024-09-24 06:14:40)
Supplier- Kandurata Timber Depot
Location- No 1303 Biyagama Road Kelaniya
TP- 0112 908 452</t>
        </r>
      </text>
    </comment>
    <comment ref="W71" authorId="0" shapeId="0" xr:uid="{00000000-0006-0000-0000-000030010000}">
      <text>
        <r>
          <rPr>
            <sz val="11"/>
            <color rgb="FF000000"/>
            <rFont val="Calibri"/>
            <scheme val="minor"/>
          </rPr>
          <t>======
ID#AAABXKFOK_4
Muditha Aruppola    (2024-09-24 06:14:40)
Supplier- Kandurata Timber Depot
Location- No 1303 Biyagama Road Kelaniya
TP- 0112 908 452</t>
        </r>
      </text>
    </comment>
    <comment ref="T72" authorId="0" shapeId="0" xr:uid="{00000000-0006-0000-0000-000043010000}">
      <text>
        <r>
          <rPr>
            <sz val="11"/>
            <color rgb="FF000000"/>
            <rFont val="Calibri"/>
            <scheme val="minor"/>
          </rPr>
          <t>======
ID#AAABU0VI1Gk
tc={B6759084-F82F-4CC3-B845-E7E496241DF6}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2" authorId="0" shapeId="0" xr:uid="{00000000-0006-0000-0000-000081010000}">
      <text>
        <r>
          <rPr>
            <sz val="11"/>
            <color rgb="FF000000"/>
            <rFont val="Calibri"/>
            <scheme val="minor"/>
          </rPr>
          <t>======
ID#AAABU0VI1Cg
tc={28B63D13-468F-4F9C-99FC-B4CB1EEE1E1C}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2" authorId="0" shapeId="0" xr:uid="{00000000-0006-0000-0000-00002D010000}">
      <text>
        <r>
          <rPr>
            <sz val="11"/>
            <color rgb="FF000000"/>
            <rFont val="Calibri"/>
            <scheme val="minor"/>
          </rPr>
          <t>======
ID#AAABVuFye-8
Muditha Aruppola    (2024-09-24 06:14:43)
Supplier- Kandurata Timber Depot
Location- No 1303 Biyagama Road Kelaniya
TP- 0112 908 452</t>
        </r>
      </text>
    </comment>
    <comment ref="W72" authorId="0" shapeId="0" xr:uid="{00000000-0006-0000-0000-00002E010000}">
      <text>
        <r>
          <rPr>
            <sz val="11"/>
            <color rgb="FF000000"/>
            <rFont val="Calibri"/>
            <scheme val="minor"/>
          </rPr>
          <t>======
ID#AAABXKFOLCg
Muditha Aruppola    (2024-09-24 06:14:43)
Supplier- Kandurata Timber Depot
Location- No 1303 Biyagama Road Kelaniya
TP- 0112 908 452</t>
        </r>
      </text>
    </comment>
    <comment ref="T73" authorId="0" shapeId="0" xr:uid="{00000000-0006-0000-0000-0000DD020000}">
      <text>
        <r>
          <rPr>
            <sz val="11"/>
            <color rgb="FF000000"/>
            <rFont val="Calibri"/>
            <scheme val="minor"/>
          </rPr>
          <t>======
ID#AAABUz9wr4c
tc={1DFF14A2-6E06-4560-ABA3-19B7EC636E00}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3" authorId="0" shapeId="0" xr:uid="{00000000-0006-0000-0000-00003B020000}">
      <text>
        <r>
          <rPr>
            <sz val="11"/>
            <color rgb="FF000000"/>
            <rFont val="Calibri"/>
            <scheme val="minor"/>
          </rPr>
          <t>======
ID#AAABU0VI0KY
tc={A3B03601-F9A0-4A53-A670-E1183EC89887}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3" authorId="0" shapeId="0" xr:uid="{00000000-0006-0000-0000-00002B010000}">
      <text>
        <r>
          <rPr>
            <sz val="11"/>
            <color rgb="FF000000"/>
            <rFont val="Calibri"/>
            <scheme val="minor"/>
          </rPr>
          <t>======
ID#AAABVuFye_A
Muditha Aruppola    (2024-09-24 06:14:47)
Supplier- Kandurata Timber Depot
Location- No 1303 Biyagama Road Kelaniya
TP- 0112 908 452</t>
        </r>
      </text>
    </comment>
    <comment ref="W73" authorId="0" shapeId="0" xr:uid="{00000000-0006-0000-0000-00002C010000}">
      <text>
        <r>
          <rPr>
            <sz val="11"/>
            <color rgb="FF000000"/>
            <rFont val="Calibri"/>
            <scheme val="minor"/>
          </rPr>
          <t>======
ID#AAABXKBgNwg
Muditha Aruppola    (2024-09-24 06:14:47)
Supplier- Kandurata Timber Depot
Location- No 1303 Biyagama Road Kelaniya
TP- 0112 908 452</t>
        </r>
      </text>
    </comment>
    <comment ref="T74" authorId="0" shapeId="0" xr:uid="{00000000-0006-0000-0000-000064020000}">
      <text>
        <r>
          <rPr>
            <sz val="11"/>
            <color rgb="FF000000"/>
            <rFont val="Calibri"/>
            <scheme val="minor"/>
          </rPr>
          <t>======
ID#AAABUz9wsAc
tc={893D98FC-DD05-4D35-9BC3-71422C8FAF01}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4" authorId="0" shapeId="0" xr:uid="{00000000-0006-0000-0000-000000020000}">
      <text>
        <r>
          <rPr>
            <sz val="11"/>
            <color rgb="FF000000"/>
            <rFont val="Calibri"/>
            <scheme val="minor"/>
          </rPr>
          <t>======
ID#AAABU0VI06Q
tc={F2A93304-5142-4F8D-9FF6-2103413A1B09}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4" authorId="0" shapeId="0" xr:uid="{00000000-0006-0000-0000-000029010000}">
      <text>
        <r>
          <rPr>
            <sz val="11"/>
            <color rgb="FF000000"/>
            <rFont val="Calibri"/>
            <scheme val="minor"/>
          </rPr>
          <t>======
ID#AAABVuFye_E
Muditha Aruppola    (2024-09-24 06:14:50)
Supplier- Kandurata Timber Depot
Location- No 1303 Biyagama Road Kelaniya
TP- 0112 908 452</t>
        </r>
      </text>
    </comment>
    <comment ref="W74" authorId="0" shapeId="0" xr:uid="{00000000-0006-0000-0000-00002A010000}">
      <text>
        <r>
          <rPr>
            <sz val="11"/>
            <color rgb="FF000000"/>
            <rFont val="Calibri"/>
            <scheme val="minor"/>
          </rPr>
          <t>======
ID#AAABXKFOLAg
Muditha Aruppola    (2024-09-24 06:14:50)
Supplier- Kandurata Timber Depot
Location- No 1303 Biyagama Road Kelaniya
TP- 0112 908 452</t>
        </r>
      </text>
    </comment>
    <comment ref="T75" authorId="0" shapeId="0" xr:uid="{00000000-0006-0000-0000-000063020000}">
      <text>
        <r>
          <rPr>
            <sz val="11"/>
            <color rgb="FF000000"/>
            <rFont val="Calibri"/>
            <scheme val="minor"/>
          </rPr>
          <t>======
ID#AAABUz9wsAg
tc={CEF97CBD-88A8-4BB5-A191-13AD2465DB28}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5" authorId="0" shapeId="0" xr:uid="{00000000-0006-0000-0000-00005F020000}">
      <text>
        <r>
          <rPr>
            <sz val="11"/>
            <color rgb="FF000000"/>
            <rFont val="Calibri"/>
            <scheme val="minor"/>
          </rPr>
          <t>======
ID#AAABUz9wsAw
tc={27A09E1B-A07F-43F8-92DD-18AAF7E4BBDE}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5" authorId="0" shapeId="0" xr:uid="{00000000-0006-0000-0000-000027010000}">
      <text>
        <r>
          <rPr>
            <sz val="11"/>
            <color rgb="FF000000"/>
            <rFont val="Calibri"/>
            <scheme val="minor"/>
          </rPr>
          <t>======
ID#AAABVuFye_I
Muditha Aruppola    (2024-09-24 06:14:54)
Supplier- Kandurata Timber Depot
Location- No 1303 Biyagama Road Kelaniya
TP- 0112 908 452</t>
        </r>
      </text>
    </comment>
    <comment ref="W75" authorId="0" shapeId="0" xr:uid="{00000000-0006-0000-0000-000028010000}">
      <text>
        <r>
          <rPr>
            <sz val="11"/>
            <color rgb="FF000000"/>
            <rFont val="Calibri"/>
            <scheme val="minor"/>
          </rPr>
          <t>======
ID#AAABXKFOLAo
Muditha Aruppola    (2024-09-24 06:14:54)
Supplier- Kandurata Timber Depot
Location- No 1303 Biyagama Road Kelaniya
TP- 0112 908 452</t>
        </r>
      </text>
    </comment>
    <comment ref="T76" authorId="0" shapeId="0" xr:uid="{00000000-0006-0000-0000-0000B7020000}">
      <text>
        <r>
          <rPr>
            <sz val="11"/>
            <color rgb="FF000000"/>
            <rFont val="Calibri"/>
            <scheme val="minor"/>
          </rPr>
          <t>======
ID#AAABUz9wr64
tc={749736AB-B3DE-48C8-A43D-74BC898B6493}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6" authorId="0" shapeId="0" xr:uid="{00000000-0006-0000-0000-00007D020000}">
      <text>
        <r>
          <rPr>
            <sz val="11"/>
            <color rgb="FF000000"/>
            <rFont val="Calibri"/>
            <scheme val="minor"/>
          </rPr>
          <t>======
ID#AAABUz9wr-0
tc={52B0C055-86D0-4999-8E76-CDD24AE2EA20}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6" authorId="0" shapeId="0" xr:uid="{00000000-0006-0000-0000-000025010000}">
      <text>
        <r>
          <rPr>
            <sz val="11"/>
            <color rgb="FF000000"/>
            <rFont val="Calibri"/>
            <scheme val="minor"/>
          </rPr>
          <t>======
ID#AAABVuFye_M
Muditha Aruppola    (2024-09-24 06:14:57)
Supplier- Kandurata Timber Depot
Location- No 1303 Biyagama Road Kelaniya
TP- 0112 908 452</t>
        </r>
      </text>
    </comment>
    <comment ref="W76" authorId="0" shapeId="0" xr:uid="{00000000-0006-0000-0000-000026010000}">
      <text>
        <r>
          <rPr>
            <sz val="11"/>
            <color rgb="FF000000"/>
            <rFont val="Calibri"/>
            <scheme val="minor"/>
          </rPr>
          <t>======
ID#AAABXKFOK_M
Muditha Aruppola    (2024-09-24 06:14:57)
Supplier- Kandurata Timber Depot
Location- No 1303 Biyagama Road Kelaniya
TP- 0112 908 452</t>
        </r>
      </text>
    </comment>
    <comment ref="T78" authorId="0" shapeId="0" xr:uid="{00000000-0006-0000-0000-000026020000}">
      <text>
        <r>
          <rPr>
            <sz val="11"/>
            <color rgb="FF000000"/>
            <rFont val="Calibri"/>
            <scheme val="minor"/>
          </rPr>
          <t>======
ID#AAABU0VI0Lw
tc={69560BDA-2CAD-47BD-9922-2C3339AA609A}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8" authorId="0" shapeId="0" xr:uid="{00000000-0006-0000-0000-000097020000}">
      <text>
        <r>
          <rPr>
            <sz val="11"/>
            <color rgb="FF000000"/>
            <rFont val="Calibri"/>
            <scheme val="minor"/>
          </rPr>
          <t>======
ID#AAABUz9wr9I
tc={62406611-4CE0-4E4D-AEA1-B6EA5C57A948}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8" authorId="0" shapeId="0" xr:uid="{00000000-0006-0000-0000-000023010000}">
      <text>
        <r>
          <rPr>
            <sz val="11"/>
            <color rgb="FF000000"/>
            <rFont val="Calibri"/>
            <scheme val="minor"/>
          </rPr>
          <t>======
ID#AAABVuFye_Q
Muditha Aruppola    (2024-09-24 06:15:01)
Supplier- Kandurata Timber Depot
Location- No 1303 Biyagama Road Kelaniya
TP- 0112 908 452</t>
        </r>
      </text>
    </comment>
    <comment ref="W78" authorId="0" shapeId="0" xr:uid="{00000000-0006-0000-0000-000024010000}">
      <text>
        <r>
          <rPr>
            <sz val="11"/>
            <color rgb="FF000000"/>
            <rFont val="Calibri"/>
            <scheme val="minor"/>
          </rPr>
          <t>======
ID#AAABXKFOK9o
Muditha Aruppola    (2024-09-24 06:15:01)
Supplier- Kandurata Timber Depot
Location- No 1303 Biyagama Road Kelaniya
TP- 0112 908 452</t>
        </r>
      </text>
    </comment>
    <comment ref="T79" authorId="0" shapeId="0" xr:uid="{00000000-0006-0000-0000-000089010000}">
      <text>
        <r>
          <rPr>
            <sz val="11"/>
            <color rgb="FF000000"/>
            <rFont val="Calibri"/>
            <scheme val="minor"/>
          </rPr>
          <t>======
ID#AAABU0VI1B4
tc={16F9F50F-01D7-4468-8417-D9DC488C71D2}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79" authorId="0" shapeId="0" xr:uid="{00000000-0006-0000-0000-0000B4010000}">
      <text>
        <r>
          <rPr>
            <sz val="11"/>
            <color rgb="FF000000"/>
            <rFont val="Calibri"/>
            <scheme val="minor"/>
          </rPr>
          <t>======
ID#AAABU0VI0_I
tc={61B092E8-B76D-479E-9975-27E84C1BCA89}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79" authorId="0" shapeId="0" xr:uid="{00000000-0006-0000-0000-000021010000}">
      <text>
        <r>
          <rPr>
            <sz val="11"/>
            <color rgb="FF000000"/>
            <rFont val="Calibri"/>
            <scheme val="minor"/>
          </rPr>
          <t>======
ID#AAABVuFye_U
Muditha Aruppola    (2024-09-24 06:15:04)
Supplier- Kandurata Timber Depot
Location- No 1303 Biyagama Road Kelaniya
TP- 0112 908 452</t>
        </r>
      </text>
    </comment>
    <comment ref="W79" authorId="0" shapeId="0" xr:uid="{00000000-0006-0000-0000-000022010000}">
      <text>
        <r>
          <rPr>
            <sz val="11"/>
            <color rgb="FF000000"/>
            <rFont val="Calibri"/>
            <scheme val="minor"/>
          </rPr>
          <t>======
ID#AAABXKFOLAE
Muditha Aruppola    (2024-09-24 06:15:04)
Supplier- Kandurata Timber Depot
Location- No 1303 Biyagama Road Kelaniya
TP- 0112 908 452</t>
        </r>
      </text>
    </comment>
    <comment ref="T80" authorId="0" shapeId="0" xr:uid="{00000000-0006-0000-0000-00007E010000}">
      <text>
        <r>
          <rPr>
            <sz val="11"/>
            <color rgb="FF000000"/>
            <rFont val="Calibri"/>
            <scheme val="minor"/>
          </rPr>
          <t>======
ID#AAABU0VI1Cs
tc={E614D1AC-D3C2-4B36-AA4F-ED711D1C43A1}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0" authorId="0" shapeId="0" xr:uid="{00000000-0006-0000-0000-000044010000}">
      <text>
        <r>
          <rPr>
            <sz val="11"/>
            <color rgb="FF000000"/>
            <rFont val="Calibri"/>
            <scheme val="minor"/>
          </rPr>
          <t>======
ID#AAABU0VI1Gg
tc={71673660-FD34-4100-9A19-815BAA44C518}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0" authorId="0" shapeId="0" xr:uid="{00000000-0006-0000-0000-00001F010000}">
      <text>
        <r>
          <rPr>
            <sz val="11"/>
            <color rgb="FF000000"/>
            <rFont val="Calibri"/>
            <scheme val="minor"/>
          </rPr>
          <t>======
ID#AAABVuFye_Y
Muditha Aruppola    (2024-09-24 06:15:06)
Supplier- Kandurata Timber Depot
Location- No 1303 Biyagama Road Kelaniya
TP- 0112 908 452</t>
        </r>
      </text>
    </comment>
    <comment ref="W80" authorId="0" shapeId="0" xr:uid="{00000000-0006-0000-0000-000020010000}">
      <text>
        <r>
          <rPr>
            <sz val="11"/>
            <color rgb="FF000000"/>
            <rFont val="Calibri"/>
            <scheme val="minor"/>
          </rPr>
          <t>======
ID#AAABXKBgNwU
Muditha Aruppola    (2024-09-24 06:15:06)
Supplier- Kandurata Timber Depot
Location- No 1303 Biyagama Road Kelaniya
TP- 0112 908 452</t>
        </r>
      </text>
    </comment>
    <comment ref="T81" authorId="0" shapeId="0" xr:uid="{00000000-0006-0000-0000-00006D010000}">
      <text>
        <r>
          <rPr>
            <sz val="11"/>
            <color rgb="FF000000"/>
            <rFont val="Calibri"/>
            <scheme val="minor"/>
          </rPr>
          <t>======
ID#AAABU0VI1Dw
tc={7327C3BF-EDB0-4538-9CAE-C8E814317EC7}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1" authorId="0" shapeId="0" xr:uid="{00000000-0006-0000-0000-00000E020000}">
      <text>
        <r>
          <rPr>
            <sz val="11"/>
            <color rgb="FF000000"/>
            <rFont val="Calibri"/>
            <scheme val="minor"/>
          </rPr>
          <t>======
ID#AAABU0VI05Q
tc={ADD75205-2361-46D6-A569-E80B101D7B97}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1" authorId="0" shapeId="0" xr:uid="{00000000-0006-0000-0000-00001D010000}">
      <text>
        <r>
          <rPr>
            <sz val="11"/>
            <color rgb="FF000000"/>
            <rFont val="Calibri"/>
            <scheme val="minor"/>
          </rPr>
          <t>======
ID#AAABVuFye_c
Muditha Aruppola    (2024-09-24 06:15:09)
Supplier- Kandurata Timber Depot
Location- No 1303 Biyagama Road Kelaniya
TP- 0112 908 452</t>
        </r>
      </text>
    </comment>
    <comment ref="W81" authorId="0" shapeId="0" xr:uid="{00000000-0006-0000-0000-00001E010000}">
      <text>
        <r>
          <rPr>
            <sz val="11"/>
            <color rgb="FF000000"/>
            <rFont val="Calibri"/>
            <scheme val="minor"/>
          </rPr>
          <t>======
ID#AAABXKFOK-E
Muditha Aruppola    (2024-09-24 06:15:09)
Supplier- Kandurata Timber Depot
Location- No 1303 Biyagama Road Kelaniya
TP- 0112 908 452</t>
        </r>
      </text>
    </comment>
    <comment ref="T82" authorId="0" shapeId="0" xr:uid="{00000000-0006-0000-0000-0000E5020000}">
      <text>
        <r>
          <rPr>
            <sz val="11"/>
            <color rgb="FF000000"/>
            <rFont val="Calibri"/>
            <scheme val="minor"/>
          </rPr>
          <t>======
ID#AAABUzvHrhE
tc={ECB013C7-8C1C-4DEF-8F4C-E00316DFA066}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2" authorId="0" shapeId="0" xr:uid="{00000000-0006-0000-0000-0000D7020000}">
      <text>
        <r>
          <rPr>
            <sz val="11"/>
            <color rgb="FF000000"/>
            <rFont val="Calibri"/>
            <scheme val="minor"/>
          </rPr>
          <t>======
ID#AAABUz9wr44
tc={FDF49CF9-CB79-49EE-A57D-0C31AFDC8FFF}    (2024-08-29 06:55:08)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2" authorId="0" shapeId="0" xr:uid="{00000000-0006-0000-0000-00001B010000}">
      <text>
        <r>
          <rPr>
            <sz val="11"/>
            <color rgb="FF000000"/>
            <rFont val="Calibri"/>
            <scheme val="minor"/>
          </rPr>
          <t>======
ID#AAABVuFye_g
Muditha Aruppola    (2024-09-24 06:15:12)
Supplier- Kandurata Timber Depot
Location- No 1303 Biyagama Road Kelaniya
TP- 0112 908 452</t>
        </r>
      </text>
    </comment>
    <comment ref="W82" authorId="0" shapeId="0" xr:uid="{00000000-0006-0000-0000-00001C010000}">
      <text>
        <r>
          <rPr>
            <sz val="11"/>
            <color rgb="FF000000"/>
            <rFont val="Calibri"/>
            <scheme val="minor"/>
          </rPr>
          <t>======
ID#AAABXKFOLCY
Muditha Aruppola    (2024-09-24 06:15:12)
Supplier- Kandurata Timber Depot
Location- No 1303 Biyagama Road Kelaniya
TP- 0112 908 452</t>
        </r>
      </text>
    </comment>
    <comment ref="T83" authorId="0" shapeId="0" xr:uid="{00000000-0006-0000-0000-000058010000}">
      <text>
        <r>
          <rPr>
            <sz val="11"/>
            <color rgb="FF000000"/>
            <rFont val="Calibri"/>
            <scheme val="minor"/>
          </rPr>
          <t>======
ID#AAABU0VI1FI
tc={59E34B28-7126-4A6C-B6E6-491AE072F778}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3" authorId="0" shapeId="0" xr:uid="{00000000-0006-0000-0000-00002A020000}">
      <text>
        <r>
          <rPr>
            <sz val="11"/>
            <color rgb="FF000000"/>
            <rFont val="Calibri"/>
            <scheme val="minor"/>
          </rPr>
          <t>======
ID#AAABU0VI0Lg
tc={ECD5CAD6-F46D-4C70-A166-95B290E9E8C2}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3" authorId="0" shapeId="0" xr:uid="{00000000-0006-0000-0000-000019010000}">
      <text>
        <r>
          <rPr>
            <sz val="11"/>
            <color rgb="FF000000"/>
            <rFont val="Calibri"/>
            <scheme val="minor"/>
          </rPr>
          <t>======
ID#AAABVuFye_k
Muditha Aruppola    (2024-09-24 06:15:15)
Supplier- Kandurata Timber Depot
Location- No 1303 Biyagama Road Kelaniya
TP- 0112 908 452</t>
        </r>
      </text>
    </comment>
    <comment ref="W83" authorId="0" shapeId="0" xr:uid="{00000000-0006-0000-0000-00001A010000}">
      <text>
        <r>
          <rPr>
            <sz val="11"/>
            <color rgb="FF000000"/>
            <rFont val="Calibri"/>
            <scheme val="minor"/>
          </rPr>
          <t>======
ID#AAABXKFOLAs
Muditha Aruppola    (2024-09-24 06:15:15)
Supplier- Kandurata Timber Depot
Location- No 1303 Biyagama Road Kelaniya
TP- 0112 908 452</t>
        </r>
      </text>
    </comment>
    <comment ref="T84" authorId="0" shapeId="0" xr:uid="{00000000-0006-0000-0000-000068010000}">
      <text>
        <r>
          <rPr>
            <sz val="11"/>
            <color rgb="FF000000"/>
            <rFont val="Calibri"/>
            <scheme val="minor"/>
          </rPr>
          <t>======
ID#AAABU0VI1EI
tc={13EA4806-9CA0-490B-9C3A-3734B713C6D4}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4" authorId="0" shapeId="0" xr:uid="{00000000-0006-0000-0000-000087020000}">
      <text>
        <r>
          <rPr>
            <sz val="11"/>
            <color rgb="FF000000"/>
            <rFont val="Calibri"/>
            <scheme val="minor"/>
          </rPr>
          <t>======
ID#AAABUz9wr-M
tc={E10D56BB-0AF3-4699-9183-29A2D69CC238}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4" authorId="0" shapeId="0" xr:uid="{00000000-0006-0000-0000-000017010000}">
      <text>
        <r>
          <rPr>
            <sz val="11"/>
            <color rgb="FF000000"/>
            <rFont val="Calibri"/>
            <scheme val="minor"/>
          </rPr>
          <t>======
ID#AAABVuFye_o
Muditha Aruppola    (2024-09-24 06:15:17)
Supplier- Kandurata Timber Depot
Location- No 1303 Biyagama Road Kelaniya
TP- 0112 908 452</t>
        </r>
      </text>
    </comment>
    <comment ref="W84" authorId="0" shapeId="0" xr:uid="{00000000-0006-0000-0000-000018010000}">
      <text>
        <r>
          <rPr>
            <sz val="11"/>
            <color rgb="FF000000"/>
            <rFont val="Calibri"/>
            <scheme val="minor"/>
          </rPr>
          <t>======
ID#AAABXKEqTdA
Muditha Aruppola    (2024-09-24 06:15:17)
Supplier- Kandurata Timber Depot
Location- No 1303 Biyagama Road Kelaniya
TP- 0112 908 452</t>
        </r>
      </text>
    </comment>
    <comment ref="T85" authorId="0" shapeId="0" xr:uid="{00000000-0006-0000-0000-0000F3010000}">
      <text>
        <r>
          <rPr>
            <sz val="11"/>
            <color rgb="FF000000"/>
            <rFont val="Calibri"/>
            <scheme val="minor"/>
          </rPr>
          <t>======
ID#AAABU0VI07I
tc={A60A48EA-2D1D-45CD-BD55-E20138F916EA}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5" authorId="0" shapeId="0" xr:uid="{00000000-0006-0000-0000-0000A8020000}">
      <text>
        <r>
          <rPr>
            <sz val="11"/>
            <color rgb="FF000000"/>
            <rFont val="Calibri"/>
            <scheme val="minor"/>
          </rPr>
          <t>======
ID#AAABUz9wr8A
tc={E28B03F8-1CC6-465B-942E-9CB0828A0777}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5" authorId="0" shapeId="0" xr:uid="{00000000-0006-0000-0000-000015010000}">
      <text>
        <r>
          <rPr>
            <sz val="11"/>
            <color rgb="FF000000"/>
            <rFont val="Calibri"/>
            <scheme val="minor"/>
          </rPr>
          <t>======
ID#AAABVuFye_s
Muditha Aruppola    (2024-09-24 06:15:20)
Supplier- Kandurata Timber Depot
Location- No 1303 Biyagama Road Kelaniya
TP- 0112 908 452</t>
        </r>
      </text>
    </comment>
    <comment ref="W85" authorId="0" shapeId="0" xr:uid="{00000000-0006-0000-0000-000016010000}">
      <text>
        <r>
          <rPr>
            <sz val="11"/>
            <color rgb="FF000000"/>
            <rFont val="Calibri"/>
            <scheme val="minor"/>
          </rPr>
          <t>======
ID#AAABXKFOLCA
Muditha Aruppola    (2024-09-24 06:15:20)
Supplier- Kandurata Timber Depot
Location- No 1303 Biyagama Road Kelaniya
TP- 0112 908 452</t>
        </r>
      </text>
    </comment>
    <comment ref="T86" authorId="0" shapeId="0" xr:uid="{00000000-0006-0000-0000-000030020000}">
      <text>
        <r>
          <rPr>
            <sz val="11"/>
            <color rgb="FF000000"/>
            <rFont val="Calibri"/>
            <scheme val="minor"/>
          </rPr>
          <t>======
ID#AAABU0VI0LI
tc={B991AB91-56E8-4EB9-9789-B2F6E9A09370}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6" authorId="0" shapeId="0" xr:uid="{00000000-0006-0000-0000-0000E8010000}">
      <text>
        <r>
          <rPr>
            <sz val="11"/>
            <color rgb="FF000000"/>
            <rFont val="Calibri"/>
            <scheme val="minor"/>
          </rPr>
          <t>======
ID#AAABU0VI070
tc={6F2F9AEB-F1BE-496E-A389-EDEDCBB4FF82}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6" authorId="0" shapeId="0" xr:uid="{00000000-0006-0000-0000-000013010000}">
      <text>
        <r>
          <rPr>
            <sz val="11"/>
            <color rgb="FF000000"/>
            <rFont val="Calibri"/>
            <scheme val="minor"/>
          </rPr>
          <t>======
ID#AAABVuFye_w
Muditha Aruppola    (2024-09-24 06:15:23)
Supplier- Kandurata Timber Depot
Location- No 1303 Biyagama Road Kelaniya
TP- 0112 908 452</t>
        </r>
      </text>
    </comment>
    <comment ref="W86" authorId="0" shapeId="0" xr:uid="{00000000-0006-0000-0000-000014010000}">
      <text>
        <r>
          <rPr>
            <sz val="11"/>
            <color rgb="FF000000"/>
            <rFont val="Calibri"/>
            <scheme val="minor"/>
          </rPr>
          <t>======
ID#AAABXKEqTcg
Muditha Aruppola    (2024-09-24 06:15:23)
Supplier- Kandurata Timber Depot
Location- No 1303 Biyagama Road Kelaniya
TP- 0112 908 452</t>
        </r>
      </text>
    </comment>
    <comment ref="T87" authorId="0" shapeId="0" xr:uid="{00000000-0006-0000-0000-00002F020000}">
      <text>
        <r>
          <rPr>
            <sz val="11"/>
            <color rgb="FF000000"/>
            <rFont val="Calibri"/>
            <scheme val="minor"/>
          </rPr>
          <t>======
ID#AAABU0VI0LM
tc={44AF6914-9E6A-423A-93DA-191140F7CA7F}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7" authorId="0" shapeId="0" xr:uid="{00000000-0006-0000-0000-000075010000}">
      <text>
        <r>
          <rPr>
            <sz val="11"/>
            <color rgb="FF000000"/>
            <rFont val="Calibri"/>
            <scheme val="minor"/>
          </rPr>
          <t>======
ID#AAABU0VI1DQ
tc={6E20CAA4-E295-47C0-B967-E8EA7195BAF4}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7" authorId="0" shapeId="0" xr:uid="{00000000-0006-0000-0000-000011010000}">
      <text>
        <r>
          <rPr>
            <sz val="11"/>
            <color rgb="FF000000"/>
            <rFont val="Calibri"/>
            <scheme val="minor"/>
          </rPr>
          <t>======
ID#AAABVuFye_0
Muditha Aruppola    (2024-09-24 06:15:26)
Supplier- Kandurata Timber Depot
Location- No 1303 Biyagama Road Kelaniya
TP- 0112 908 452</t>
        </r>
      </text>
    </comment>
    <comment ref="W87" authorId="0" shapeId="0" xr:uid="{00000000-0006-0000-0000-000012010000}">
      <text>
        <r>
          <rPr>
            <sz val="11"/>
            <color rgb="FF000000"/>
            <rFont val="Calibri"/>
            <scheme val="minor"/>
          </rPr>
          <t>======
ID#AAABXKFOK-s
Muditha Aruppola    (2024-09-24 06:15:26)
Supplier- Kandurata Timber Depot
Location- No 1303 Biyagama Road Kelaniya
TP- 0112 908 452</t>
        </r>
      </text>
    </comment>
    <comment ref="T88" authorId="0" shapeId="0" xr:uid="{00000000-0006-0000-0000-000088010000}">
      <text>
        <r>
          <rPr>
            <sz val="11"/>
            <color rgb="FF000000"/>
            <rFont val="Calibri"/>
            <scheme val="minor"/>
          </rPr>
          <t>======
ID#AAABU0VI1B8
tc={8FCE08D5-595E-4F3E-8586-0ED14C336305}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Krishantha Saw Mills
TP- 071 417 1856 
Location- No 477 , Galle Road, Rawathawatha, Moratuwa 10400</t>
        </r>
      </text>
    </comment>
    <comment ref="U88" authorId="0" shapeId="0" xr:uid="{00000000-0006-0000-0000-0000D5010000}">
      <text>
        <r>
          <rPr>
            <sz val="11"/>
            <color rgb="FF000000"/>
            <rFont val="Calibri"/>
            <scheme val="minor"/>
          </rPr>
          <t>======
ID#AAABU0VI09E
tc={77D9C671-3CCA-4640-A119-BE2506B5DD2F}    (2024-08-29 06:55:09)
[Threaded comment]
Your version of Excel allows you to read this threaded comment; however, any edits to it will get removed if the file is opened in a newer version of Excel. Learn more: https://go.microsoft.com/fwlink/?linkid=870924
Comment:
    Supplier- Kandurata Timber Depot
Location- No 1303 Biyagama Road Kelaniya
TP- 0112 908 452</t>
        </r>
      </text>
    </comment>
    <comment ref="V88" authorId="0" shapeId="0" xr:uid="{00000000-0006-0000-0000-00000F010000}">
      <text>
        <r>
          <rPr>
            <sz val="11"/>
            <color rgb="FF000000"/>
            <rFont val="Calibri"/>
            <scheme val="minor"/>
          </rPr>
          <t>======
ID#AAABVuFye_4
Muditha Aruppola    (2024-09-24 06:15:29)
Supplier- Kandurata Timber Depot
Location- No 1303 Biyagama Road Kelaniya
TP- 0112 908 452</t>
        </r>
      </text>
    </comment>
    <comment ref="W88" authorId="0" shapeId="0" xr:uid="{00000000-0006-0000-0000-000010010000}">
      <text>
        <r>
          <rPr>
            <sz val="11"/>
            <color rgb="FF000000"/>
            <rFont val="Calibri"/>
            <scheme val="minor"/>
          </rPr>
          <t>======
ID#AAABXKFOLBY
Muditha Aruppola    (2024-09-24 06:15:29)
Supplier- Kandurata Timber Depot
Location- No 1303 Biyagama Road Kelaniya
TP- 0112 908 452</t>
        </r>
      </text>
    </comment>
    <comment ref="S91" authorId="0" shapeId="0" xr:uid="{00000000-0006-0000-0000-0000A6020000}">
      <text>
        <r>
          <rPr>
            <sz val="11"/>
            <color rgb="FF000000"/>
            <rFont val="Calibri"/>
            <scheme val="minor"/>
          </rPr>
          <t>======
ID#AAABUz9wr8I
tc={A44F3C3D-301F-4F11-8E5F-CF3308D437C9}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T91" authorId="0" shapeId="0" xr:uid="{00000000-0006-0000-0000-000025020000}">
      <text>
        <r>
          <rPr>
            <sz val="11"/>
            <color rgb="FF000000"/>
            <rFont val="Calibri"/>
            <scheme val="minor"/>
          </rPr>
          <t>======
ID#AAABU0VI0L0
tc={8252E45A-4638-47AE-AD63-5DEB084D591D}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U91" authorId="0" shapeId="0" xr:uid="{00000000-0006-0000-0000-0000AB010000}">
      <text>
        <r>
          <rPr>
            <sz val="11"/>
            <color rgb="FF000000"/>
            <rFont val="Calibri"/>
            <scheme val="minor"/>
          </rPr>
          <t>======
ID#AAABU0VI0_s
    (2024-08-29 06:55:09)
seller- Lanwa steel
	-Muditha Aruppola</t>
        </r>
      </text>
    </comment>
    <comment ref="V91" authorId="0" shapeId="0" xr:uid="{00000000-0006-0000-0000-000001010000}">
      <text>
        <r>
          <rPr>
            <sz val="11"/>
            <color rgb="FF000000"/>
            <rFont val="Calibri"/>
            <scheme val="minor"/>
          </rPr>
          <t>======
ID#AAABVuFyfAw
Muditha Aruppola    (2024-09-24 06:26:19)
Seller - Lanwa 
Mr Suranga has confirmed that rated has not changed 
TP- 071 8734832</t>
        </r>
      </text>
    </comment>
    <comment ref="W91" authorId="0" shapeId="0" xr:uid="{00000000-0006-0000-0000-000002010000}">
      <text>
        <r>
          <rPr>
            <sz val="11"/>
            <color rgb="FF000000"/>
            <rFont val="Calibri"/>
            <scheme val="minor"/>
          </rPr>
          <t>======
ID#AAABXKFOK-Y
Muditha Aruppola    (2024-09-24 06:26:19)
Seller - Lanwa 
Mr Suranga has confirmed that rated has not changed 
TP- 071 8734832</t>
        </r>
      </text>
    </comment>
    <comment ref="Y91" authorId="0" shapeId="0" xr:uid="{00000000-0006-0000-0000-00000D000000}">
      <text>
        <r>
          <rPr>
            <sz val="11"/>
            <color rgb="FF000000"/>
            <rFont val="Calibri"/>
            <scheme val="minor"/>
          </rPr>
          <t>======
ID#AAABag-w3bA
Muditha Aruppola    (2024-12-19 05:40:58)
Seller - Lanwa 
Mr Suranga has confirmed that rated has not changed 
TP- 071 8734832</t>
        </r>
      </text>
    </comment>
    <comment ref="S92" authorId="0" shapeId="0" xr:uid="{00000000-0006-0000-0000-0000DE010000}">
      <text>
        <r>
          <rPr>
            <sz val="11"/>
            <color rgb="FF000000"/>
            <rFont val="Calibri"/>
            <scheme val="minor"/>
          </rPr>
          <t>======
ID#AAABU0VI08c
tc={3841DF69-1E23-4978-9E4A-D5195ED1B1D7}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T92" authorId="0" shapeId="0" xr:uid="{00000000-0006-0000-0000-000051020000}">
      <text>
        <r>
          <rPr>
            <sz val="11"/>
            <color rgb="FF000000"/>
            <rFont val="Calibri"/>
            <scheme val="minor"/>
          </rPr>
          <t>======
ID#AAABU0VI0I0
tc={441B700B-A8C2-430A-8B7A-2D525ABB6DFB}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U92" authorId="0" shapeId="0" xr:uid="{00000000-0006-0000-0000-0000F8010000}">
      <text>
        <r>
          <rPr>
            <sz val="11"/>
            <color rgb="FF000000"/>
            <rFont val="Calibri"/>
            <scheme val="minor"/>
          </rPr>
          <t>======
ID#AAABU0VI06w
    (2024-08-29 06:55:09)
seller- Lanwa steel
	-Muditha Aruppola</t>
        </r>
      </text>
    </comment>
    <comment ref="S93" authorId="0" shapeId="0" xr:uid="{00000000-0006-0000-0000-0000C4020000}">
      <text>
        <r>
          <rPr>
            <sz val="11"/>
            <color rgb="FF000000"/>
            <rFont val="Calibri"/>
            <scheme val="minor"/>
          </rPr>
          <t>======
ID#AAABUz9wr6E
tc={AB02FD48-6DE0-43DE-B939-598F61CE7F61}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T93" authorId="0" shapeId="0" xr:uid="{00000000-0006-0000-0000-000087010000}">
      <text>
        <r>
          <rPr>
            <sz val="11"/>
            <color rgb="FF000000"/>
            <rFont val="Calibri"/>
            <scheme val="minor"/>
          </rPr>
          <t>======
ID#AAABU0VI1CA
tc={19FAABB5-4762-4C63-B1D9-0901880881A6}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U93" authorId="0" shapeId="0" xr:uid="{00000000-0006-0000-0000-0000BA020000}">
      <text>
        <r>
          <rPr>
            <sz val="11"/>
            <color rgb="FF000000"/>
            <rFont val="Calibri"/>
            <scheme val="minor"/>
          </rPr>
          <t>======
ID#AAABUz9wr6s
    (2024-08-29 06:55:09)
seller- Lanwa steel
	-Muditha Aruppola</t>
        </r>
      </text>
    </comment>
    <comment ref="S94" authorId="0" shapeId="0" xr:uid="{00000000-0006-0000-0000-000084020000}">
      <text>
        <r>
          <rPr>
            <sz val="11"/>
            <color rgb="FF000000"/>
            <rFont val="Calibri"/>
            <scheme val="minor"/>
          </rPr>
          <t>======
ID#AAABUz9wr-Y
tc={B552AF4F-23A1-4158-8178-4069208F6B67}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T94" authorId="0" shapeId="0" xr:uid="{00000000-0006-0000-0000-000042020000}">
      <text>
        <r>
          <rPr>
            <sz val="11"/>
            <color rgb="FF000000"/>
            <rFont val="Calibri"/>
            <scheme val="minor"/>
          </rPr>
          <t>======
ID#AAABU0VI0J0
tc={3CE83430-BBE1-48CA-B99B-43F0B77F1B23}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U94" authorId="0" shapeId="0" xr:uid="{00000000-0006-0000-0000-00007C010000}">
      <text>
        <r>
          <rPr>
            <sz val="11"/>
            <color rgb="FF000000"/>
            <rFont val="Calibri"/>
            <scheme val="minor"/>
          </rPr>
          <t>======
ID#AAABU0VI1C0
    (2024-08-29 06:55:09)
seller- Lanwa steel
	-Muditha Aruppola</t>
        </r>
      </text>
    </comment>
    <comment ref="S95" authorId="0" shapeId="0" xr:uid="{00000000-0006-0000-0000-000074010000}">
      <text>
        <r>
          <rPr>
            <sz val="11"/>
            <color rgb="FF000000"/>
            <rFont val="Calibri"/>
            <scheme val="minor"/>
          </rPr>
          <t>======
ID#AAABU0VI1DU
tc={703A2B4D-8F8F-4E44-BAE8-58D49188B99A}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T95" authorId="0" shapeId="0" xr:uid="{00000000-0006-0000-0000-000057020000}">
      <text>
        <r>
          <rPr>
            <sz val="11"/>
            <color rgb="FF000000"/>
            <rFont val="Calibri"/>
            <scheme val="minor"/>
          </rPr>
          <t>======
ID#AAABU0VI0Ic
tc={672D5319-2949-4B87-8E3D-A0D1A21BDA3B}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U95" authorId="0" shapeId="0" xr:uid="{00000000-0006-0000-0000-000021020000}">
      <text>
        <r>
          <rPr>
            <sz val="11"/>
            <color rgb="FF000000"/>
            <rFont val="Calibri"/>
            <scheme val="minor"/>
          </rPr>
          <t>======
ID#AAABU0VI0ME
    (2024-08-29 06:55:09)
seller- Lanwa steel
	-Muditha Aruppola</t>
        </r>
      </text>
    </comment>
    <comment ref="S96" authorId="0" shapeId="0" xr:uid="{00000000-0006-0000-0000-0000BB010000}">
      <text>
        <r>
          <rPr>
            <sz val="11"/>
            <color rgb="FF000000"/>
            <rFont val="Calibri"/>
            <scheme val="minor"/>
          </rPr>
          <t>======
ID#AAABU0VI0-s
tc={D5A05FA9-3D51-4D44-8F50-190E0D1658F9}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T96" authorId="0" shapeId="0" xr:uid="{00000000-0006-0000-0000-000064010000}">
      <text>
        <r>
          <rPr>
            <sz val="11"/>
            <color rgb="FF000000"/>
            <rFont val="Calibri"/>
            <scheme val="minor"/>
          </rPr>
          <t>======
ID#AAABU0VI1EY
tc={3B50F8E8-421B-4F26-AA36-E20BBC25FF6B}    (2024-08-29 06:55:09)
[Threaded comment]
Your version of Excel allows you to read this threaded comment; however, any edits to it will get removed if the file is opened in a newer version of Excel. Learn more: https://go.microsoft.com/fwlink/?linkid=870924
Comment:
    Source- MR Kundana</t>
        </r>
      </text>
    </comment>
    <comment ref="U96" authorId="0" shapeId="0" xr:uid="{00000000-0006-0000-0000-0000E4020000}">
      <text>
        <r>
          <rPr>
            <sz val="11"/>
            <color rgb="FF000000"/>
            <rFont val="Calibri"/>
            <scheme val="minor"/>
          </rPr>
          <t>======
ID#AAABUz9wr4A
    (2024-08-29 06:55:08)
seller- Lanwa steel
	-Muditha Aruppola</t>
        </r>
      </text>
    </comment>
    <comment ref="S98" authorId="0" shapeId="0" xr:uid="{00000000-0006-0000-0000-000015020000}">
      <text>
        <r>
          <rPr>
            <sz val="11"/>
            <color rgb="FF000000"/>
            <rFont val="Calibri"/>
            <scheme val="minor"/>
          </rPr>
          <t>======
ID#AAABU0VI0M0
tc={1120A333-C188-4387-BE19-646BA78604E9}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98" authorId="0" shapeId="0" xr:uid="{00000000-0006-0000-0000-00004E010000}">
      <text>
        <r>
          <rPr>
            <sz val="11"/>
            <color rgb="FF000000"/>
            <rFont val="Calibri"/>
            <scheme val="minor"/>
          </rPr>
          <t>======
ID#AAABU0VI1F4
tc={463E1ACE-4045-42EA-9D59-369DA4047314}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98" authorId="0" shapeId="0" xr:uid="{00000000-0006-0000-0000-00004B020000}">
      <text>
        <r>
          <rPr>
            <sz val="11"/>
            <color rgb="FF000000"/>
            <rFont val="Calibri"/>
            <scheme val="minor"/>
          </rPr>
          <t>======
ID#AAABU0VI0JM
    (2024-08-29 06:55:09)
Seller- Janatha steel
	-Muditha Aruppola</t>
        </r>
      </text>
    </comment>
    <comment ref="V98" authorId="0" shapeId="0" xr:uid="{00000000-0006-0000-0000-00000E010000}">
      <text>
        <r>
          <rPr>
            <sz val="11"/>
            <color rgb="FF000000"/>
            <rFont val="Calibri"/>
            <scheme val="minor"/>
          </rPr>
          <t>======
ID#AAABVuFyfAA
Muditha Aruppola    (2024-09-24 06:17:12)
Seller- Janatha Steel 
Rates has not changed Confirmed by Mr niresh Janatha Steel 
TP- 070 4722125</t>
        </r>
      </text>
    </comment>
    <comment ref="W98" authorId="0" shapeId="0" xr:uid="{00000000-0006-0000-0000-000051000000}">
      <text>
        <r>
          <rPr>
            <sz val="11"/>
            <color rgb="FF000000"/>
            <rFont val="Calibri"/>
            <scheme val="minor"/>
          </rPr>
          <t>======
ID#AAABXKFOLB8
tc={45F50D7A-F112-431B-884F-CBB29AA617AA}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99" authorId="0" shapeId="0" xr:uid="{00000000-0006-0000-0000-000009020000}">
      <text>
        <r>
          <rPr>
            <sz val="11"/>
            <color rgb="FF000000"/>
            <rFont val="Calibri"/>
            <scheme val="minor"/>
          </rPr>
          <t>======
ID#AAABU0VI05o
tc={52D34864-4F35-40D2-8F97-92D3575BBDDB}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99" authorId="0" shapeId="0" xr:uid="{00000000-0006-0000-0000-000067020000}">
      <text>
        <r>
          <rPr>
            <sz val="11"/>
            <color rgb="FF000000"/>
            <rFont val="Calibri"/>
            <scheme val="minor"/>
          </rPr>
          <t>======
ID#AAABUz9wsAQ
tc={5018013E-BF91-4EDD-BC01-598AB80884C4}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99" authorId="0" shapeId="0" xr:uid="{00000000-0006-0000-0000-000044020000}">
      <text>
        <r>
          <rPr>
            <sz val="11"/>
            <color rgb="FF000000"/>
            <rFont val="Calibri"/>
            <scheme val="minor"/>
          </rPr>
          <t>======
ID#AAABU0VI0Js
    (2024-08-29 06:55:09)
Seller- Janatha steel
	-Muditha Aruppola</t>
        </r>
      </text>
    </comment>
    <comment ref="V99" authorId="0" shapeId="0" xr:uid="{00000000-0006-0000-0000-00000D010000}">
      <text>
        <r>
          <rPr>
            <sz val="11"/>
            <color rgb="FF000000"/>
            <rFont val="Calibri"/>
            <scheme val="minor"/>
          </rPr>
          <t>======
ID#AAABVuFyfAE
Muditha Aruppola    (2024-09-24 06:17:16)
Seller- Janatha Steel 
Rates has not changed Confirmed by Mr niresh Janatha Steel 
TP- 070 4722125</t>
        </r>
      </text>
    </comment>
    <comment ref="W99" authorId="0" shapeId="0" xr:uid="{00000000-0006-0000-0000-00006A000000}">
      <text>
        <r>
          <rPr>
            <sz val="11"/>
            <color rgb="FF000000"/>
            <rFont val="Calibri"/>
            <scheme val="minor"/>
          </rPr>
          <t>======
ID#AAABXKFOK9Q
tc={F8F4AC85-939E-49E3-A5BD-4FC68321BA27}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0" authorId="0" shapeId="0" xr:uid="{00000000-0006-0000-0000-0000A7020000}">
      <text>
        <r>
          <rPr>
            <sz val="11"/>
            <color rgb="FF000000"/>
            <rFont val="Calibri"/>
            <scheme val="minor"/>
          </rPr>
          <t>======
ID#AAABUz9wr8E
tc={4EE0717A-B2E3-4F13-AD9F-94D418299FBC}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0" authorId="0" shapeId="0" xr:uid="{00000000-0006-0000-0000-000028020000}">
      <text>
        <r>
          <rPr>
            <sz val="11"/>
            <color rgb="FF000000"/>
            <rFont val="Calibri"/>
            <scheme val="minor"/>
          </rPr>
          <t>======
ID#AAABU0VI0Lo
tc={3EEA1A23-FE79-4BC6-8E23-741201BDC15E}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00" authorId="0" shapeId="0" xr:uid="{00000000-0006-0000-0000-00000C010000}">
      <text>
        <r>
          <rPr>
            <sz val="11"/>
            <color rgb="FF000000"/>
            <rFont val="Calibri"/>
            <scheme val="minor"/>
          </rPr>
          <t>======
ID#AAABVuFyfAI
Muditha Aruppola    (2024-09-24 06:17:19)
Seller- Janatha Steel 
Rates has not changed Confirmed by Mr niresh Janatha Steel 
TP- 070 4722125</t>
        </r>
      </text>
    </comment>
    <comment ref="W100" authorId="0" shapeId="0" xr:uid="{00000000-0006-0000-0000-000062000000}">
      <text>
        <r>
          <rPr>
            <sz val="11"/>
            <color rgb="FF000000"/>
            <rFont val="Calibri"/>
            <scheme val="minor"/>
          </rPr>
          <t>======
ID#AAABXKFOK-I
tc={FE7F0D6C-C4B3-462F-855E-4F6D9ACA6BFF}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1" authorId="0" shapeId="0" xr:uid="{00000000-0006-0000-0000-000076010000}">
      <text>
        <r>
          <rPr>
            <sz val="11"/>
            <color rgb="FF000000"/>
            <rFont val="Calibri"/>
            <scheme val="minor"/>
          </rPr>
          <t>======
ID#AAABU0VI1DM
tc={8FF76660-6CFF-40C2-B9DE-F99F499BC0C0}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1" authorId="0" shapeId="0" xr:uid="{00000000-0006-0000-0000-000065020000}">
      <text>
        <r>
          <rPr>
            <sz val="11"/>
            <color rgb="FF000000"/>
            <rFont val="Calibri"/>
            <scheme val="minor"/>
          </rPr>
          <t>======
ID#AAABUz9wsAY
tc={659B819A-EB2D-4AB4-A902-0EF96E45245C}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01" authorId="0" shapeId="0" xr:uid="{00000000-0006-0000-0000-00000B010000}">
      <text>
        <r>
          <rPr>
            <sz val="11"/>
            <color rgb="FF000000"/>
            <rFont val="Calibri"/>
            <scheme val="minor"/>
          </rPr>
          <t>======
ID#AAABVuFyfAM
Muditha Aruppola    (2024-09-24 06:17:21)
Seller- Janatha Steel 
Rates has not changed Confirmed by Mr niresh Janatha Steel 
TP- 070 4722125</t>
        </r>
      </text>
    </comment>
    <comment ref="W101" authorId="0" shapeId="0" xr:uid="{00000000-0006-0000-0000-00006D000000}">
      <text>
        <r>
          <rPr>
            <sz val="11"/>
            <color rgb="FF000000"/>
            <rFont val="Calibri"/>
            <scheme val="minor"/>
          </rPr>
          <t>======
ID#AAABXKEqTdQ
tc={27200941-44A4-4D1D-9BC9-18AE5A7AC35E}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2" authorId="0" shapeId="0" xr:uid="{00000000-0006-0000-0000-0000C9010000}">
      <text>
        <r>
          <rPr>
            <sz val="11"/>
            <color rgb="FF000000"/>
            <rFont val="Calibri"/>
            <scheme val="minor"/>
          </rPr>
          <t>======
ID#AAABU0VI090
tc={76B8A35F-BBA7-47CB-8C4B-6C025101FC48}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2" authorId="0" shapeId="0" xr:uid="{00000000-0006-0000-0000-0000A6010000}">
      <text>
        <r>
          <rPr>
            <sz val="11"/>
            <color rgb="FF000000"/>
            <rFont val="Calibri"/>
            <scheme val="minor"/>
          </rPr>
          <t>======
ID#AAABU0VI1AA
tc={1D1F0569-3C17-4F21-B595-3E0AF67B9082}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02" authorId="0" shapeId="0" xr:uid="{00000000-0006-0000-0000-00000A010000}">
      <text>
        <r>
          <rPr>
            <sz val="11"/>
            <color rgb="FF000000"/>
            <rFont val="Calibri"/>
            <scheme val="minor"/>
          </rPr>
          <t>======
ID#AAABVuFyfAQ
Muditha Aruppola    (2024-09-24 06:17:24)
Seller- Janatha Steel 
Rates has not changed Confirmed by Mr niresh Janatha Steel 
TP- 070 4722125</t>
        </r>
      </text>
    </comment>
    <comment ref="W102" authorId="0" shapeId="0" xr:uid="{00000000-0006-0000-0000-000075000000}">
      <text>
        <r>
          <rPr>
            <sz val="11"/>
            <color rgb="FF000000"/>
            <rFont val="Calibri"/>
            <scheme val="minor"/>
          </rPr>
          <t>======
ID#AAABXKBgNwY
tc={3CF88E3B-21E2-41AA-91BA-7A28D6539D75}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3" authorId="0" shapeId="0" xr:uid="{00000000-0006-0000-0000-00006B010000}">
      <text>
        <r>
          <rPr>
            <sz val="11"/>
            <color rgb="FF000000"/>
            <rFont val="Calibri"/>
            <scheme val="minor"/>
          </rPr>
          <t>======
ID#AAABU0VI1D8
tc={0AF78FAB-FBD4-4033-A438-FD06D1FA4B0D}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3" authorId="0" shapeId="0" xr:uid="{00000000-0006-0000-0000-000040010000}">
      <text>
        <r>
          <rPr>
            <sz val="11"/>
            <color rgb="FF000000"/>
            <rFont val="Calibri"/>
            <scheme val="minor"/>
          </rPr>
          <t>======
ID#AAABU0VI1Gw
tc={D1BA8C94-90D7-49A3-ABE6-6699118E708C}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03" authorId="0" shapeId="0" xr:uid="{00000000-0006-0000-0000-00001B020000}">
      <text>
        <r>
          <rPr>
            <sz val="11"/>
            <color rgb="FF000000"/>
            <rFont val="Calibri"/>
            <scheme val="minor"/>
          </rPr>
          <t>======
ID#AAABU0VI0Mc
    (2024-08-29 06:55:09)
Seller- Janatha steel
	-Muditha Aruppola</t>
        </r>
      </text>
    </comment>
    <comment ref="V103" authorId="0" shapeId="0" xr:uid="{00000000-0006-0000-0000-000009010000}">
      <text>
        <r>
          <rPr>
            <sz val="11"/>
            <color rgb="FF000000"/>
            <rFont val="Calibri"/>
            <scheme val="minor"/>
          </rPr>
          <t>======
ID#AAABVuFyfAU
Muditha Aruppola    (2024-09-24 06:17:27)
Seller- Janatha Steel 
Rates has not changed Confirmed by Mr niresh Janatha Steel 
TP- 070 4722125</t>
        </r>
      </text>
    </comment>
    <comment ref="W103" authorId="0" shapeId="0" xr:uid="{00000000-0006-0000-0000-000069000000}">
      <text>
        <r>
          <rPr>
            <sz val="11"/>
            <color rgb="FF000000"/>
            <rFont val="Calibri"/>
            <scheme val="minor"/>
          </rPr>
          <t>======
ID#AAABXKFOK9U
tc={9D636159-78F5-46B1-904B-DE4B2FD16380}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4" authorId="0" shapeId="0" xr:uid="{00000000-0006-0000-0000-00007E020000}">
      <text>
        <r>
          <rPr>
            <sz val="11"/>
            <color rgb="FF000000"/>
            <rFont val="Calibri"/>
            <scheme val="minor"/>
          </rPr>
          <t>======
ID#AAABUz9wr-w
tc={5B9EB9AA-6D4D-40F5-9647-C1B508E96F38}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4" authorId="0" shapeId="0" xr:uid="{00000000-0006-0000-0000-0000F9010000}">
      <text>
        <r>
          <rPr>
            <sz val="11"/>
            <color rgb="FF000000"/>
            <rFont val="Calibri"/>
            <scheme val="minor"/>
          </rPr>
          <t>======
ID#AAABU0VI06s
tc={1E4FE48D-75B2-41CA-BEAD-9C42AB74DD6D}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04" authorId="0" shapeId="0" xr:uid="{00000000-0006-0000-0000-000035020000}">
      <text>
        <r>
          <rPr>
            <sz val="11"/>
            <color rgb="FF000000"/>
            <rFont val="Calibri"/>
            <scheme val="minor"/>
          </rPr>
          <t>======
ID#AAABU0VI0K0
    (2024-08-29 06:55:09)
Seller- Janatha steel
	-Muditha Aruppola</t>
        </r>
      </text>
    </comment>
    <comment ref="V104" authorId="0" shapeId="0" xr:uid="{00000000-0006-0000-0000-000008010000}">
      <text>
        <r>
          <rPr>
            <sz val="11"/>
            <color rgb="FF000000"/>
            <rFont val="Calibri"/>
            <scheme val="minor"/>
          </rPr>
          <t>======
ID#AAABVuFyfAY
Muditha Aruppola    (2024-09-24 06:17:30)
Seller- Janatha Steel 
Rates has not changed Confirmed by Mr niresh Janatha Steel 
TP- 070 4722125</t>
        </r>
      </text>
    </comment>
    <comment ref="W104" authorId="0" shapeId="0" xr:uid="{00000000-0006-0000-0000-000060000000}">
      <text>
        <r>
          <rPr>
            <sz val="11"/>
            <color rgb="FF000000"/>
            <rFont val="Calibri"/>
            <scheme val="minor"/>
          </rPr>
          <t>======
ID#AAABXKFOK-o
tc={2580CEDB-1E9B-494E-A7B0-FE7C207FD095}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5" authorId="0" shapeId="0" xr:uid="{00000000-0006-0000-0000-0000EA010000}">
      <text>
        <r>
          <rPr>
            <sz val="11"/>
            <color rgb="FF000000"/>
            <rFont val="Calibri"/>
            <scheme val="minor"/>
          </rPr>
          <t>======
ID#AAABU0VI07s
tc={25A5657B-1F5E-41CF-9BC2-1A46B666A332}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5" authorId="0" shapeId="0" xr:uid="{00000000-0006-0000-0000-0000E1010000}">
      <text>
        <r>
          <rPr>
            <sz val="11"/>
            <color rgb="FF000000"/>
            <rFont val="Calibri"/>
            <scheme val="minor"/>
          </rPr>
          <t>======
ID#AAABU0VI08Q
tc={1F7F6BF6-3711-430E-9ABA-2D9D7E212625}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05" authorId="0" shapeId="0" xr:uid="{00000000-0006-0000-0000-0000B1010000}">
      <text>
        <r>
          <rPr>
            <sz val="11"/>
            <color rgb="FF000000"/>
            <rFont val="Calibri"/>
            <scheme val="minor"/>
          </rPr>
          <t>======
ID#AAABU0VI0_U
    (2024-08-29 06:55:09)
Seller- Janatha steel
	-Muditha Aruppola</t>
        </r>
      </text>
    </comment>
    <comment ref="V105" authorId="0" shapeId="0" xr:uid="{00000000-0006-0000-0000-000007010000}">
      <text>
        <r>
          <rPr>
            <sz val="11"/>
            <color rgb="FF000000"/>
            <rFont val="Calibri"/>
            <scheme val="minor"/>
          </rPr>
          <t>======
ID#AAABVuFyfAc
Muditha Aruppola    (2024-09-24 06:17:32)
Seller- Janatha Steel 
Rates has not changed Confirmed by Mr niresh Janatha Steel 
TP- 070 4722125</t>
        </r>
      </text>
    </comment>
    <comment ref="W105" authorId="0" shapeId="0" xr:uid="{00000000-0006-0000-0000-000072000000}">
      <text>
        <r>
          <rPr>
            <sz val="11"/>
            <color rgb="FF000000"/>
            <rFont val="Calibri"/>
            <scheme val="minor"/>
          </rPr>
          <t>======
ID#AAABXKEqTck
tc={8BE3EBEA-813F-480C-BDF7-503E5F437649}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6" authorId="0" shapeId="0" xr:uid="{00000000-0006-0000-0000-000055020000}">
      <text>
        <r>
          <rPr>
            <sz val="11"/>
            <color rgb="FF000000"/>
            <rFont val="Calibri"/>
            <scheme val="minor"/>
          </rPr>
          <t>======
ID#AAABU0VI0Ik
tc={4D90F79D-9637-4F88-892C-8D17112974BD}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6" authorId="0" shapeId="0" xr:uid="{00000000-0006-0000-0000-000046010000}">
      <text>
        <r>
          <rPr>
            <sz val="11"/>
            <color rgb="FF000000"/>
            <rFont val="Calibri"/>
            <scheme val="minor"/>
          </rPr>
          <t>======
ID#AAABU0VI1GY
tc={C7FEC444-EFD7-42FD-9374-6B2B5CA484E8}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S107" authorId="0" shapeId="0" xr:uid="{00000000-0006-0000-0000-000041020000}">
      <text>
        <r>
          <rPr>
            <sz val="11"/>
            <color rgb="FF000000"/>
            <rFont val="Calibri"/>
            <scheme val="minor"/>
          </rPr>
          <t>======
ID#AAABU0VI0KA
tc={D0148A55-7D49-4E13-8BD9-550E07C8E90C}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7" authorId="0" shapeId="0" xr:uid="{00000000-0006-0000-0000-0000BB020000}">
      <text>
        <r>
          <rPr>
            <sz val="11"/>
            <color rgb="FF000000"/>
            <rFont val="Calibri"/>
            <scheme val="minor"/>
          </rPr>
          <t>======
ID#AAABUz9wr6o
tc={0626B0C0-994A-494A-AB92-798AE65544D9}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07" authorId="0" shapeId="0" xr:uid="{00000000-0006-0000-0000-0000CE020000}">
      <text>
        <r>
          <rPr>
            <sz val="11"/>
            <color rgb="FF000000"/>
            <rFont val="Calibri"/>
            <scheme val="minor"/>
          </rPr>
          <t>======
ID#AAABUz9wr5c
    (2024-08-29 06:55:09)
Seller- Janatha steel
	-Muditha Aruppola</t>
        </r>
      </text>
    </comment>
    <comment ref="V107" authorId="0" shapeId="0" xr:uid="{00000000-0006-0000-0000-000006010000}">
      <text>
        <r>
          <rPr>
            <sz val="11"/>
            <color rgb="FF000000"/>
            <rFont val="Calibri"/>
            <scheme val="minor"/>
          </rPr>
          <t>======
ID#AAABVuFyfAg
Muditha Aruppola    (2024-09-24 06:17:36)
Seller- Janatha Steel 
Rates has not changed Confirmed by Mr niresh Janatha Steel 
TP- 070 4722125</t>
        </r>
      </text>
    </comment>
    <comment ref="W107" authorId="0" shapeId="0" xr:uid="{00000000-0006-0000-0000-00005D000000}">
      <text>
        <r>
          <rPr>
            <sz val="11"/>
            <color rgb="FF000000"/>
            <rFont val="Calibri"/>
            <scheme val="minor"/>
          </rPr>
          <t>======
ID#AAABXKFOK_k
tc={D95ED20B-791F-4CBF-930F-8E709E80D9EC}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8" authorId="0" shapeId="0" xr:uid="{00000000-0006-0000-0000-0000B0020000}">
      <text>
        <r>
          <rPr>
            <sz val="11"/>
            <color rgb="FF000000"/>
            <rFont val="Calibri"/>
            <scheme val="minor"/>
          </rPr>
          <t>======
ID#AAABUz9wr7c
tc={4634898A-5C47-406C-A822-0BF2546FC4B2}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8" authorId="0" shapeId="0" xr:uid="{00000000-0006-0000-0000-000082010000}">
      <text>
        <r>
          <rPr>
            <sz val="11"/>
            <color rgb="FF000000"/>
            <rFont val="Calibri"/>
            <scheme val="minor"/>
          </rPr>
          <t>======
ID#AAABU0VI1Cc
tc={2DE3FBD0-068D-474C-98F2-1B9BF444D5AB}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08" authorId="0" shapeId="0" xr:uid="{00000000-0006-0000-0000-000070010000}">
      <text>
        <r>
          <rPr>
            <sz val="11"/>
            <color rgb="FF000000"/>
            <rFont val="Calibri"/>
            <scheme val="minor"/>
          </rPr>
          <t>======
ID#AAABU0VI1Dk
    (2024-08-29 06:55:09)
Seller- Janatha steel
	-Muditha Aruppola</t>
        </r>
      </text>
    </comment>
    <comment ref="V108" authorId="0" shapeId="0" xr:uid="{00000000-0006-0000-0000-000005010000}">
      <text>
        <r>
          <rPr>
            <sz val="11"/>
            <color rgb="FF000000"/>
            <rFont val="Calibri"/>
            <scheme val="minor"/>
          </rPr>
          <t>======
ID#AAABVuFyfAk
Muditha Aruppola    (2024-09-24 06:17:38)
Seller- Janatha Steel 
Rates has not changed Confirmed by Mr niresh Janatha Steel 
TP- 070 4722125</t>
        </r>
      </text>
    </comment>
    <comment ref="W108" authorId="0" shapeId="0" xr:uid="{00000000-0006-0000-0000-00006F000000}">
      <text>
        <r>
          <rPr>
            <sz val="11"/>
            <color rgb="FF000000"/>
            <rFont val="Calibri"/>
            <scheme val="minor"/>
          </rPr>
          <t>======
ID#AAABXKEqTc8
tc={724853B6-1A0E-4F6B-974F-5E4BECFBE148}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09" authorId="0" shapeId="0" xr:uid="{00000000-0006-0000-0000-00004C020000}">
      <text>
        <r>
          <rPr>
            <sz val="11"/>
            <color rgb="FF000000"/>
            <rFont val="Calibri"/>
            <scheme val="minor"/>
          </rPr>
          <t>======
ID#AAABU0VI0JI
tc={996D5885-486E-4E9D-8E08-B1786A57E6F8}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09" authorId="0" shapeId="0" xr:uid="{00000000-0006-0000-0000-00000D020000}">
      <text>
        <r>
          <rPr>
            <sz val="11"/>
            <color rgb="FF000000"/>
            <rFont val="Calibri"/>
            <scheme val="minor"/>
          </rPr>
          <t>======
ID#AAABU0VI05U
tc={FF0E8B5F-8BA2-4C3D-88E6-AD76AF7B15F6}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09" authorId="0" shapeId="0" xr:uid="{00000000-0006-0000-0000-0000C6020000}">
      <text>
        <r>
          <rPr>
            <sz val="11"/>
            <color rgb="FF000000"/>
            <rFont val="Calibri"/>
            <scheme val="minor"/>
          </rPr>
          <t>======
ID#AAABUz9wr54
    (2024-08-29 06:55:09)
Seller- Janatha steel
	-Muditha Aruppola</t>
        </r>
      </text>
    </comment>
    <comment ref="V109" authorId="0" shapeId="0" xr:uid="{00000000-0006-0000-0000-000004010000}">
      <text>
        <r>
          <rPr>
            <sz val="11"/>
            <color rgb="FF000000"/>
            <rFont val="Calibri"/>
            <scheme val="minor"/>
          </rPr>
          <t>======
ID#AAABVuFyfAo
Muditha Aruppola    (2024-09-24 06:17:41)
Seller- Janatha Steel 
Rates has not changed Confirmed by Mr niresh Janatha Steel 
TP- 070 4722125</t>
        </r>
      </text>
    </comment>
    <comment ref="W109" authorId="0" shapeId="0" xr:uid="{00000000-0006-0000-0000-000052000000}">
      <text>
        <r>
          <rPr>
            <sz val="11"/>
            <color rgb="FF000000"/>
            <rFont val="Calibri"/>
            <scheme val="minor"/>
          </rPr>
          <t>======
ID#AAABXKFOLB4
tc={0639A1E3-9483-4926-9E52-5F61B0EB687A}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10" authorId="0" shapeId="0" xr:uid="{00000000-0006-0000-0000-0000CC020000}">
      <text>
        <r>
          <rPr>
            <sz val="11"/>
            <color rgb="FF000000"/>
            <rFont val="Calibri"/>
            <scheme val="minor"/>
          </rPr>
          <t>======
ID#AAABUz9wr5k
tc={A513B55B-C7E1-4694-BFE6-A997A7CC7677}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0" authorId="0" shapeId="0" xr:uid="{00000000-0006-0000-0000-0000A2020000}">
      <text>
        <r>
          <rPr>
            <sz val="11"/>
            <color rgb="FF000000"/>
            <rFont val="Calibri"/>
            <scheme val="minor"/>
          </rPr>
          <t>======
ID#AAABUz9wr8Y
tc={29655E19-477D-4B3B-AF0C-4ADF07F6E392}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0" authorId="0" shapeId="0" xr:uid="{00000000-0006-0000-0000-00009E010000}">
      <text>
        <r>
          <rPr>
            <sz val="11"/>
            <color rgb="FF000000"/>
            <rFont val="Calibri"/>
            <scheme val="minor"/>
          </rPr>
          <t>======
ID#AAABU0VI1Ag
    (2024-08-29 06:55:09)
Seller- Janatha steel
	-Muditha Aruppola</t>
        </r>
      </text>
    </comment>
    <comment ref="V110" authorId="0" shapeId="0" xr:uid="{00000000-0006-0000-0000-000003010000}">
      <text>
        <r>
          <rPr>
            <sz val="11"/>
            <color rgb="FF000000"/>
            <rFont val="Calibri"/>
            <scheme val="minor"/>
          </rPr>
          <t>======
ID#AAABVuFyfAs
Muditha Aruppola    (2024-09-24 06:17:44)
Seller- Janatha Steel 
Rates has not changed Confirmed by Mr niresh Janatha Steel 
TP- 070 4722125</t>
        </r>
      </text>
    </comment>
    <comment ref="W110" authorId="0" shapeId="0" xr:uid="{00000000-0006-0000-0000-000065000000}">
      <text>
        <r>
          <rPr>
            <sz val="11"/>
            <color rgb="FF000000"/>
            <rFont val="Calibri"/>
            <scheme val="minor"/>
          </rPr>
          <t>======
ID#AAABXKFOK90
tc={C3E89426-37D7-4D63-A13F-1672BD005255}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Ganga Steel 
Location- 20D Quarry Rd, Colombo 01200 
TP-0112 542 900</t>
        </r>
      </text>
    </comment>
    <comment ref="S112" authorId="0" shapeId="0" xr:uid="{00000000-0006-0000-0000-00006F010000}">
      <text>
        <r>
          <rPr>
            <sz val="11"/>
            <color rgb="FF000000"/>
            <rFont val="Calibri"/>
            <scheme val="minor"/>
          </rPr>
          <t>======
ID#AAABU0VI1Do
tc={1799F0E8-BD47-4677-9427-D1290B4920BF}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2" authorId="0" shapeId="0" xr:uid="{00000000-0006-0000-0000-00007B010000}">
      <text>
        <r>
          <rPr>
            <sz val="11"/>
            <color rgb="FF000000"/>
            <rFont val="Calibri"/>
            <scheme val="minor"/>
          </rPr>
          <t>======
ID#AAABU0VI1C4
tc={CEC37E87-A60C-4033-AAB9-B7CC7EA00C69}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2" authorId="0" shapeId="0" xr:uid="{00000000-0006-0000-0000-0000AB020000}">
      <text>
        <r>
          <rPr>
            <sz val="11"/>
            <color rgb="FF000000"/>
            <rFont val="Calibri"/>
            <scheme val="minor"/>
          </rPr>
          <t>======
ID#AAABUz9wr7w
    (2024-08-29 06:55:09)
Seller- Janatha steel
	-Muditha Aruppola</t>
        </r>
      </text>
    </comment>
    <comment ref="S113" authorId="0" shapeId="0" xr:uid="{00000000-0006-0000-0000-000077020000}">
      <text>
        <r>
          <rPr>
            <sz val="11"/>
            <color rgb="FF000000"/>
            <rFont val="Calibri"/>
            <scheme val="minor"/>
          </rPr>
          <t>======
ID#AAABUz9wr_Q
tc={83C1A627-634E-4632-8D2E-C0080285DA13}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3" authorId="0" shapeId="0" xr:uid="{00000000-0006-0000-0000-0000FC010000}">
      <text>
        <r>
          <rPr>
            <sz val="11"/>
            <color rgb="FF000000"/>
            <rFont val="Calibri"/>
            <scheme val="minor"/>
          </rPr>
          <t>======
ID#AAABU0VI06g
tc={E8979E34-3094-4616-AE07-D89A5661C016}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3" authorId="0" shapeId="0" xr:uid="{00000000-0006-0000-0000-000017020000}">
      <text>
        <r>
          <rPr>
            <sz val="11"/>
            <color rgb="FF000000"/>
            <rFont val="Calibri"/>
            <scheme val="minor"/>
          </rPr>
          <t>======
ID#AAABU0VI0Ms
    (2024-08-29 06:55:09)
Seller- Janatha steel
	-Muditha Aruppola</t>
        </r>
      </text>
    </comment>
    <comment ref="S114" authorId="0" shapeId="0" xr:uid="{00000000-0006-0000-0000-0000AD010000}">
      <text>
        <r>
          <rPr>
            <sz val="11"/>
            <color rgb="FF000000"/>
            <rFont val="Calibri"/>
            <scheme val="minor"/>
          </rPr>
          <t>======
ID#AAABU0VI0_k
tc={5B2D56D1-9E43-4AAF-98FD-957F32F13A27}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4" authorId="0" shapeId="0" xr:uid="{00000000-0006-0000-0000-0000E9010000}">
      <text>
        <r>
          <rPr>
            <sz val="11"/>
            <color rgb="FF000000"/>
            <rFont val="Calibri"/>
            <scheme val="minor"/>
          </rPr>
          <t>======
ID#AAABU0VI07w
tc={E6AD14EA-B839-4CC9-9D55-B6A0AA4B606F}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4" authorId="0" shapeId="0" xr:uid="{00000000-0006-0000-0000-000024020000}">
      <text>
        <r>
          <rPr>
            <sz val="11"/>
            <color rgb="FF000000"/>
            <rFont val="Calibri"/>
            <scheme val="minor"/>
          </rPr>
          <t>======
ID#AAABU0VI0L4
    (2024-08-29 06:55:09)
Seller- Janatha steel
	-Muditha Aruppola</t>
        </r>
      </text>
    </comment>
    <comment ref="S115" authorId="0" shapeId="0" xr:uid="{00000000-0006-0000-0000-000096020000}">
      <text>
        <r>
          <rPr>
            <sz val="11"/>
            <color rgb="FF000000"/>
            <rFont val="Calibri"/>
            <scheme val="minor"/>
          </rPr>
          <t>======
ID#AAABUz9wr9M
tc={44EAC136-B18E-4D72-827F-453C799509F6}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5" authorId="0" shapeId="0" xr:uid="{00000000-0006-0000-0000-000014020000}">
      <text>
        <r>
          <rPr>
            <sz val="11"/>
            <color rgb="FF000000"/>
            <rFont val="Calibri"/>
            <scheme val="minor"/>
          </rPr>
          <t>======
ID#AAABU0VI0M4
tc={4D51F90F-B1DE-46CD-83C5-6501CEA63375}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5" authorId="0" shapeId="0" xr:uid="{00000000-0006-0000-0000-000072010000}">
      <text>
        <r>
          <rPr>
            <sz val="11"/>
            <color rgb="FF000000"/>
            <rFont val="Calibri"/>
            <scheme val="minor"/>
          </rPr>
          <t>======
ID#AAABU0VI1Dc
    (2024-08-29 06:55:09)
Seller- Janatha steel
	-Muditha Aruppola</t>
        </r>
      </text>
    </comment>
    <comment ref="S116" authorId="0" shapeId="0" xr:uid="{00000000-0006-0000-0000-000031020000}">
      <text>
        <r>
          <rPr>
            <sz val="11"/>
            <color rgb="FF000000"/>
            <rFont val="Calibri"/>
            <scheme val="minor"/>
          </rPr>
          <t>======
ID#AAABU0VI0LE
tc={A30355AA-5174-46FC-A2A5-DBED6D0C6284}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6" authorId="0" shapeId="0" xr:uid="{00000000-0006-0000-0000-0000CC010000}">
      <text>
        <r>
          <rPr>
            <sz val="11"/>
            <color rgb="FF000000"/>
            <rFont val="Calibri"/>
            <scheme val="minor"/>
          </rPr>
          <t>======
ID#AAABU0VI09o
tc={807B8D9C-09FA-4135-83FC-913652BF553D}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6" authorId="0" shapeId="0" xr:uid="{00000000-0006-0000-0000-000048020000}">
      <text>
        <r>
          <rPr>
            <sz val="11"/>
            <color rgb="FF000000"/>
            <rFont val="Calibri"/>
            <scheme val="minor"/>
          </rPr>
          <t>======
ID#AAABU0VI0JY
    (2024-08-29 06:55:09)
Seller- Janatha steel
	-Muditha Aruppola</t>
        </r>
      </text>
    </comment>
    <comment ref="S117" authorId="0" shapeId="0" xr:uid="{00000000-0006-0000-0000-000096010000}">
      <text>
        <r>
          <rPr>
            <sz val="11"/>
            <color rgb="FF000000"/>
            <rFont val="Calibri"/>
            <scheme val="minor"/>
          </rPr>
          <t>======
ID#AAABU0VI1BE
tc={1222FA6C-C22B-446E-9F9E-EB94DE6031CB}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7" authorId="0" shapeId="0" xr:uid="{00000000-0006-0000-0000-00005B020000}">
      <text>
        <r>
          <rPr>
            <sz val="11"/>
            <color rgb="FF000000"/>
            <rFont val="Calibri"/>
            <scheme val="minor"/>
          </rPr>
          <t>======
ID#AAABUz9wsBE
tc={DDADAFE5-8FE2-4BDD-B686-EAE5DB3C7868}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7" authorId="0" shapeId="0" xr:uid="{00000000-0006-0000-0000-0000BE010000}">
      <text>
        <r>
          <rPr>
            <sz val="11"/>
            <color rgb="FF000000"/>
            <rFont val="Calibri"/>
            <scheme val="minor"/>
          </rPr>
          <t>======
ID#AAABU0VI0-g
    (2024-08-29 06:55:09)
Seller- Janatha steel
	-Muditha Aruppola</t>
        </r>
      </text>
    </comment>
    <comment ref="S118" authorId="0" shapeId="0" xr:uid="{00000000-0006-0000-0000-000012020000}">
      <text>
        <r>
          <rPr>
            <sz val="11"/>
            <color rgb="FF000000"/>
            <rFont val="Calibri"/>
            <scheme val="minor"/>
          </rPr>
          <t>======
ID#AAABU0VI05A
tc={9F6C94F6-6EE2-409F-A8D9-2E6AC5538D94}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8" authorId="0" shapeId="0" xr:uid="{00000000-0006-0000-0000-0000DD010000}">
      <text>
        <r>
          <rPr>
            <sz val="11"/>
            <color rgb="FF000000"/>
            <rFont val="Calibri"/>
            <scheme val="minor"/>
          </rPr>
          <t>======
ID#AAABU0VI08g
tc={F37D9523-BF39-4BC9-A499-8030B7F62C23}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8" authorId="0" shapeId="0" xr:uid="{00000000-0006-0000-0000-000050010000}">
      <text>
        <r>
          <rPr>
            <sz val="11"/>
            <color rgb="FF000000"/>
            <rFont val="Calibri"/>
            <scheme val="minor"/>
          </rPr>
          <t>======
ID#AAABU0VI1F0
    (2024-08-29 06:55:09)
Seller- Janatha steel
	-Muditha Aruppola</t>
        </r>
      </text>
    </comment>
    <comment ref="S119" authorId="0" shapeId="0" xr:uid="{00000000-0006-0000-0000-0000B9010000}">
      <text>
        <r>
          <rPr>
            <sz val="11"/>
            <color rgb="FF000000"/>
            <rFont val="Calibri"/>
            <scheme val="minor"/>
          </rPr>
          <t>======
ID#AAABU0VI0-0
tc={B8247D25-4BEA-4EA7-A9E5-89E0856DB765}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19" authorId="0" shapeId="0" xr:uid="{00000000-0006-0000-0000-000008020000}">
      <text>
        <r>
          <rPr>
            <sz val="11"/>
            <color rgb="FF000000"/>
            <rFont val="Calibri"/>
            <scheme val="minor"/>
          </rPr>
          <t>======
ID#AAABU0VI05w
tc={C213E016-DF64-4FC6-8268-C572AE3BFB62}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19" authorId="0" shapeId="0" xr:uid="{00000000-0006-0000-0000-0000EC010000}">
      <text>
        <r>
          <rPr>
            <sz val="11"/>
            <color rgb="FF000000"/>
            <rFont val="Calibri"/>
            <scheme val="minor"/>
          </rPr>
          <t>======
ID#AAABU0VI07k
    (2024-08-29 06:55:09)
Seller- Janatha steel
	-Muditha Aruppola</t>
        </r>
      </text>
    </comment>
    <comment ref="S120" authorId="0" shapeId="0" xr:uid="{00000000-0006-0000-0000-000097010000}">
      <text>
        <r>
          <rPr>
            <sz val="11"/>
            <color rgb="FF000000"/>
            <rFont val="Calibri"/>
            <scheme val="minor"/>
          </rPr>
          <t>======
ID#AAABU0VI1BA
tc={A9876A4F-0017-4D6D-84EF-E3123C96C072}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0" authorId="0" shapeId="0" xr:uid="{00000000-0006-0000-0000-0000D4010000}">
      <text>
        <r>
          <rPr>
            <sz val="11"/>
            <color rgb="FF000000"/>
            <rFont val="Calibri"/>
            <scheme val="minor"/>
          </rPr>
          <t>======
ID#AAABU0VI09I
tc={81F1197F-E4F2-4168-9793-03ACCEDE7C88}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20" authorId="0" shapeId="0" xr:uid="{00000000-0006-0000-0000-0000DC010000}">
      <text>
        <r>
          <rPr>
            <sz val="11"/>
            <color rgb="FF000000"/>
            <rFont val="Calibri"/>
            <scheme val="minor"/>
          </rPr>
          <t>======
ID#AAABU0VI08k
    (2024-08-29 06:55:09)
Seller- Janatha steel
	-Muditha Aruppola</t>
        </r>
      </text>
    </comment>
    <comment ref="S121" authorId="0" shapeId="0" xr:uid="{00000000-0006-0000-0000-0000A5020000}">
      <text>
        <r>
          <rPr>
            <sz val="11"/>
            <color rgb="FF000000"/>
            <rFont val="Calibri"/>
            <scheme val="minor"/>
          </rPr>
          <t>======
ID#AAABUz9wr8M
tc={E5DD281F-16E0-44B5-B268-36EFC1ED2CB7}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1" authorId="0" shapeId="0" xr:uid="{00000000-0006-0000-0000-0000F1010000}">
      <text>
        <r>
          <rPr>
            <sz val="11"/>
            <color rgb="FF000000"/>
            <rFont val="Calibri"/>
            <scheme val="minor"/>
          </rPr>
          <t>======
ID#AAABU0VI07Q
tc={C87D4D21-8ADE-4427-9BF3-6D40C6893C20}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21" authorId="0" shapeId="0" xr:uid="{00000000-0006-0000-0000-00007D010000}">
      <text>
        <r>
          <rPr>
            <sz val="11"/>
            <color rgb="FF000000"/>
            <rFont val="Calibri"/>
            <scheme val="minor"/>
          </rPr>
          <t>======
ID#AAABU0VI1Cw
    (2024-08-29 06:55:09)
Seller- Janatha steel
	-Muditha Aruppola</t>
        </r>
      </text>
    </comment>
    <comment ref="S122" authorId="0" shapeId="0" xr:uid="{00000000-0006-0000-0000-000049020000}">
      <text>
        <r>
          <rPr>
            <sz val="11"/>
            <color rgb="FF000000"/>
            <rFont val="Calibri"/>
            <scheme val="minor"/>
          </rPr>
          <t>======
ID#AAABU0VI0JU
tc={FE691DDD-DF7E-4CB7-A0E7-0A00B701577D}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2" authorId="0" shapeId="0" xr:uid="{00000000-0006-0000-0000-0000DA020000}">
      <text>
        <r>
          <rPr>
            <sz val="11"/>
            <color rgb="FF000000"/>
            <rFont val="Calibri"/>
            <scheme val="minor"/>
          </rPr>
          <t>======
ID#AAABUz9wr4s
tc={BE6C63B8-06A7-441E-ADFB-18B46DE25A83}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22" authorId="0" shapeId="0" xr:uid="{00000000-0006-0000-0000-0000B8020000}">
      <text>
        <r>
          <rPr>
            <sz val="11"/>
            <color rgb="FF000000"/>
            <rFont val="Calibri"/>
            <scheme val="minor"/>
          </rPr>
          <t>======
ID#AAABUz9wr68
    (2024-08-29 06:55:09)
Seller- Janatha steel
	-Muditha Aruppola</t>
        </r>
      </text>
    </comment>
    <comment ref="S123" authorId="0" shapeId="0" xr:uid="{00000000-0006-0000-0000-000056010000}">
      <text>
        <r>
          <rPr>
            <sz val="11"/>
            <color rgb="FF000000"/>
            <rFont val="Calibri"/>
            <scheme val="minor"/>
          </rPr>
          <t>======
ID#AAABU0VI1FQ
tc={F2DC5BE3-E3F5-40F8-BED0-DC65342E5F5A}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3" authorId="0" shapeId="0" xr:uid="{00000000-0006-0000-0000-0000E701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ID#AAABU0VI074
</t>
        </r>
        <r>
          <rPr>
            <sz val="11"/>
            <color rgb="FF000000"/>
            <rFont val="Calibri"/>
            <family val="2"/>
          </rPr>
          <t xml:space="preserve">tc={4D4C4030-D613-4D96-BCDF-78B5B71849CC}    (2024-08-29 06:55:09)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M R TRADE CENTER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TP-  077 795 8336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Location- 157/2/3Mahavidyalaya Mawatha Colombo 13, 00130</t>
        </r>
      </text>
    </comment>
    <comment ref="U123" authorId="0" shapeId="0" xr:uid="{00000000-0006-0000-0000-000073020000}">
      <text>
        <r>
          <rPr>
            <sz val="11"/>
            <color rgb="FF000000"/>
            <rFont val="Calibri"/>
            <scheme val="minor"/>
          </rPr>
          <t>======
ID#AAABUz9wr_g
    (2024-08-29 06:55:09)
Seller- Janatha steel
	-Muditha Aruppola</t>
        </r>
      </text>
    </comment>
    <comment ref="S124" authorId="0" shapeId="0" xr:uid="{00000000-0006-0000-0000-00005A010000}">
      <text>
        <r>
          <rPr>
            <sz val="11"/>
            <color rgb="FF000000"/>
            <rFont val="Calibri"/>
            <scheme val="minor"/>
          </rPr>
          <t>======
ID#AAABU0VI1FA
tc={CA6DBA47-775A-43A9-86F3-46BF0608E592}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4" authorId="0" shapeId="0" xr:uid="{00000000-0006-0000-0000-0000C5010000}">
      <text>
        <r>
          <rPr>
            <sz val="11"/>
            <color rgb="FF000000"/>
            <rFont val="Calibri"/>
            <scheme val="minor"/>
          </rPr>
          <t>======
ID#AAABU0VI0-E
tc={C0EC672F-354A-4A45-9BF1-D1E776CE43D2}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24" authorId="0" shapeId="0" xr:uid="{00000000-0006-0000-0000-000091010000}">
      <text>
        <r>
          <rPr>
            <sz val="11"/>
            <color rgb="FF000000"/>
            <rFont val="Calibri"/>
            <scheme val="minor"/>
          </rPr>
          <t>======
ID#AAABU0VI1BY
    (2024-08-29 06:55:09)
Seller- Janatha steel
	-Muditha Aruppola</t>
        </r>
      </text>
    </comment>
    <comment ref="S125" authorId="0" shapeId="0" xr:uid="{00000000-0006-0000-0000-0000E3020000}">
      <text>
        <r>
          <rPr>
            <sz val="11"/>
            <color rgb="FF000000"/>
            <rFont val="Calibri"/>
            <scheme val="minor"/>
          </rPr>
          <t>======
ID#AAABUz9wr4E
tc={973A9CCF-D83E-4EB6-A133-B791BCC23014}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5" authorId="0" shapeId="0" xr:uid="{00000000-0006-0000-0000-0000DE020000}">
      <text>
        <r>
          <rPr>
            <sz val="11"/>
            <color rgb="FF000000"/>
            <rFont val="Calibri"/>
            <scheme val="minor"/>
          </rPr>
          <t>======
ID#AAABUz9wr4Y
tc={EC60352C-444C-4C93-99D5-C10B6D312352}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S126" authorId="0" shapeId="0" xr:uid="{00000000-0006-0000-0000-00001F020000}">
      <text>
        <r>
          <rPr>
            <sz val="11"/>
            <color rgb="FF000000"/>
            <rFont val="Calibri"/>
            <scheme val="minor"/>
          </rPr>
          <t>======
ID#AAABU0VI0MM
tc={4C4CD840-9240-4075-80E8-EB313974AF2C}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26" authorId="0" shapeId="0" xr:uid="{00000000-0006-0000-0000-000059020000}">
      <text>
        <r>
          <rPr>
            <sz val="11"/>
            <color rgb="FF000000"/>
            <rFont val="Calibri"/>
            <scheme val="minor"/>
          </rPr>
          <t>======
ID#AAABU0VI0IU
tc={152954EF-9B45-473E-AA22-24A3917CC318}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26" authorId="0" shapeId="0" xr:uid="{00000000-0006-0000-0000-00008A010000}">
      <text>
        <r>
          <rPr>
            <sz val="11"/>
            <color rgb="FF000000"/>
            <rFont val="Calibri"/>
            <scheme val="minor"/>
          </rPr>
          <t>======
ID#AAABU0VI1B0
    (2024-08-29 06:55:09)
Seller- Janatha steel
	-Muditha Aruppola</t>
        </r>
      </text>
    </comment>
    <comment ref="S127" authorId="0" shapeId="0" xr:uid="{00000000-0006-0000-0000-000027020000}">
      <text>
        <r>
          <rPr>
            <sz val="11"/>
            <color rgb="FF000000"/>
            <rFont val="Calibri"/>
            <scheme val="minor"/>
          </rPr>
          <t>======
ID#AAABU0VI0Ls
tc={5D09D8DC-18B8-4275-BB92-8EBCB125D14A}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Trade center
TP-0777958336 / 0773958336 / 0117853838 
 Imported Chinese box bar</t>
        </r>
      </text>
    </comment>
    <comment ref="T127" authorId="0" shapeId="0" xr:uid="{00000000-0006-0000-0000-00004A010000}">
      <text>
        <r>
          <rPr>
            <sz val="11"/>
            <color rgb="FF000000"/>
            <rFont val="Calibri"/>
            <scheme val="minor"/>
          </rPr>
          <t>======
ID#AAABU0VI1GI
tc={74688A1C-B72F-42F7-B18F-EE03D49096D9}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Trade center
TP-0777958336 / 0773958336 / 0117853838 
 Imported Chinese box bar</t>
        </r>
      </text>
    </comment>
    <comment ref="U127" authorId="0" shapeId="0" xr:uid="{00000000-0006-0000-0000-000076020000}">
      <text>
        <r>
          <rPr>
            <sz val="11"/>
            <color rgb="FF000000"/>
            <rFont val="Calibri"/>
            <scheme val="minor"/>
          </rPr>
          <t>======
ID#AAABUz9wr_U
    (2024-08-29 06:55:09)
Seller- Janatha steel
	-Muditha Aruppola</t>
        </r>
      </text>
    </comment>
    <comment ref="S128" authorId="0" shapeId="0" xr:uid="{00000000-0006-0000-0000-000057010000}">
      <text>
        <r>
          <rPr>
            <sz val="11"/>
            <color rgb="FF000000"/>
            <rFont val="Calibri"/>
            <scheme val="minor"/>
          </rPr>
          <t>======
ID#AAABU0VI1FM
tc={F70BDD26-E02A-46D6-AD5B-15584B12590F}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Trade center
TP-0777958336 / 0773958336 / 0117853838 
 Imported Chinese box bar</t>
        </r>
      </text>
    </comment>
    <comment ref="T128" authorId="0" shapeId="0" xr:uid="{00000000-0006-0000-0000-00006B020000}">
      <text>
        <r>
          <rPr>
            <sz val="11"/>
            <color rgb="FF000000"/>
            <rFont val="Calibri"/>
            <scheme val="minor"/>
          </rPr>
          <t>======
ID#AAABUz9wsAA
tc={8583A716-0138-42C5-A719-3C5BF7BA04DF}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Trade center
TP-0777958336 / 0773958336 / 0117853838 
 Imported Chinese box bar</t>
        </r>
      </text>
    </comment>
    <comment ref="U128" authorId="0" shapeId="0" xr:uid="{00000000-0006-0000-0000-000007020000}">
      <text>
        <r>
          <rPr>
            <sz val="11"/>
            <color rgb="FF000000"/>
            <rFont val="Calibri"/>
            <scheme val="minor"/>
          </rPr>
          <t>======
ID#AAABU0VI050
    (2024-08-29 06:55:09)
Seller- Janatha steel
	-Muditha Aruppola</t>
        </r>
      </text>
    </comment>
    <comment ref="S130" authorId="0" shapeId="0" xr:uid="{00000000-0006-0000-0000-00001E020000}">
      <text>
        <r>
          <rPr>
            <sz val="11"/>
            <color rgb="FF000000"/>
            <rFont val="Calibri"/>
            <scheme val="minor"/>
          </rPr>
          <t>======
ID#AAABU0VI0MQ
tc={91D376A8-894F-42A8-A60B-54345C483AD1}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30" authorId="0" shapeId="0" xr:uid="{00000000-0006-0000-0000-0000A1020000}">
      <text>
        <r>
          <rPr>
            <sz val="11"/>
            <color rgb="FF000000"/>
            <rFont val="Calibri"/>
            <scheme val="minor"/>
          </rPr>
          <t>======
ID#AAABUz9wr8c
tc={5649902C-90D5-4CCF-B6D1-E27FF02EE1F3}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30" authorId="0" shapeId="0" xr:uid="{00000000-0006-0000-0000-0000DB000000}">
      <text>
        <r>
          <rPr>
            <sz val="11"/>
            <color rgb="FF000000"/>
            <rFont val="Calibri"/>
            <scheme val="minor"/>
          </rPr>
          <t>======
ID#AAABWUwfGyE
Muditha Aruppola    (2024-09-26 06:37:45)
Seller- M R TRADE CENTER
TP- 077 795 8336
Location- 157/2/3Mahavidyalaya Mawatha Colombo 13, 00130</t>
        </r>
      </text>
    </comment>
    <comment ref="W130" authorId="0" shapeId="0" xr:uid="{00000000-0006-0000-0000-0000DC000000}">
      <text>
        <r>
          <rPr>
            <sz val="11"/>
            <color rgb="FF000000"/>
            <rFont val="Calibri"/>
            <scheme val="minor"/>
          </rPr>
          <t>======
ID#AAABXKFOK-c
Muditha Aruppola    (2024-09-26 06:37:45)
Seller- M R TRADE CENTER
TP- 077 795 8336
Location- 157/2/3Mahavidyalaya Mawatha Colombo 13, 00130</t>
        </r>
      </text>
    </comment>
    <comment ref="S131" authorId="0" shapeId="0" xr:uid="{00000000-0006-0000-0000-000098020000}">
      <text>
        <r>
          <rPr>
            <sz val="11"/>
            <color rgb="FF000000"/>
            <rFont val="Calibri"/>
            <scheme val="minor"/>
          </rPr>
          <t>======
ID#AAABUz9wr9A
tc={F39E91F3-C213-4796-88B5-2968DD70A1FF}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31" authorId="0" shapeId="0" xr:uid="{00000000-0006-0000-0000-000077010000}">
      <text>
        <r>
          <rPr>
            <sz val="11"/>
            <color rgb="FF000000"/>
            <rFont val="Calibri"/>
            <scheme val="minor"/>
          </rPr>
          <t>======
ID#AAABU0VI1DI
tc={334DF24B-A362-436C-B68B-AFD09446C210}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31" authorId="0" shapeId="0" xr:uid="{00000000-0006-0000-0000-0000D9000000}">
      <text>
        <r>
          <rPr>
            <sz val="11"/>
            <color rgb="FF000000"/>
            <rFont val="Calibri"/>
            <scheme val="minor"/>
          </rPr>
          <t>======
ID#AAABWUwfGyI
Muditha Aruppola    (2024-09-26 06:37:49)
Seller- M R TRADE CENTER
TP- 077 795 8336
Location- 157/2/3Mahavidyalaya Mawatha Colombo 13, 00130</t>
        </r>
      </text>
    </comment>
    <comment ref="W131" authorId="0" shapeId="0" xr:uid="{00000000-0006-0000-0000-0000DA000000}">
      <text>
        <r>
          <rPr>
            <sz val="11"/>
            <color rgb="FF000000"/>
            <rFont val="Calibri"/>
            <scheme val="minor"/>
          </rPr>
          <t>======
ID#AAABXKFOLBI
Muditha Aruppola    (2024-09-26 06:37:49)
Seller- M R TRADE CENTER
TP- 077 795 8336
Location- 157/2/3Mahavidyalaya Mawatha Colombo 13, 00130</t>
        </r>
      </text>
    </comment>
    <comment ref="S132" authorId="0" shapeId="0" xr:uid="{00000000-0006-0000-0000-0000A0010000}">
      <text>
        <r>
          <rPr>
            <sz val="11"/>
            <color rgb="FF000000"/>
            <rFont val="Calibri"/>
            <scheme val="minor"/>
          </rPr>
          <t>======
ID#AAABU0VI1AY
tc={C8741DD8-F687-425B-96B1-9A6C5A77CF22}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32" authorId="0" shapeId="0" xr:uid="{00000000-0006-0000-0000-000039020000}">
      <text>
        <r>
          <rPr>
            <sz val="11"/>
            <color rgb="FF000000"/>
            <rFont val="Calibri"/>
            <scheme val="minor"/>
          </rPr>
          <t>======
ID#AAABU0VI0Kg
tc={DB789C20-6CB6-4987-A968-0547F2A8BB4D}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32" authorId="0" shapeId="0" xr:uid="{00000000-0006-0000-0000-0000D7000000}">
      <text>
        <r>
          <rPr>
            <sz val="11"/>
            <color rgb="FF000000"/>
            <rFont val="Calibri"/>
            <scheme val="minor"/>
          </rPr>
          <t>======
ID#AAABWUwfGyM
Muditha Aruppola    (2024-09-26 06:37:51)
Seller- M R TRADE CENTER
TP- 077 795 8336
Location- 157/2/3Mahavidyalaya Mawatha Colombo 13, 00130</t>
        </r>
      </text>
    </comment>
    <comment ref="W132" authorId="0" shapeId="0" xr:uid="{00000000-0006-0000-0000-0000D8000000}">
      <text>
        <r>
          <rPr>
            <sz val="11"/>
            <color rgb="FF000000"/>
            <rFont val="Calibri"/>
            <scheme val="minor"/>
          </rPr>
          <t>======
ID#AAABXKFOK9Y
Muditha Aruppola    (2024-09-26 06:37:51)
Seller- M R TRADE CENTER
TP- 077 795 8336
Location- 157/2/3Mahavidyalaya Mawatha Colombo 13, 00130</t>
        </r>
      </text>
    </comment>
    <comment ref="S133" authorId="0" shapeId="0" xr:uid="{00000000-0006-0000-0000-0000D1010000}">
      <text>
        <r>
          <rPr>
            <sz val="11"/>
            <color rgb="FF000000"/>
            <rFont val="Calibri"/>
            <scheme val="minor"/>
          </rPr>
          <t>======
ID#AAABU0VI09U
tc={3AAE650F-D6C9-47C1-AF50-3D22A68C4DCA}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33" authorId="0" shapeId="0" xr:uid="{00000000-0006-0000-0000-0000CF010000}">
      <text>
        <r>
          <rPr>
            <sz val="11"/>
            <color rgb="FF000000"/>
            <rFont val="Calibri"/>
            <scheme val="minor"/>
          </rPr>
          <t>======
ID#AAABU0VI09c
tc={605A05A3-C006-41A9-B58E-EF8F23151A8B}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33" authorId="0" shapeId="0" xr:uid="{00000000-0006-0000-0000-0000D5000000}">
      <text>
        <r>
          <rPr>
            <sz val="11"/>
            <color rgb="FF000000"/>
            <rFont val="Calibri"/>
            <scheme val="minor"/>
          </rPr>
          <t>======
ID#AAABWUwfGyQ
Muditha Aruppola    (2024-09-26 06:37:54)
Seller- M R TRADE CENTER
TP- 077 795 8336
Location- 157/2/3Mahavidyalaya Mawatha Colombo 13, 00130</t>
        </r>
      </text>
    </comment>
    <comment ref="W133" authorId="0" shapeId="0" xr:uid="{00000000-0006-0000-0000-0000D6000000}">
      <text>
        <r>
          <rPr>
            <sz val="11"/>
            <color rgb="FF000000"/>
            <rFont val="Calibri"/>
            <scheme val="minor"/>
          </rPr>
          <t>======
ID#AAABXKFOK-0
Muditha Aruppola    (2024-09-26 06:37:54)
Seller- M R TRADE CENTER
TP- 077 795 8336
Location- 157/2/3Mahavidyalaya Mawatha Colombo 13, 00130</t>
        </r>
      </text>
    </comment>
    <comment ref="S134" authorId="0" shapeId="0" xr:uid="{00000000-0006-0000-0000-0000E5010000}">
      <text>
        <r>
          <rPr>
            <sz val="11"/>
            <color rgb="FF000000"/>
            <rFont val="Calibri"/>
            <scheme val="minor"/>
          </rPr>
          <t>======
ID#AAABU0VI08A
tc={3D165A51-3025-4BC4-8299-A2BFF42837E1}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34" authorId="0" shapeId="0" xr:uid="{00000000-0006-0000-0000-0000D2020000}">
      <text>
        <r>
          <rPr>
            <sz val="11"/>
            <color rgb="FF000000"/>
            <rFont val="Calibri"/>
            <scheme val="minor"/>
          </rPr>
          <t>======
ID#AAABUz9wr5M
tc={1B33DA56-4368-4256-B3BC-C9185C2A23FE}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34" authorId="0" shapeId="0" xr:uid="{00000000-0006-0000-0000-0000D4000000}">
      <text>
        <r>
          <rPr>
            <sz val="11"/>
            <color rgb="FF000000"/>
            <rFont val="Calibri"/>
            <scheme val="minor"/>
          </rPr>
          <t>======
ID#AAABWUwfGyU
Muditha Aruppola    (2024-09-26 06:37:57)
Seller- M R TRADE CENTER
TP- 077 795 8336
Location- 157/2/3Mahavidyalaya Mawatha Colombo 13, 00130</t>
        </r>
      </text>
    </comment>
    <comment ref="S135" authorId="0" shapeId="0" xr:uid="{00000000-0006-0000-0000-0000E3010000}">
      <text>
        <r>
          <rPr>
            <sz val="11"/>
            <color rgb="FF000000"/>
            <rFont val="Calibri"/>
            <scheme val="minor"/>
          </rPr>
          <t>======
ID#AAABU0VI08I
tc={95058394-E77C-401B-A398-1AC1E939CBB6}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35" authorId="0" shapeId="0" xr:uid="{00000000-0006-0000-0000-0000EE010000}">
      <text>
        <r>
          <rPr>
            <sz val="11"/>
            <color rgb="FF000000"/>
            <rFont val="Calibri"/>
            <scheme val="minor"/>
          </rPr>
          <t>======
ID#AAABU0VI07c
tc={6692139F-E45A-4CDB-A5FB-4C05337E25D3}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V135" authorId="0" shapeId="0" xr:uid="{00000000-0006-0000-0000-0000D2000000}">
      <text>
        <r>
          <rPr>
            <sz val="11"/>
            <color rgb="FF000000"/>
            <rFont val="Calibri"/>
            <scheme val="minor"/>
          </rPr>
          <t>======
ID#AAABWUwfGyY
Muditha Aruppola    (2024-09-26 06:37:59)
Seller- M R TRADE CENTER
TP- 077 795 8336
Location- 157/2/3Mahavidyalaya Mawatha Colombo 13, 00130</t>
        </r>
      </text>
    </comment>
    <comment ref="W135" authorId="0" shapeId="0" xr:uid="{00000000-0006-0000-0000-0000D3000000}">
      <text>
        <r>
          <rPr>
            <sz val="11"/>
            <color rgb="FF000000"/>
            <rFont val="Calibri"/>
            <scheme val="minor"/>
          </rPr>
          <t>======
ID#AAABXKFOLB0
Muditha Aruppola    (2024-09-26 06:37:59)
Seller- M R TRADE CENTER
TP- 077 795 8336
Location- 157/2/3Mahavidyalaya Mawatha Colombo 13, 00130</t>
        </r>
      </text>
    </comment>
    <comment ref="S137" authorId="0" shapeId="0" xr:uid="{00000000-0006-0000-0000-000041010000}">
      <text>
        <r>
          <rPr>
            <sz val="11"/>
            <color rgb="FF000000"/>
            <rFont val="Calibri"/>
            <scheme val="minor"/>
          </rPr>
          <t>======
ID#AAABU0VI1Gs
tc={6A1CF8C0-D84D-41D0-AC64-A50048852966}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T137" authorId="0" shapeId="0" xr:uid="{00000000-0006-0000-0000-00001D020000}">
      <text>
        <r>
          <rPr>
            <sz val="11"/>
            <color rgb="FF000000"/>
            <rFont val="Calibri"/>
            <scheme val="minor"/>
          </rPr>
          <t>======
ID#AAABU0VI0MU
tc={A0A367C8-5C68-4D98-8CBA-7075FD6484FA}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U137" authorId="0" shapeId="0" xr:uid="{00000000-0006-0000-0000-0000D3010000}">
      <text>
        <r>
          <rPr>
            <sz val="11"/>
            <color rgb="FF000000"/>
            <rFont val="Calibri"/>
            <scheme val="minor"/>
          </rPr>
          <t>======
ID#AAABU0VI09M
    (2024-08-29 06:55:09)
Seller- Janatha steel
	-Muditha Aruppola</t>
        </r>
      </text>
    </comment>
    <comment ref="V137" authorId="0" shapeId="0" xr:uid="{00000000-0006-0000-0000-0000D0000000}">
      <text>
        <r>
          <rPr>
            <sz val="11"/>
            <color rgb="FF000000"/>
            <rFont val="Calibri"/>
            <scheme val="minor"/>
          </rPr>
          <t>======
ID#AAABWUwfGyo
Muditha Aruppola    (2024-09-26 06:49:09)
Seller- Akai Fasteners PVT Ltd
TP- 0114 311 008/ 0114 311 007
Note- Rate for below 100 lft</t>
        </r>
      </text>
    </comment>
    <comment ref="W137" authorId="0" shapeId="0" xr:uid="{00000000-0006-0000-0000-0000D1000000}">
      <text>
        <r>
          <rPr>
            <sz val="11"/>
            <color rgb="FF000000"/>
            <rFont val="Calibri"/>
            <scheme val="minor"/>
          </rPr>
          <t>======
ID#AAABXKFOLAI
Muditha Aruppola    (2024-09-26 06:49:09)
Seller- Akai Fasteners PVT Ltd
TP- 0114 311 008/ 0114 311 007
Note- Rate for below 100 lft</t>
        </r>
      </text>
    </comment>
    <comment ref="S138" authorId="0" shapeId="0" xr:uid="{00000000-0006-0000-0000-0000C2010000}">
      <text>
        <r>
          <rPr>
            <sz val="11"/>
            <color rgb="FF000000"/>
            <rFont val="Calibri"/>
            <scheme val="minor"/>
          </rPr>
          <t>======
ID#AAABU0VI0-Q
tc={E0472F53-74F8-498F-8633-6A05023AED1B}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T138" authorId="0" shapeId="0" xr:uid="{00000000-0006-0000-0000-000071020000}">
      <text>
        <r>
          <rPr>
            <sz val="11"/>
            <color rgb="FF000000"/>
            <rFont val="Calibri"/>
            <scheme val="minor"/>
          </rPr>
          <t>======
ID#AAABUz9wr_o
tc={3AD36C6A-4FFA-4EAC-A4A2-D303497F6268}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U138" authorId="0" shapeId="0" xr:uid="{00000000-0006-0000-0000-000094010000}">
      <text>
        <r>
          <rPr>
            <sz val="11"/>
            <color rgb="FF000000"/>
            <rFont val="Calibri"/>
            <scheme val="minor"/>
          </rPr>
          <t>======
ID#AAABU0VI1BM
    (2024-08-29 06:55:09)
Seller- Akai Fasteners PVT Ltd
TP- 0773503421 / 0773503424 / 0773503431
	-Muditha Aruppola</t>
        </r>
      </text>
    </comment>
    <comment ref="V138" authorId="0" shapeId="0" xr:uid="{00000000-0006-0000-0000-0000CE000000}">
      <text>
        <r>
          <rPr>
            <sz val="11"/>
            <color rgb="FF000000"/>
            <rFont val="Calibri"/>
            <scheme val="minor"/>
          </rPr>
          <t>======
ID#AAABWUwfGys
Muditha Aruppola    (2024-09-26 06:49:13)
Seller- Akai Fasteners PVT Ltd
TP- 0114 311 008/ 0114 311 007
Note- Rate for below 100 lft</t>
        </r>
      </text>
    </comment>
    <comment ref="W138" authorId="0" shapeId="0" xr:uid="{00000000-0006-0000-0000-0000CF000000}">
      <text>
        <r>
          <rPr>
            <sz val="11"/>
            <color rgb="FF000000"/>
            <rFont val="Calibri"/>
            <scheme val="minor"/>
          </rPr>
          <t>======
ID#AAABXKFOK9M
Muditha Aruppola    (2024-09-26 06:49:13)
Seller- Akai Fasteners PVT Ltd
TP- 0114 311 008/ 0114 311 007
Note- Rate for below 100 lft</t>
        </r>
      </text>
    </comment>
    <comment ref="S139" authorId="0" shapeId="0" xr:uid="{00000000-0006-0000-0000-00008C020000}">
      <text>
        <r>
          <rPr>
            <sz val="11"/>
            <color rgb="FF000000"/>
            <rFont val="Calibri"/>
            <scheme val="minor"/>
          </rPr>
          <t>======
ID#AAABUz9wr90
tc={49190CA4-3B49-415D-AA72-4B4D1C39D5C3}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T139" authorId="0" shapeId="0" xr:uid="{00000000-0006-0000-0000-00006F020000}">
      <text>
        <r>
          <rPr>
            <sz val="11"/>
            <color rgb="FF000000"/>
            <rFont val="Calibri"/>
            <scheme val="minor"/>
          </rPr>
          <t>======
ID#AAABUz9wr_w
tc={FCBC1B09-F648-4630-BD46-68916E63C26F}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U139" authorId="0" shapeId="0" xr:uid="{00000000-0006-0000-0000-000055010000}">
      <text>
        <r>
          <rPr>
            <sz val="11"/>
            <color rgb="FF000000"/>
            <rFont val="Calibri"/>
            <scheme val="minor"/>
          </rPr>
          <t>======
ID#AAABU0VI1FY
    (2024-08-29 06:55:09)
Seller- Akai Fasteners PVT Ltd
TP- 0773503421 / 0773503424 / 0773503431
	-Muditha Aruppola</t>
        </r>
      </text>
    </comment>
    <comment ref="V139" authorId="0" shapeId="0" xr:uid="{00000000-0006-0000-0000-0000CC000000}">
      <text>
        <r>
          <rPr>
            <sz val="11"/>
            <color rgb="FF000000"/>
            <rFont val="Calibri"/>
            <scheme val="minor"/>
          </rPr>
          <t>======
ID#AAABWUwfGyw
Muditha Aruppola    (2024-09-26 06:49:17)
Seller- Akai Fasteners PVT Ltd
TP- 0114 311 008/ 0114 311 007
Note- Rate for below 100 lft</t>
        </r>
      </text>
    </comment>
    <comment ref="W139" authorId="0" shapeId="0" xr:uid="{00000000-0006-0000-0000-0000CD000000}">
      <text>
        <r>
          <rPr>
            <sz val="11"/>
            <color rgb="FF000000"/>
            <rFont val="Calibri"/>
            <scheme val="minor"/>
          </rPr>
          <t>======
ID#AAABXKFOK-M
Muditha Aruppola    (2024-09-26 06:49:17)
Seller- Akai Fasteners PVT Ltd
TP- 0114 311 008/ 0114 311 007
Note- Rate for below 100 lft</t>
        </r>
      </text>
    </comment>
    <comment ref="S140" authorId="0" shapeId="0" xr:uid="{00000000-0006-0000-0000-0000A9010000}">
      <text>
        <r>
          <rPr>
            <sz val="11"/>
            <color rgb="FF000000"/>
            <rFont val="Calibri"/>
            <scheme val="minor"/>
          </rPr>
          <t>======
ID#AAABU0VI0_0
tc={3CCFE458-12C4-446C-A2A6-38190BF359EF}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T140" authorId="0" shapeId="0" xr:uid="{00000000-0006-0000-0000-000065010000}">
      <text>
        <r>
          <rPr>
            <sz val="11"/>
            <color rgb="FF000000"/>
            <rFont val="Calibri"/>
            <scheme val="minor"/>
          </rPr>
          <t>======
ID#AAABU0VI1EU
tc={D952DC86-CC76-4492-9ACD-3DE06C89CC06}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Akai Fasteners PVT Ltd
TP- 0773503421 / 0773503424 / 0773503431 
Location- 
No 567/ Sri Sangaraja Mw. , Colombo - 10 , Colombo</t>
        </r>
      </text>
    </comment>
    <comment ref="U140" authorId="0" shapeId="0" xr:uid="{00000000-0006-0000-0000-000049010000}">
      <text>
        <r>
          <rPr>
            <sz val="11"/>
            <color rgb="FF000000"/>
            <rFont val="Calibri"/>
            <scheme val="minor"/>
          </rPr>
          <t>======
ID#AAABU0VI1GM
    (2024-08-29 06:55:09)
Seller- Akai Fasteners PVT Ltd
TP- 0773503421 / 0773503424 / 0773503431
	-Muditha Aruppola</t>
        </r>
      </text>
    </comment>
    <comment ref="V140" authorId="0" shapeId="0" xr:uid="{00000000-0006-0000-0000-0000CA000000}">
      <text>
        <r>
          <rPr>
            <sz val="11"/>
            <color rgb="FF000000"/>
            <rFont val="Calibri"/>
            <scheme val="minor"/>
          </rPr>
          <t>======
ID#AAABWUwfGy0
Muditha Aruppola    (2024-09-26 06:49:19)
Seller- Akai Fasteners PVT Ltd
TP- 0114 311 008/ 0114 311 007
Note- Rate for below 100 lft</t>
        </r>
      </text>
    </comment>
    <comment ref="W140" authorId="0" shapeId="0" xr:uid="{00000000-0006-0000-0000-0000CB000000}">
      <text>
        <r>
          <rPr>
            <sz val="11"/>
            <color rgb="FF000000"/>
            <rFont val="Calibri"/>
            <scheme val="minor"/>
          </rPr>
          <t>======
ID#AAABXKFOLA4
Muditha Aruppola    (2024-09-26 06:49:19)
Seller- Akai Fasteners PVT Ltd
TP- 0114 311 008/ 0114 311 007
Note- Rate for below 100 lft</t>
        </r>
      </text>
    </comment>
    <comment ref="S142" authorId="0" shapeId="0" xr:uid="{00000000-0006-0000-0000-00005A020000}">
      <text>
        <r>
          <rPr>
            <sz val="11"/>
            <color rgb="FF000000"/>
            <rFont val="Calibri"/>
            <scheme val="minor"/>
          </rPr>
          <t>======
ID#AAABUz9wsBI
tc={9E0FA265-6503-4092-A7D8-183D12521F12}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T142" authorId="0" shapeId="0" xr:uid="{00000000-0006-0000-0000-000004020000}">
      <text>
        <r>
          <rPr>
            <sz val="11"/>
            <color rgb="FF000000"/>
            <rFont val="Calibri"/>
            <scheme val="minor"/>
          </rPr>
          <t>======
ID#AAABU0VI06A
tc={A659F511-F1E9-4514-9DA5-DD0D1EBF3EEE}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M R TRADE CENTER 
TP-  077 795 8336 
Location- 157/2/3Mahavidyalaya Mawatha Colombo 13, 00130</t>
        </r>
      </text>
    </comment>
    <comment ref="U142" authorId="0" shapeId="0" xr:uid="{00000000-0006-0000-0000-0000B6020000}">
      <text>
        <r>
          <rPr>
            <sz val="11"/>
            <color rgb="FF000000"/>
            <rFont val="Calibri"/>
            <scheme val="minor"/>
          </rPr>
          <t>======
ID#AAABUz9wr7A
    (2024-08-29 06:55:09)
Seller- Janatha steel
	-Muditha Aruppola</t>
        </r>
      </text>
    </comment>
    <comment ref="V143" authorId="0" shapeId="0" xr:uid="{00000000-0006-0000-0000-0000C9000000}">
      <text>
        <r>
          <rPr>
            <sz val="11"/>
            <color rgb="FF000000"/>
            <rFont val="Calibri"/>
            <scheme val="minor"/>
          </rPr>
          <t>======
ID#AAABWUwfGy4
Muditha Aruppola    (2024-09-26 06:50:23)
Seller- Janatha Steel</t>
        </r>
      </text>
    </comment>
    <comment ref="S145" authorId="0" shapeId="0" xr:uid="{00000000-0006-0000-0000-000048010000}">
      <text>
        <r>
          <rPr>
            <sz val="11"/>
            <color rgb="FF000000"/>
            <rFont val="Calibri"/>
            <scheme val="minor"/>
          </rPr>
          <t>======
ID#AAABU0VI1GQ
tc={D981FADE-4E7A-4F6B-BF28-F37F23DA9FD8}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145" authorId="0" shapeId="0" xr:uid="{00000000-0006-0000-0000-0000F5010000}">
      <text>
        <r>
          <rPr>
            <sz val="11"/>
            <color rgb="FF000000"/>
            <rFont val="Calibri"/>
            <scheme val="minor"/>
          </rPr>
          <t>======
ID#AAABU0VI068
tc={1C391A0A-4965-4A08-87E4-F1A43ADE5FE0}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45" authorId="0" shapeId="0" xr:uid="{00000000-0006-0000-0000-0000DF020000}">
      <text>
        <r>
          <rPr>
            <sz val="11"/>
            <color rgb="FF000000"/>
            <rFont val="Calibri"/>
            <scheme val="minor"/>
          </rPr>
          <t>======
ID#AAABUz9wr4U
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S146" authorId="0" shapeId="0" xr:uid="{00000000-0006-0000-0000-0000B6010000}">
      <text>
        <r>
          <rPr>
            <sz val="11"/>
            <color rgb="FF000000"/>
            <rFont val="Calibri"/>
            <scheme val="minor"/>
          </rPr>
          <t>======
ID#AAABU0VI0_A
tc={2FB6802E-2BA7-4A42-8F0A-E9BE73A92D9E}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 
TP-  0112 918 980 
Location- Kelaniya</t>
        </r>
      </text>
    </comment>
    <comment ref="T146" authorId="0" shapeId="0" xr:uid="{00000000-0006-0000-0000-00004F010000}">
      <text>
        <r>
          <rPr>
            <sz val="11"/>
            <color rgb="FF000000"/>
            <rFont val="Calibri"/>
            <scheme val="minor"/>
          </rPr>
          <t>======
ID#AAABU0VI1Fw
tc={E8325C57-025C-4C3B-B74E-F994F7B3ACD8}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 
TP-  0112 918 980 
Location- Kelaniya</t>
        </r>
      </text>
    </comment>
    <comment ref="U146" authorId="0" shapeId="0" xr:uid="{00000000-0006-0000-0000-0000F4010000}">
      <text>
        <r>
          <rPr>
            <sz val="11"/>
            <color rgb="FF000000"/>
            <rFont val="Calibri"/>
            <scheme val="minor"/>
          </rPr>
          <t>======
ID#AAABU0VI07E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 
TP-  0112 918 980 
Location- Kelaniya</t>
        </r>
      </text>
    </comment>
    <comment ref="S147" authorId="0" shapeId="0" xr:uid="{00000000-0006-0000-0000-00009E020000}">
      <text>
        <r>
          <rPr>
            <sz val="11"/>
            <color rgb="FF000000"/>
            <rFont val="Calibri"/>
            <scheme val="minor"/>
          </rPr>
          <t>======
ID#AAABUz9wr8o
tc={15811D7F-ADB3-40B0-ACDD-B58DBEA6EFFF}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147" authorId="0" shapeId="0" xr:uid="{00000000-0006-0000-0000-0000B0010000}">
      <text>
        <r>
          <rPr>
            <sz val="11"/>
            <color rgb="FF000000"/>
            <rFont val="Calibri"/>
            <scheme val="minor"/>
          </rPr>
          <t>======
ID#AAABU0VI0_Y
tc={1099D8E9-CB97-4DD8-A4AB-A763AB4BD845}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47" authorId="0" shapeId="0" xr:uid="{00000000-0006-0000-0000-000001020000}">
      <text>
        <r>
          <rPr>
            <sz val="11"/>
            <color rgb="FF000000"/>
            <rFont val="Calibri"/>
            <scheme val="minor"/>
          </rPr>
          <t>======
ID#AAABU0VI06M
tc={DA0C882B-2CC2-47CF-9F97-7594C18CA029}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S148" authorId="0" shapeId="0" xr:uid="{00000000-0006-0000-0000-0000BF020000}">
      <text>
        <r>
          <rPr>
            <sz val="11"/>
            <color rgb="FF000000"/>
            <rFont val="Calibri"/>
            <scheme val="minor"/>
          </rPr>
          <t>======
ID#AAABUz9wr6Y
tc={A5A3B74D-B503-4BD6-90A7-6F43077C9767}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148" authorId="0" shapeId="0" xr:uid="{00000000-0006-0000-0000-00008E020000}">
      <text>
        <r>
          <rPr>
            <sz val="11"/>
            <color rgb="FF000000"/>
            <rFont val="Calibri"/>
            <scheme val="minor"/>
          </rPr>
          <t>======
ID#AAABUz9wr9s
tc={34F502CD-2541-487A-AAFE-EB532CAAB4DC}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48" authorId="0" shapeId="0" xr:uid="{00000000-0006-0000-0000-000020020000}">
      <text>
        <r>
          <rPr>
            <sz val="11"/>
            <color rgb="FF000000"/>
            <rFont val="Calibri"/>
            <scheme val="minor"/>
          </rPr>
          <t>======
ID#AAABU0VI0MI
tc={D1783EA6-43AF-47D2-8FA7-6EFA31255F89}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V148" authorId="0" shapeId="0" xr:uid="{00000000-0006-0000-0000-00007B000000}">
      <text>
        <r>
          <rPr>
            <sz val="11"/>
            <color rgb="FF000000"/>
            <rFont val="Calibri"/>
            <scheme val="minor"/>
          </rPr>
          <t>======
ID#AAABWJwXAC8
Muditha Aruppola    (2024-09-29 16:44:27)
Seller- B.R Perera Hardware 
TP- 0112908862</t>
        </r>
      </text>
    </comment>
    <comment ref="W148" authorId="0" shapeId="0" xr:uid="{00000000-0006-0000-0000-00007C000000}">
      <text>
        <r>
          <rPr>
            <sz val="11"/>
            <color rgb="FF000000"/>
            <rFont val="Calibri"/>
            <scheme val="minor"/>
          </rPr>
          <t>======
ID#AAABXKEqTdU
Muditha Aruppola    (2024-09-29 16:44:27)
Seller- B.R Perera Hardware 
TP- 0112908862</t>
        </r>
      </text>
    </comment>
    <comment ref="V149" authorId="0" shapeId="0" xr:uid="{00000000-0006-0000-0000-000079000000}">
      <text>
        <r>
          <rPr>
            <sz val="11"/>
            <color rgb="FF000000"/>
            <rFont val="Calibri"/>
            <scheme val="minor"/>
          </rPr>
          <t>======
ID#AAABWJwXADA
Muditha Aruppola    (2024-09-29 16:44:30)
Seller- B.R Perera Hardware 
TP- 0112908862</t>
        </r>
      </text>
    </comment>
    <comment ref="W149" authorId="0" shapeId="0" xr:uid="{00000000-0006-0000-0000-00007A000000}">
      <text>
        <r>
          <rPr>
            <sz val="11"/>
            <color rgb="FF000000"/>
            <rFont val="Calibri"/>
            <scheme val="minor"/>
          </rPr>
          <t>======
ID#AAABXKFOLBw
Muditha Aruppola    (2024-09-29 16:44:30)
Seller- B.R Perera Hardware 
TP- 0112908862</t>
        </r>
      </text>
    </comment>
    <comment ref="S151" authorId="0" shapeId="0" xr:uid="{00000000-0006-0000-0000-000095020000}">
      <text>
        <r>
          <rPr>
            <sz val="11"/>
            <color rgb="FF000000"/>
            <rFont val="Calibri"/>
            <scheme val="minor"/>
          </rPr>
          <t>======
ID#AAABUz9wr9Q
tc={41B08D22-F881-43A9-B5DD-1CA4B1C0C775}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JCICY Mesh And Engineering (Pvt) Ltd</t>
        </r>
      </text>
    </comment>
    <comment ref="T151" authorId="0" shapeId="0" xr:uid="{00000000-0006-0000-0000-000013020000}">
      <text>
        <r>
          <rPr>
            <sz val="11"/>
            <color rgb="FF000000"/>
            <rFont val="Calibri"/>
            <scheme val="minor"/>
          </rPr>
          <t>======
ID#AAABU0VI0M8
tc={7019059C-276D-404D-9F76-4645C8D9A94B}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JCICY Mesh And Engineering (Pvt) Ltd</t>
        </r>
      </text>
    </comment>
    <comment ref="U151" authorId="0" shapeId="0" xr:uid="{00000000-0006-0000-0000-0000A1010000}">
      <text>
        <r>
          <rPr>
            <sz val="11"/>
            <color rgb="FF000000"/>
            <rFont val="Calibri"/>
            <scheme val="minor"/>
          </rPr>
          <t>======
ID#AAABU0VI1AU
tc={A14C1284-92E8-48AC-9249-AB94F8276B8B}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JCICY Mesh And Engineering (Pvt) Ltd</t>
        </r>
      </text>
    </comment>
    <comment ref="S152" authorId="0" shapeId="0" xr:uid="{00000000-0006-0000-0000-0000F6010000}">
      <text>
        <r>
          <rPr>
            <sz val="11"/>
            <color rgb="FF000000"/>
            <rFont val="Calibri"/>
            <scheme val="minor"/>
          </rPr>
          <t>======
ID#AAABU0VI064
tc={982114A6-FFE7-4D92-A01A-C978C9361E64}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Rohana Hardware (Pvt) Ltd
TP-  0112 403 128 
Location- 236/A New Kandy Rd</t>
        </r>
      </text>
    </comment>
    <comment ref="T152" authorId="0" shapeId="0" xr:uid="{00000000-0006-0000-0000-0000D2010000}">
      <text>
        <r>
          <rPr>
            <sz val="11"/>
            <color rgb="FF000000"/>
            <rFont val="Calibri"/>
            <scheme val="minor"/>
          </rPr>
          <t>======
ID#AAABU0VI09Q
tc={55FF60DA-3EE1-48CE-A4BA-A63D12AEF204}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Rohana Hardware (Pvt) Ltd
TP-  0112 403 128 
Location- 236/A New Kandy Rd</t>
        </r>
      </text>
    </comment>
    <comment ref="U152" authorId="0" shapeId="0" xr:uid="{00000000-0006-0000-0000-0000CA020000}">
      <text>
        <r>
          <rPr>
            <sz val="11"/>
            <color rgb="FF000000"/>
            <rFont val="Calibri"/>
            <scheme val="minor"/>
          </rPr>
          <t>======
ID#AAABUz9wr5s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Rohana Hardware (Pvt) Ltd
TP-  0112 403 128 
Location- 236/A New Kandy Rd</t>
        </r>
      </text>
    </comment>
    <comment ref="S153" authorId="0" shapeId="0" xr:uid="{00000000-0006-0000-0000-000075020000}">
      <text>
        <r>
          <rPr>
            <sz val="11"/>
            <color rgb="FF000000"/>
            <rFont val="Calibri"/>
            <scheme val="minor"/>
          </rPr>
          <t>======
ID#AAABUz9wr_Y
tc={199F90F3-9A6D-479F-AB53-DBAB10994B9B}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Rohana Hardware (Pvt) Ltd
TP-  0112 403 128 
Location- 236/A New Kandy Rd</t>
        </r>
      </text>
    </comment>
    <comment ref="T153" authorId="0" shapeId="0" xr:uid="{00000000-0006-0000-0000-000016020000}">
      <text>
        <r>
          <rPr>
            <sz val="11"/>
            <color rgb="FF000000"/>
            <rFont val="Calibri"/>
            <scheme val="minor"/>
          </rPr>
          <t>======
ID#AAABU0VI0Mw
tc={84110AC8-ED59-4802-ACC0-930E4D6B1578}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Rohana Hardware (Pvt) Ltd
TP-  0112 403 128 
Location- 236/A New Kandy Rd</t>
        </r>
      </text>
    </comment>
    <comment ref="U153" authorId="0" shapeId="0" xr:uid="{00000000-0006-0000-0000-00008F010000}">
      <text>
        <r>
          <rPr>
            <sz val="11"/>
            <color rgb="FF000000"/>
            <rFont val="Calibri"/>
            <scheme val="minor"/>
          </rPr>
          <t>======
ID#AAABU0VI1Bg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Rohana Hardware (Pvt) Ltd
TP-  0112 403 128 
Location- 236/A New Kandy Rd</t>
        </r>
      </text>
    </comment>
    <comment ref="S154" authorId="0" shapeId="0" xr:uid="{00000000-0006-0000-0000-0000D8010000}">
      <text>
        <r>
          <rPr>
            <sz val="11"/>
            <color rgb="FF000000"/>
            <rFont val="Calibri"/>
            <scheme val="minor"/>
          </rPr>
          <t>======
ID#AAABU0VI080
tc={AAB18CD6-1301-472F-8B57-EEEE7B51F275}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154" authorId="0" shapeId="0" xr:uid="{00000000-0006-0000-0000-00005D010000}">
      <text>
        <r>
          <rPr>
            <sz val="11"/>
            <color rgb="FF000000"/>
            <rFont val="Calibri"/>
            <scheme val="minor"/>
          </rPr>
          <t>======
ID#AAABU0VI1E0
tc={CE596CC5-083C-4C2F-A261-7E0B11502A28}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54" authorId="0" shapeId="0" xr:uid="{00000000-0006-0000-0000-00009B010000}">
      <text>
        <r>
          <rPr>
            <sz val="11"/>
            <color rgb="FF000000"/>
            <rFont val="Calibri"/>
            <scheme val="minor"/>
          </rPr>
          <t>======
ID#AAABU0VI1As
    (2024-08-29 06:55:09)
seller- PE+
	-Muditha Aruppola</t>
        </r>
      </text>
    </comment>
    <comment ref="S155" authorId="0" shapeId="0" xr:uid="{00000000-0006-0000-0000-00006C020000}">
      <text>
        <r>
          <rPr>
            <sz val="11"/>
            <color rgb="FF000000"/>
            <rFont val="Calibri"/>
            <scheme val="minor"/>
          </rPr>
          <t>======
ID#AAABUz9wr_8
tc={32A10B01-18E2-4BFC-B3E8-C6A4D2801ECB}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155" authorId="0" shapeId="0" xr:uid="{00000000-0006-0000-0000-000093010000}">
      <text>
        <r>
          <rPr>
            <sz val="11"/>
            <color rgb="FF000000"/>
            <rFont val="Calibri"/>
            <scheme val="minor"/>
          </rPr>
          <t>======
ID#AAABU0VI1BQ
tc={B9092D0B-FDED-4622-B29C-8AFF20BE26B5}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55" authorId="0" shapeId="0" xr:uid="{00000000-0006-0000-0000-0000FF010000}">
      <text>
        <r>
          <rPr>
            <sz val="11"/>
            <color rgb="FF000000"/>
            <rFont val="Calibri"/>
            <scheme val="minor"/>
          </rPr>
          <t>======
ID#AAABU0VI06U
    (2024-08-29 06:55:09)
seller- PE+
	-Muditha Aruppola</t>
        </r>
      </text>
    </comment>
    <comment ref="S156" authorId="0" shapeId="0" xr:uid="{00000000-0006-0000-0000-000061020000}">
      <text>
        <r>
          <rPr>
            <sz val="11"/>
            <color rgb="FF000000"/>
            <rFont val="Calibri"/>
            <scheme val="minor"/>
          </rPr>
          <t>======
ID#AAABUz9wsAo
tc={B980E104-BD9B-48F4-B1FC-600C98E16E3B}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156" authorId="0" shapeId="0" xr:uid="{00000000-0006-0000-0000-00009D010000}">
      <text>
        <r>
          <rPr>
            <sz val="11"/>
            <color rgb="FF000000"/>
            <rFont val="Calibri"/>
            <scheme val="minor"/>
          </rPr>
          <t>======
ID#AAABU0VI1Ak
tc={C3FD7906-21CD-4A6A-BF73-20C8237F4352}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156" authorId="0" shapeId="0" xr:uid="{00000000-0006-0000-0000-000032020000}">
      <text>
        <r>
          <rPr>
            <sz val="11"/>
            <color rgb="FF000000"/>
            <rFont val="Calibri"/>
            <scheme val="minor"/>
          </rPr>
          <t>======
ID#AAABU0VI0LA
    (2024-08-29 06:55:09)
seller-PE+
	-Muditha Aruppola</t>
        </r>
      </text>
    </comment>
    <comment ref="S157" authorId="0" shapeId="0" xr:uid="{00000000-0006-0000-0000-000073010000}">
      <text>
        <r>
          <rPr>
            <sz val="11"/>
            <color rgb="FF000000"/>
            <rFont val="Calibri"/>
            <scheme val="minor"/>
          </rPr>
          <t>======
ID#AAABU0VI1DY
tc={184D2539-60C5-44A0-9BCB-C0C475D0EE67}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Guardian fencing</t>
        </r>
      </text>
    </comment>
    <comment ref="T157" authorId="0" shapeId="0" xr:uid="{00000000-0006-0000-0000-0000CB020000}">
      <text>
        <r>
          <rPr>
            <sz val="11"/>
            <color rgb="FF000000"/>
            <rFont val="Calibri"/>
            <scheme val="minor"/>
          </rPr>
          <t>======
ID#AAABUz9wr5o
tc={3C48F84A-996C-4957-8A3E-491582542828}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Guardian fencing</t>
        </r>
      </text>
    </comment>
    <comment ref="U157" authorId="0" shapeId="0" xr:uid="{00000000-0006-0000-0000-00004D020000}">
      <text>
        <r>
          <rPr>
            <sz val="11"/>
            <color rgb="FF000000"/>
            <rFont val="Calibri"/>
            <scheme val="minor"/>
          </rPr>
          <t>======
ID#AAABU0VI0JE
    (2024-08-29 06:55:09)
Seller-MASCONS
	-Muditha Aruppola</t>
        </r>
      </text>
    </comment>
    <comment ref="V157" authorId="0" shapeId="0" xr:uid="{00000000-0006-0000-0000-0000C7000000}">
      <text>
        <r>
          <rPr>
            <sz val="11"/>
            <color rgb="FF000000"/>
            <rFont val="Calibri"/>
            <scheme val="minor"/>
          </rPr>
          <t>======
ID#AAABWUwfGy8
Muditha Aruppola    (2024-09-26 07:15:29)
Seller- FM hardware
TP- 0713819085 / 0766390690</t>
        </r>
      </text>
    </comment>
    <comment ref="W157" authorId="0" shapeId="0" xr:uid="{00000000-0006-0000-0000-0000C8000000}">
      <text>
        <r>
          <rPr>
            <sz val="11"/>
            <color rgb="FF000000"/>
            <rFont val="Calibri"/>
            <scheme val="minor"/>
          </rPr>
          <t>======
ID#AAABXKFOK-k
Muditha Aruppola    (2024-09-26 07:15:29)
Seller- FM hardware
TP- 0713819085 / 0766390690</t>
        </r>
      </text>
    </comment>
    <comment ref="S158" authorId="0" shapeId="0" xr:uid="{00000000-0006-0000-0000-000090020000}">
      <text>
        <r>
          <rPr>
            <sz val="11"/>
            <color rgb="FF000000"/>
            <rFont val="Calibri"/>
            <scheme val="minor"/>
          </rPr>
          <t>======
ID#AAABUz9wr9k
tc={BCC33EEC-7371-49DE-8598-B8BB2841E1E9}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Guardian fencing</t>
        </r>
      </text>
    </comment>
    <comment ref="T158" authorId="0" shapeId="0" xr:uid="{00000000-0006-0000-0000-0000D3020000}">
      <text>
        <r>
          <rPr>
            <sz val="11"/>
            <color rgb="FF000000"/>
            <rFont val="Calibri"/>
            <scheme val="minor"/>
          </rPr>
          <t>======
ID#AAABUz9wr5I
tc={5D095431-EBA9-4100-8FD6-0752B1B4A2AB}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Guardian fencing</t>
        </r>
      </text>
    </comment>
    <comment ref="U158" authorId="0" shapeId="0" xr:uid="{00000000-0006-0000-0000-0000CD010000}">
      <text>
        <r>
          <rPr>
            <sz val="11"/>
            <color rgb="FF000000"/>
            <rFont val="Calibri"/>
            <scheme val="minor"/>
          </rPr>
          <t>======
ID#AAABU0VI09k
    (2024-08-29 06:55:09)
Seller-MASCONS
	-Muditha Aruppola</t>
        </r>
      </text>
    </comment>
    <comment ref="V158" authorId="0" shapeId="0" xr:uid="{00000000-0006-0000-0000-0000C5000000}">
      <text>
        <r>
          <rPr>
            <sz val="11"/>
            <color rgb="FF000000"/>
            <rFont val="Calibri"/>
            <scheme val="minor"/>
          </rPr>
          <t>======
ID#AAABWUwfGzA
Muditha Aruppola    (2024-09-26 07:16:22)
Seller- FM hardware
TP- 0713819085 / 0766390690</t>
        </r>
      </text>
    </comment>
    <comment ref="W158" authorId="0" shapeId="0" xr:uid="{00000000-0006-0000-0000-0000C6000000}">
      <text>
        <r>
          <rPr>
            <sz val="11"/>
            <color rgb="FF000000"/>
            <rFont val="Calibri"/>
            <scheme val="minor"/>
          </rPr>
          <t>======
ID#AAABXKEqTc0
Muditha Aruppola    (2024-09-26 07:16:22)
Seller- FM hardware
TP- 0713819085 / 0766390690</t>
        </r>
      </text>
    </comment>
    <comment ref="U159" authorId="0" shapeId="0" xr:uid="{00000000-0006-0000-0000-000091020000}">
      <text>
        <r>
          <rPr>
            <sz val="11"/>
            <color rgb="FF000000"/>
            <rFont val="Calibri"/>
            <scheme val="minor"/>
          </rPr>
          <t>======
ID#AAABUz9wr9g
    (2024-08-29 06:55:09)
Seller- Peak steel
TP- 0774743227 / 0773242227 / 0772267408
Location- No. 323/f5, 4th Floor , Colombo 12 , Colombo
	-Muditha Aruppola</t>
        </r>
      </text>
    </comment>
    <comment ref="V159" authorId="0" shapeId="0" xr:uid="{00000000-0006-0000-0000-0000C3000000}">
      <text>
        <r>
          <rPr>
            <sz val="11"/>
            <color rgb="FF000000"/>
            <rFont val="Calibri"/>
            <scheme val="minor"/>
          </rPr>
          <t>======
ID#AAABWUwfGzE
Muditha Aruppola    (2024-09-26 07:18:05)
Seller- Peak steel
TP- 0774743227 / 0773242227 / 0772267408</t>
        </r>
      </text>
    </comment>
    <comment ref="W159" authorId="0" shapeId="0" xr:uid="{00000000-0006-0000-0000-0000C4000000}">
      <text>
        <r>
          <rPr>
            <sz val="11"/>
            <color rgb="FF000000"/>
            <rFont val="Calibri"/>
            <scheme val="minor"/>
          </rPr>
          <t>======
ID#AAABXKFOK9c
Muditha Aruppola    (2024-09-26 07:18:05)
Seller- Peak steel
TP- 0774743227 / 0773242227 / 0772267408</t>
        </r>
      </text>
    </comment>
    <comment ref="T160" authorId="0" shapeId="0" xr:uid="{00000000-0006-0000-0000-000086010000}">
      <text>
        <r>
          <rPr>
            <sz val="11"/>
            <color rgb="FF000000"/>
            <rFont val="Calibri"/>
            <scheme val="minor"/>
          </rPr>
          <t>======
ID#AAABU0VI1CE
tc={1CF7834C-8397-4756-BA1F-49F751480432}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Nishantas glass warehouse
TP- 0112 909888
Location- Old kandy road, Dalugama</t>
        </r>
      </text>
    </comment>
    <comment ref="U160" authorId="0" shapeId="0" xr:uid="{00000000-0006-0000-0000-0000AA010000}">
      <text>
        <r>
          <rPr>
            <sz val="11"/>
            <color rgb="FF000000"/>
            <rFont val="Calibri"/>
            <scheme val="minor"/>
          </rPr>
          <t>======
ID#AAABU0VI0_w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Nishantas glass warehouse
TP- 0112 909888
Location- Old kandy road, Dalugama</t>
        </r>
      </text>
    </comment>
    <comment ref="V160" authorId="0" shapeId="0" xr:uid="{00000000-0006-0000-0000-0000C1000000}">
      <text>
        <r>
          <rPr>
            <sz val="11"/>
            <color rgb="FF000000"/>
            <rFont val="Calibri"/>
            <scheme val="minor"/>
          </rPr>
          <t>======
ID#AAABWUwfGzI
Muditha Aruppola    (2024-09-26 07:20:23)
Seller- Nishantas glass warehouse
TP- 0112 909888</t>
        </r>
      </text>
    </comment>
    <comment ref="W160" authorId="0" shapeId="0" xr:uid="{00000000-0006-0000-0000-0000C2000000}">
      <text>
        <r>
          <rPr>
            <sz val="11"/>
            <color rgb="FF000000"/>
            <rFont val="Calibri"/>
            <scheme val="minor"/>
          </rPr>
          <t>======
ID#AAABXKFOLAU
Muditha Aruppola    (2024-09-26 07:20:23)
Seller- Nishantas glass warehouse
TP- 0112 909888</t>
        </r>
      </text>
    </comment>
    <comment ref="Y160" authorId="0" shapeId="0" xr:uid="{00000000-0006-0000-0000-00000C000000}">
      <text>
        <r>
          <rPr>
            <sz val="11"/>
            <color rgb="FF000000"/>
            <rFont val="Calibri"/>
            <scheme val="minor"/>
          </rPr>
          <t>======
ID#AAABag-w3bs
Muditha Aruppola    (2024-12-19 06:50:51)
Seller-Negambo glass house
TP- 076 827 0600
Location- 10 St.Jude Vidyala Mawatha, Negombo</t>
        </r>
      </text>
    </comment>
    <comment ref="S161" authorId="0" shapeId="0" xr:uid="{00000000-0006-0000-0000-0000B9020000}">
      <text>
        <r>
          <rPr>
            <sz val="11"/>
            <color rgb="FF000000"/>
            <rFont val="Calibri"/>
            <scheme val="minor"/>
          </rPr>
          <t>======
ID#AAABUz9wr60
tc={C14CA14C-7AC4-4978-AA3F-D86B306373E9}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Lahiru Pest Control &amp; Environmental Services (Pvt) Ltd 
TP-  0117 149 149 
Location- 139/A Old Negombo Rd, Ja-Ela 11350</t>
        </r>
      </text>
    </comment>
    <comment ref="T161" authorId="0" shapeId="0" xr:uid="{00000000-0006-0000-0000-00008D020000}">
      <text>
        <r>
          <rPr>
            <sz val="11"/>
            <color rgb="FF000000"/>
            <rFont val="Calibri"/>
            <scheme val="minor"/>
          </rPr>
          <t>======
ID#AAABUz9wr9w
tc={35DF46E8-6A3A-4521-A043-0FD50CDA4BAE}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Lahiru Pest Control &amp; Environmental Services (Pvt) Ltd 
TP-  0117 149 149 
Location- 139/A Old Negombo Rd, Ja-Ela 11350</t>
        </r>
      </text>
    </comment>
    <comment ref="U161" authorId="0" shapeId="0" xr:uid="{00000000-0006-0000-0000-000083010000}">
      <text>
        <r>
          <rPr>
            <sz val="11"/>
            <color rgb="FF000000"/>
            <rFont val="Calibri"/>
            <scheme val="minor"/>
          </rPr>
          <t>======
ID#AAABU0VI1CY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Lahiru Pest Control &amp; Environmental Services (Pvt) Ltd 
TP-  0117 149 149 
Location- 139/A Old Negombo Rd, Ja-Ela 11350</t>
        </r>
      </text>
    </comment>
    <comment ref="V161" authorId="0" shapeId="0" xr:uid="{00000000-0006-0000-0000-0000BF000000}">
      <text>
        <r>
          <rPr>
            <sz val="11"/>
            <color rgb="FF000000"/>
            <rFont val="Calibri"/>
            <scheme val="minor"/>
          </rPr>
          <t>======
ID#AAABWUwfGzM
Muditha Aruppola    (2024-09-26 07:20:49)
Seller- Lahiru Pest Control &amp; Environmental Services (Pvt) Ltd
TP- 0117 149 149
Location- 139/A Old Negombo Rd, Ja-Ela 11350</t>
        </r>
      </text>
    </comment>
    <comment ref="W161" authorId="0" shapeId="0" xr:uid="{00000000-0006-0000-0000-0000C0000000}">
      <text>
        <r>
          <rPr>
            <sz val="11"/>
            <color rgb="FF000000"/>
            <rFont val="Calibri"/>
            <scheme val="minor"/>
          </rPr>
          <t>======
ID#AAABXKFOLAk
Muditha Aruppola    (2024-09-26 07:20:49)
Seller- Lahiru Pest Control &amp; Environmental Services (Pvt) Ltd
TP- 0117 149 149
Location- 139/A Old Negombo Rd, Ja-Ela 11350</t>
        </r>
      </text>
    </comment>
    <comment ref="V162" authorId="0" shapeId="0" xr:uid="{00000000-0006-0000-0000-00007D000000}">
      <text>
        <r>
          <rPr>
            <sz val="11"/>
            <color rgb="FF000000"/>
            <rFont val="Calibri"/>
            <scheme val="minor"/>
          </rPr>
          <t>======
ID#AAABWJwXAC4
Muditha Aruppola    (2024-09-29 16:44:15)
Seller- B.R Perera Hardware 
TP- 0112908862
Note- 1kg of polythene 7feet long and roll width is 3 feet and 6 feet when  it divide in to 2 . Then 1kg = 42ft2 covers.</t>
        </r>
      </text>
    </comment>
    <comment ref="W162" authorId="0" shapeId="0" xr:uid="{00000000-0006-0000-0000-00007E000000}">
      <text>
        <r>
          <rPr>
            <sz val="11"/>
            <color rgb="FF000000"/>
            <rFont val="Calibri"/>
            <scheme val="minor"/>
          </rPr>
          <t>======
ID#AAABXKFOK9k
Muditha Aruppola    (2024-09-29 16:44:15)
Seller- B.R Perera Hardware 
TP- 0112908862
Note- 1kg of polythene 7feet long and roll width is 3 feet and 6 feet when  it divide in to 2 . Then 1kg = 42ft2 covers.</t>
        </r>
      </text>
    </comment>
    <comment ref="S164" authorId="0" shapeId="0" xr:uid="{00000000-0006-0000-0000-00008F020000}">
      <text>
        <r>
          <rPr>
            <sz val="11"/>
            <color rgb="FF000000"/>
            <rFont val="Calibri"/>
            <scheme val="minor"/>
          </rPr>
          <t>======
ID#AAABUz9wr9o
tc={8261CE9C-1EBE-4980-9BBF-BEF0E72F832D}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Chris Asia (Pvt) Ltd 
TP- 0112 537 347 , 076 5311179(MR yasiru)
Location- No.508/5 Avissawella Rd, Kaduwela</t>
        </r>
      </text>
    </comment>
    <comment ref="T164" authorId="0" shapeId="0" xr:uid="{00000000-0006-0000-0000-000079020000}">
      <text>
        <r>
          <rPr>
            <sz val="11"/>
            <color rgb="FF000000"/>
            <rFont val="Calibri"/>
            <scheme val="minor"/>
          </rPr>
          <t>======
ID#AAABUz9wr_I
tc={C89946FD-CB64-4B19-963A-B315264C457E}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Chris Asia (Pvt) Ltd 
TP- 0112 537 347 , 076 5311179(MR yasiru)
Location- No.508/5 Avissawella Rd, Kaduwela</t>
        </r>
      </text>
    </comment>
    <comment ref="U164" authorId="0" shapeId="0" xr:uid="{00000000-0006-0000-0000-0000C1010000}">
      <text>
        <r>
          <rPr>
            <sz val="11"/>
            <color rgb="FF000000"/>
            <rFont val="Calibri"/>
            <scheme val="minor"/>
          </rPr>
          <t>======
ID#AAABU0VI0-U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Chris Asia (Pvt) Ltd 
TP- 0112 537 347 , 076 5311179(MR yasiru)
Location- No.508/5 Avissawella Rd, Kaduwela</t>
        </r>
      </text>
    </comment>
    <comment ref="V164" authorId="0" shapeId="0" xr:uid="{00000000-0006-0000-0000-0000B7000000}">
      <text>
        <r>
          <rPr>
            <sz val="11"/>
            <color rgb="FF000000"/>
            <rFont val="Calibri"/>
            <scheme val="minor"/>
          </rPr>
          <t>======
ID#AAABWUwfGzg
Muditha Aruppola    (2024-09-26 07:28:48)
Seller- Chris Asia (Pvt) Ltd
TP- 0112 537 347 , 076 5311179(MR yasiru)
Location- No.508/5 Avissawella Rd, Kaduwela</t>
        </r>
      </text>
    </comment>
    <comment ref="W164" authorId="0" shapeId="0" xr:uid="{00000000-0006-0000-0000-0000B8000000}">
      <text>
        <r>
          <rPr>
            <sz val="11"/>
            <color rgb="FF000000"/>
            <rFont val="Calibri"/>
            <scheme val="minor"/>
          </rPr>
          <t>======
ID#AAABXKFOK_g
Muditha Aruppola    (2024-09-26 07:28:48)
Seller- Chris Asia (Pvt) Ltd
TP- 0112 537 347 , 076 5311179(MR yasiru)
Location- No.508/5 Avissawella Rd, Kaduwela</t>
        </r>
      </text>
    </comment>
    <comment ref="S165" authorId="0" shapeId="0" xr:uid="{00000000-0006-0000-0000-0000CB010000}">
      <text>
        <r>
          <rPr>
            <sz val="11"/>
            <color rgb="FF000000"/>
            <rFont val="Calibri"/>
            <scheme val="minor"/>
          </rPr>
          <t>======
ID#AAABU0VI09s
tc={E0CA098B-F29B-42ED-8551-6A25E2D90AAF}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Chris Asia (Pvt) Ltd 
TP- 0112 537 347 , 076 5311179(MR yasiru)
Location- No.508/5 Avissawella Rd, Kaduwela</t>
        </r>
      </text>
    </comment>
    <comment ref="T165" authorId="0" shapeId="0" xr:uid="{00000000-0006-0000-0000-000006020000}">
      <text>
        <r>
          <rPr>
            <sz val="11"/>
            <color rgb="FF000000"/>
            <rFont val="Calibri"/>
            <scheme val="minor"/>
          </rPr>
          <t>======
ID#AAABU0VI054
tc={B2FD17F4-39D3-427C-BEB6-733B07408CBC}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Chris Asia (Pvt) Ltd 
TP- 0112 537 347 , 076 5311179(MR yasiru)
Location- No.508/5 Avissawella Rd, Kaduwela</t>
        </r>
      </text>
    </comment>
    <comment ref="U165" authorId="0" shapeId="0" xr:uid="{00000000-0006-0000-0000-000011020000}">
      <text>
        <r>
          <rPr>
            <sz val="11"/>
            <color rgb="FF000000"/>
            <rFont val="Calibri"/>
            <scheme val="minor"/>
          </rPr>
          <t>======
ID#AAABU0VI05E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Chris Asia (Pvt) Ltd 
TP- 0112 537 347 , 076 5311179(MR yasiru)
Location- No.508/5 Avissawella Rd, Kaduwela</t>
        </r>
      </text>
    </comment>
    <comment ref="V165" authorId="0" shapeId="0" xr:uid="{00000000-0006-0000-0000-0000BD000000}">
      <text>
        <r>
          <rPr>
            <sz val="11"/>
            <color rgb="FF000000"/>
            <rFont val="Calibri"/>
            <scheme val="minor"/>
          </rPr>
          <t>======
ID#AAABWUwfGzQ
Muditha Aruppola    (2024-09-26 07:27:15)
Seller- Chris Asia (Pvt) Ltd
TP- 0112 537 347 , 076 5311179(MR yasiru)
Location- No.508/5 Avissawella Rd, Kaduwela</t>
        </r>
      </text>
    </comment>
    <comment ref="W165" authorId="0" shapeId="0" xr:uid="{00000000-0006-0000-0000-0000BE000000}">
      <text>
        <r>
          <rPr>
            <sz val="11"/>
            <color rgb="FF000000"/>
            <rFont val="Calibri"/>
            <scheme val="minor"/>
          </rPr>
          <t>======
ID#AAABXKFOK-U
Muditha Aruppola    (2024-09-26 07:27:15)
Seller- Chris Asia (Pvt) Ltd
TP- 0112 537 347 , 076 5311179(MR yasiru)
Location- No.508/5 Avissawella Rd, Kaduwela</t>
        </r>
      </text>
    </comment>
    <comment ref="S166" authorId="0" shapeId="0" xr:uid="{00000000-0006-0000-0000-0000BD020000}">
      <text>
        <r>
          <rPr>
            <sz val="11"/>
            <color rgb="FF000000"/>
            <rFont val="Calibri"/>
            <scheme val="minor"/>
          </rPr>
          <t>======
ID#AAABUz9wr6g
tc={C23074F2-9328-4834-80B7-134D7E3A9929}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T166" authorId="0" shapeId="0" xr:uid="{00000000-0006-0000-0000-0000A5010000}">
      <text>
        <r>
          <rPr>
            <sz val="11"/>
            <color rgb="FF000000"/>
            <rFont val="Calibri"/>
            <scheme val="minor"/>
          </rPr>
          <t>======
ID#AAABU0VI1AE
tc={276B3868-3897-4383-9270-D76FE8C7E29F}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166" authorId="0" shapeId="0" xr:uid="{00000000-0006-0000-0000-00008A020000}">
      <text>
        <r>
          <rPr>
            <sz val="11"/>
            <color rgb="FF000000"/>
            <rFont val="Calibri"/>
            <scheme val="minor"/>
          </rPr>
          <t>======
ID#AAABUz9wr-A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V166" authorId="0" shapeId="0" xr:uid="{00000000-0006-0000-0000-0000BB000000}">
      <text>
        <r>
          <rPr>
            <sz val="11"/>
            <color rgb="FF000000"/>
            <rFont val="Calibri"/>
            <scheme val="minor"/>
          </rPr>
          <t>======
ID#AAABWUwfGzU
Muditha Aruppola    (2024-09-26 07:27:18)
Seller- Chris Asia (Pvt) Ltd
TP- 0112 537 347 , 076 5311179(MR yasiru)
Location- No.508/5 Avissawella Rd, Kaduwela</t>
        </r>
      </text>
    </comment>
    <comment ref="W166" authorId="0" shapeId="0" xr:uid="{00000000-0006-0000-0000-0000BC000000}">
      <text>
        <r>
          <rPr>
            <sz val="11"/>
            <color rgb="FF000000"/>
            <rFont val="Calibri"/>
            <scheme val="minor"/>
          </rPr>
          <t>======
ID#AAABXKEqTdc
Muditha Aruppola    (2024-09-26 07:27:18)
Seller- Chris Asia (Pvt) Ltd
TP- 0112 537 347 , 076 5311179(MR yasiru)
Location- No.508/5 Avissawella Rd, Kaduwela</t>
        </r>
      </text>
    </comment>
    <comment ref="S167" authorId="0" shapeId="0" xr:uid="{00000000-0006-0000-0000-000079010000}">
      <text>
        <r>
          <rPr>
            <sz val="11"/>
            <color rgb="FF000000"/>
            <rFont val="Calibri"/>
            <scheme val="minor"/>
          </rPr>
          <t>======
ID#AAABU0VI1DA
tc={25AD5FBB-1497-4782-A076-FBF9D9357D93}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T167" authorId="0" shapeId="0" xr:uid="{00000000-0006-0000-0000-000002020000}">
      <text>
        <r>
          <rPr>
            <sz val="11"/>
            <color rgb="FF000000"/>
            <rFont val="Calibri"/>
            <scheme val="minor"/>
          </rPr>
          <t>======
ID#AAABU0VI06I
tc={BEC57547-6AE2-46C0-A7B5-8BC51558057B}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167" authorId="0" shapeId="0" xr:uid="{00000000-0006-0000-0000-0000B2010000}">
      <text>
        <r>
          <rPr>
            <sz val="11"/>
            <color rgb="FF000000"/>
            <rFont val="Calibri"/>
            <scheme val="minor"/>
          </rPr>
          <t>======
ID#AAABU0VI0_Q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V167" authorId="0" shapeId="0" xr:uid="{00000000-0006-0000-0000-0000B9000000}">
      <text>
        <r>
          <rPr>
            <sz val="11"/>
            <color rgb="FF000000"/>
            <rFont val="Calibri"/>
            <scheme val="minor"/>
          </rPr>
          <t>======
ID#AAABWUwfGzY
Muditha Aruppola    (2024-09-26 07:27:21)
Seller- Chris Asia (Pvt) Ltd
TP- 0112 537 347 , 076 5311179(MR yasiru)
Location- No.508/5 Avissawella Rd, Kaduwela</t>
        </r>
      </text>
    </comment>
    <comment ref="W167" authorId="0" shapeId="0" xr:uid="{00000000-0006-0000-0000-0000BA000000}">
      <text>
        <r>
          <rPr>
            <sz val="11"/>
            <color rgb="FF000000"/>
            <rFont val="Calibri"/>
            <scheme val="minor"/>
          </rPr>
          <t>======
ID#AAABXKBgNwk
Muditha Aruppola    (2024-09-26 07:27:21)
Seller- Chris Asia (Pvt) Ltd
TP- 0112 537 347 , 076 5311179(MR yasiru)
Location- No.508/5 Avissawella Rd, Kaduwela</t>
        </r>
      </text>
    </comment>
    <comment ref="S168" authorId="0" shapeId="0" xr:uid="{00000000-0006-0000-0000-0000AF010000}">
      <text>
        <r>
          <rPr>
            <sz val="11"/>
            <color rgb="FF000000"/>
            <rFont val="Calibri"/>
            <scheme val="minor"/>
          </rPr>
          <t>======
ID#AAABU0VI0_c
tc={8075D972-8CB4-459B-AB0D-799200106CB9}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T168" authorId="0" shapeId="0" xr:uid="{00000000-0006-0000-0000-000072020000}">
      <text>
        <r>
          <rPr>
            <sz val="11"/>
            <color rgb="FF000000"/>
            <rFont val="Calibri"/>
            <scheme val="minor"/>
          </rPr>
          <t>======
ID#AAABUz9wr_k
tc={B5F1349A-D1D9-4688-8564-8B4BCCC1E393}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U168" authorId="0" shapeId="0" xr:uid="{00000000-0006-0000-0000-000094020000}">
      <text>
        <r>
          <rPr>
            <sz val="11"/>
            <color rgb="FF000000"/>
            <rFont val="Calibri"/>
            <scheme val="minor"/>
          </rPr>
          <t>======
ID#AAABUz9wr9U
    (2024-08-29 06:55:09)
Seller- Metecno lanka
	-Muditha Aruppola</t>
        </r>
      </text>
    </comment>
    <comment ref="V168" authorId="0" shapeId="0" xr:uid="{00000000-0006-0000-0000-0000B5000000}">
      <text>
        <r>
          <rPr>
            <sz val="11"/>
            <color rgb="FF000000"/>
            <rFont val="Calibri"/>
            <scheme val="minor"/>
          </rPr>
          <t>======
ID#AAABWUwfGzk
Muditha Aruppola    (2024-09-26 07:31:52)
Seller- AFICO GLASSWOOL INSULATION
TP- 0777202940</t>
        </r>
      </text>
    </comment>
    <comment ref="W168" authorId="0" shapeId="0" xr:uid="{00000000-0006-0000-0000-0000B6000000}">
      <text>
        <r>
          <rPr>
            <sz val="11"/>
            <color rgb="FF000000"/>
            <rFont val="Calibri"/>
            <scheme val="minor"/>
          </rPr>
          <t>======
ID#AAABXKFOK_Y
Muditha Aruppola    (2024-09-26 07:31:52)
Seller- AFICO GLASSWOOL INSULATION
TP- 0777202940</t>
        </r>
      </text>
    </comment>
    <comment ref="W171" authorId="0" shapeId="0" xr:uid="{00000000-0006-0000-0000-000076000000}">
      <text>
        <r>
          <rPr>
            <sz val="11"/>
            <color rgb="FF000000"/>
            <rFont val="Calibri"/>
            <scheme val="minor"/>
          </rPr>
          <t>======
ID#AAABXKBgNwQ
tc={65E3D757-AC18-43D7-819D-6914C410985D}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Seller-Melwa
TP-0777771005(Malith)</t>
        </r>
      </text>
    </comment>
    <comment ref="W172" authorId="0" shapeId="0" xr:uid="{00000000-0006-0000-0000-000073000000}">
      <text>
        <r>
          <rPr>
            <sz val="11"/>
            <color rgb="FF000000"/>
            <rFont val="Calibri"/>
            <scheme val="minor"/>
          </rPr>
          <t>======
ID#AAABXKBgNww
tc={A997B3D3-0CBC-4FF3-A983-FE740CB1AB46}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Seller-Melwa
TP-0777771005(Malith)</t>
        </r>
      </text>
    </comment>
    <comment ref="V214" authorId="0" shapeId="0" xr:uid="{00000000-0006-0000-0000-0000B2000000}">
      <text>
        <r>
          <rPr>
            <sz val="11"/>
            <color rgb="FF000000"/>
            <rFont val="Calibri"/>
            <scheme val="minor"/>
          </rPr>
          <t>======
ID#AAABWUoO9gE
Muditha Aruppola    (2024-09-26 09:13:21)
Seller- Central Trading Lanka (Pvt)LTD.
TP- 0112 905414</t>
        </r>
      </text>
    </comment>
    <comment ref="W214" authorId="0" shapeId="0" xr:uid="{00000000-0006-0000-0000-0000B4000000}">
      <text>
        <r>
          <rPr>
            <sz val="11"/>
            <color rgb="FF000000"/>
            <rFont val="Calibri"/>
            <scheme val="minor"/>
          </rPr>
          <t>======
ID#AAABXKFOK-g
Muditha Aruppola    (2024-09-26 09:13:21)
Seller- Central Trading Lanka (Pvt)LTD.
TP- 0112 905414</t>
        </r>
      </text>
    </comment>
    <comment ref="V215" authorId="0" shapeId="0" xr:uid="{00000000-0006-0000-0000-0000B1000000}">
      <text>
        <r>
          <rPr>
            <sz val="11"/>
            <color rgb="FF000000"/>
            <rFont val="Calibri"/>
            <scheme val="minor"/>
          </rPr>
          <t>======
ID#AAABWUoO9gI
Muditha Aruppola    (2024-09-26 09:13:26)
Seller- Central Trading Lanka (Pvt)LTD.
TP- 0112 905414</t>
        </r>
      </text>
    </comment>
    <comment ref="W215" authorId="0" shapeId="0" xr:uid="{00000000-0006-0000-0000-0000B3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ID#AAABXKFOK_A
</t>
        </r>
        <r>
          <rPr>
            <sz val="11"/>
            <color rgb="FF000000"/>
            <rFont val="Calibri"/>
            <family val="2"/>
          </rPr>
          <t xml:space="preserve">Muditha Aruppola    (2024-09-26 09:13:21)
</t>
        </r>
        <r>
          <rPr>
            <sz val="11"/>
            <color rgb="FF000000"/>
            <rFont val="Calibri"/>
            <family val="2"/>
          </rPr>
          <t xml:space="preserve">Seller- Central Trading Lanka (Pvt)LTD.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TP- 0112 905414</t>
        </r>
      </text>
    </comment>
    <comment ref="V216" authorId="0" shapeId="0" xr:uid="{00000000-0006-0000-0000-0000AE000000}">
      <text>
        <r>
          <rPr>
            <sz val="11"/>
            <color rgb="FF000000"/>
            <rFont val="Calibri"/>
            <scheme val="minor"/>
          </rPr>
          <t>======
ID#AAABWUoO9gM
Muditha Aruppola    (2024-09-26 09:13:29)
Seller- Central Trading Lanka (Pvt)LTD.
TP- 0112 905414</t>
        </r>
      </text>
    </comment>
    <comment ref="W216" authorId="0" shapeId="0" xr:uid="{00000000-0006-0000-0000-0000AF000000}">
      <text>
        <r>
          <rPr>
            <sz val="11"/>
            <color rgb="FF000000"/>
            <rFont val="Calibri"/>
            <scheme val="minor"/>
          </rPr>
          <t>======
ID#AAABXKFOK_E
Muditha Aruppola    (2024-09-26 09:13:29)
Seller- Central Trading Lanka (Pvt)LTD.
TP- 0112 905414</t>
        </r>
      </text>
    </comment>
    <comment ref="V217" authorId="0" shapeId="0" xr:uid="{00000000-0006-0000-0000-0000AC000000}">
      <text>
        <r>
          <rPr>
            <sz val="11"/>
            <color rgb="FF000000"/>
            <rFont val="Calibri"/>
            <scheme val="minor"/>
          </rPr>
          <t>======
ID#AAABWUoO9gQ
Muditha Aruppola    (2024-09-26 09:13:32)
Seller- Central Trading Lanka (Pvt)LTD.
TP- 0112 905414</t>
        </r>
      </text>
    </comment>
    <comment ref="W217" authorId="0" shapeId="0" xr:uid="{00000000-0006-0000-0000-0000B0000000}">
      <text>
        <r>
          <rPr>
            <sz val="11"/>
            <color rgb="FF000000"/>
            <rFont val="Calibri"/>
            <scheme val="minor"/>
          </rPr>
          <t>======
ID#AAABXKFOLBU
Muditha Aruppola    (2024-09-26 09:13:29)
Seller- Central Trading Lanka (Pvt)LTD.
TP- 0112 905414</t>
        </r>
      </text>
    </comment>
    <comment ref="V218" authorId="0" shapeId="0" xr:uid="{00000000-0006-0000-0000-0000AB000000}">
      <text>
        <r>
          <rPr>
            <sz val="11"/>
            <color rgb="FF000000"/>
            <rFont val="Calibri"/>
            <scheme val="minor"/>
          </rPr>
          <t>======
ID#AAABWUoO9gU
Muditha Aruppola    (2024-09-26 09:13:35)
Seller- Central Trading Lanka (Pvt)LTD.
TP- 0112 905414</t>
        </r>
      </text>
    </comment>
    <comment ref="W218" authorId="0" shapeId="0" xr:uid="{00000000-0006-0000-0000-0000AD000000}">
      <text>
        <r>
          <rPr>
            <sz val="11"/>
            <color rgb="FF000000"/>
            <rFont val="Calibri"/>
            <scheme val="minor"/>
          </rPr>
          <t>======
ID#AAABXKBgNwE
Muditha Aruppola    (2024-09-26 09:13:32)
Seller- Central Trading Lanka (Pvt)LTD.
TP- 0112 905414</t>
        </r>
      </text>
    </comment>
    <comment ref="V219" authorId="0" shapeId="0" xr:uid="{00000000-0006-0000-0000-0000A9000000}">
      <text>
        <r>
          <rPr>
            <sz val="11"/>
            <color rgb="FF000000"/>
            <rFont val="Calibri"/>
            <scheme val="minor"/>
          </rPr>
          <t>======
ID#AAABWUoO9gY
Muditha Aruppola    (2024-09-26 09:13:38)
Seller- Central Trading Lanka (Pvt)LTD.
TP- 0112 905414</t>
        </r>
      </text>
    </comment>
    <comment ref="W219" authorId="0" shapeId="0" xr:uid="{00000000-0006-0000-0000-0000AA000000}">
      <text>
        <r>
          <rPr>
            <sz val="11"/>
            <color rgb="FF000000"/>
            <rFont val="Calibri"/>
            <scheme val="minor"/>
          </rPr>
          <t>======
ID#AAABXKFOLCI
Muditha Aruppola    (2024-09-26 09:13:38)
Seller- Central Trading Lanka (Pvt)LTD.
TP- 0112 905414</t>
        </r>
      </text>
    </comment>
    <comment ref="V220" authorId="0" shapeId="0" xr:uid="{00000000-0006-0000-0000-0000A7000000}">
      <text>
        <r>
          <rPr>
            <sz val="11"/>
            <color rgb="FF000000"/>
            <rFont val="Calibri"/>
            <scheme val="minor"/>
          </rPr>
          <t>======
ID#AAABWUoO9gc
Muditha Aruppola    (2024-09-26 09:13:41)
Seller- Central Trading Lanka (Pvt)LTD.
TP- 0112 905414</t>
        </r>
      </text>
    </comment>
    <comment ref="W220" authorId="0" shapeId="0" xr:uid="{00000000-0006-0000-0000-0000A8000000}">
      <text>
        <r>
          <rPr>
            <sz val="11"/>
            <color rgb="FF000000"/>
            <rFont val="Calibri"/>
            <scheme val="minor"/>
          </rPr>
          <t>======
ID#AAABXKBgNwI
Muditha Aruppola    (2024-09-26 09:13:41)
Seller- Central Trading Lanka (Pvt)LTD.
TP- 0112 905414</t>
        </r>
      </text>
    </comment>
    <comment ref="V222" authorId="0" shapeId="0" xr:uid="{00000000-0006-0000-0000-0000A5000000}">
      <text>
        <r>
          <rPr>
            <sz val="11"/>
            <color rgb="FF000000"/>
            <rFont val="Calibri"/>
            <scheme val="minor"/>
          </rPr>
          <t>======
ID#AAABWUoO9gg
Muditha Aruppola    (2024-09-26 09:13:43)
Seller- Central Trading Lanka (Pvt)LTD.
TP- 0112 905414</t>
        </r>
      </text>
    </comment>
    <comment ref="W222" authorId="0" shapeId="0" xr:uid="{00000000-0006-0000-0000-0000A6000000}">
      <text>
        <r>
          <rPr>
            <sz val="11"/>
            <color rgb="FF000000"/>
            <rFont val="Calibri"/>
            <scheme val="minor"/>
          </rPr>
          <t>======
ID#AAABXKFOLBs
Muditha Aruppola    (2024-09-26 09:13:43)
Seller- Central Trading Lanka (Pvt)LTD.
TP- 0112 905414</t>
        </r>
      </text>
    </comment>
    <comment ref="V223" authorId="0" shapeId="0" xr:uid="{00000000-0006-0000-0000-0000A3000000}">
      <text>
        <r>
          <rPr>
            <sz val="11"/>
            <color rgb="FF000000"/>
            <rFont val="Calibri"/>
            <scheme val="minor"/>
          </rPr>
          <t>======
ID#AAABWUoO9gk
Muditha Aruppola    (2024-09-26 09:13:46)
Seller- Central Trading Lanka (Pvt)LTD.
TP- 0112 905414</t>
        </r>
      </text>
    </comment>
    <comment ref="W223" authorId="0" shapeId="0" xr:uid="{00000000-0006-0000-0000-0000A4000000}">
      <text>
        <r>
          <rPr>
            <sz val="11"/>
            <color rgb="FF000000"/>
            <rFont val="Calibri"/>
            <scheme val="minor"/>
          </rPr>
          <t>======
ID#AAABXKFOLCQ
Muditha Aruppola    (2024-09-26 09:13:46)
Seller- Central Trading Lanka (Pvt)LTD.
TP- 0112 905414</t>
        </r>
      </text>
    </comment>
    <comment ref="V224" authorId="0" shapeId="0" xr:uid="{00000000-0006-0000-0000-0000A1000000}">
      <text>
        <r>
          <rPr>
            <sz val="11"/>
            <color rgb="FF000000"/>
            <rFont val="Calibri"/>
            <scheme val="minor"/>
          </rPr>
          <t>======
ID#AAABWUoO9go
Muditha Aruppola    (2024-09-26 09:13:48)
Seller- Central Trading Lanka (Pvt)LTD.
TP- 0112 905414</t>
        </r>
      </text>
    </comment>
    <comment ref="W224" authorId="0" shapeId="0" xr:uid="{00000000-0006-0000-0000-0000A2000000}">
      <text>
        <r>
          <rPr>
            <sz val="11"/>
            <color rgb="FF000000"/>
            <rFont val="Calibri"/>
            <scheme val="minor"/>
          </rPr>
          <t>======
ID#AAABXKFOLAQ
Muditha Aruppola    (2024-09-26 09:13:48)
Seller- Central Trading Lanka (Pvt)LTD.
TP- 0112 905414</t>
        </r>
      </text>
    </comment>
    <comment ref="T229" authorId="0" shapeId="0" xr:uid="{00000000-0006-0000-0000-0000FA010000}">
      <text>
        <r>
          <rPr>
            <sz val="11"/>
            <color rgb="FF000000"/>
            <rFont val="Calibri"/>
            <scheme val="minor"/>
          </rPr>
          <t>======
ID#AAABU0VI06o
tc={0B1C70B9-8E8E-490C-A3A9-2B40E4686A5A}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29" authorId="0" shapeId="0" xr:uid="{00000000-0006-0000-0000-00008E010000}">
      <text>
        <r>
          <rPr>
            <sz val="11"/>
            <color rgb="FF000000"/>
            <rFont val="Calibri"/>
            <scheme val="minor"/>
          </rPr>
          <t>======
ID#AAABU0VI1Bk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V229" authorId="0" shapeId="0" xr:uid="{00000000-0006-0000-0000-0000A0000000}">
      <text>
        <r>
          <rPr>
            <sz val="11"/>
            <color rgb="FF000000"/>
            <rFont val="Calibri"/>
            <scheme val="minor"/>
          </rPr>
          <t>======
ID#AAABWUoO9gs
Muditha Aruppola    (2024-09-26 09:13:56)
Seller- Central Trading Lanka (Pvt)LTD.
TP- 0112 905414</t>
        </r>
      </text>
    </comment>
    <comment ref="T230" authorId="0" shapeId="0" xr:uid="{00000000-0006-0000-0000-0000D0020000}">
      <text>
        <r>
          <rPr>
            <sz val="11"/>
            <color rgb="FF000000"/>
            <rFont val="Calibri"/>
            <scheme val="minor"/>
          </rPr>
          <t>======
ID#AAABUz9wr5U
tc={36A716FF-038D-4EBD-8B0F-117958C7F73B}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30" authorId="0" shapeId="0" xr:uid="{00000000-0006-0000-0000-0000DB010000}">
      <text>
        <r>
          <rPr>
            <sz val="11"/>
            <color rgb="FF000000"/>
            <rFont val="Calibri"/>
            <scheme val="minor"/>
          </rPr>
          <t>======
ID#AAABU0VI08o
    (2024-08-29 06:55:09)
SELLER- PHOENIX
	-Muditha Aruppola</t>
        </r>
      </text>
    </comment>
    <comment ref="V230" authorId="0" shapeId="0" xr:uid="{00000000-0006-0000-0000-00009F000000}">
      <text>
        <r>
          <rPr>
            <sz val="11"/>
            <color rgb="FF000000"/>
            <rFont val="Calibri"/>
            <scheme val="minor"/>
          </rPr>
          <t>======
ID#AAABWUoO9gw
Muditha Aruppola    (2024-09-26 09:13:59)
Seller- Central Trading Lanka (Pvt)LTD.
TP- 0112 905414</t>
        </r>
      </text>
    </comment>
    <comment ref="T231" authorId="0" shapeId="0" xr:uid="{00000000-0006-0000-0000-0000C9020000}">
      <text>
        <r>
          <rPr>
            <sz val="11"/>
            <color rgb="FF000000"/>
            <rFont val="Calibri"/>
            <scheme val="minor"/>
          </rPr>
          <t>======
ID#AAABUz9wr5w
tc={6DCF9333-FA29-47E4-961D-525F6D58B4F2}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31" authorId="0" shapeId="0" xr:uid="{00000000-0006-0000-0000-0000E4010000}">
      <text>
        <r>
          <rPr>
            <sz val="11"/>
            <color rgb="FF000000"/>
            <rFont val="Calibri"/>
            <scheme val="minor"/>
          </rPr>
          <t>======
ID#AAABU0VI08E
    (2024-08-29 06:55:09)
SELLER- PHOENIX
	-Muditha Aruppola</t>
        </r>
      </text>
    </comment>
    <comment ref="V231" authorId="0" shapeId="0" xr:uid="{00000000-0006-0000-0000-00009E000000}">
      <text>
        <r>
          <rPr>
            <sz val="11"/>
            <color rgb="FF000000"/>
            <rFont val="Calibri"/>
            <scheme val="minor"/>
          </rPr>
          <t>======
ID#AAABWUoO9g0
Muditha Aruppola    (2024-09-26 09:14:01)
Seller- Central Trading Lanka (Pvt)LTD.
TP- 0112 905414</t>
        </r>
      </text>
    </comment>
    <comment ref="T232" authorId="0" shapeId="0" xr:uid="{00000000-0006-0000-0000-0000D7010000}">
      <text>
        <r>
          <rPr>
            <sz val="11"/>
            <color rgb="FF000000"/>
            <rFont val="Calibri"/>
            <scheme val="minor"/>
          </rPr>
          <t>======
ID#AAABU0VI084
tc={11AEA099-582E-4089-B7C1-CD125CE1FD9C}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32" authorId="0" shapeId="0" xr:uid="{00000000-0006-0000-0000-00004B010000}">
      <text>
        <r>
          <rPr>
            <sz val="11"/>
            <color rgb="FF000000"/>
            <rFont val="Calibri"/>
            <scheme val="minor"/>
          </rPr>
          <t>======
ID#AAABU0VI1GE
    (2024-08-29 06:55:09)
SELLER- PHOENIX
	-Muditha Aruppola</t>
        </r>
      </text>
    </comment>
    <comment ref="V232" authorId="0" shapeId="0" xr:uid="{00000000-0006-0000-0000-00009D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ID#AAABWUoO9g4
</t>
        </r>
        <r>
          <rPr>
            <sz val="11"/>
            <color rgb="FF000000"/>
            <rFont val="Calibri"/>
            <family val="2"/>
          </rPr>
          <t xml:space="preserve">Muditha Aruppola    (2024-09-26 09:14:17)
</t>
        </r>
        <r>
          <rPr>
            <sz val="11"/>
            <color rgb="FF000000"/>
            <rFont val="Calibri"/>
            <family val="2"/>
          </rPr>
          <t xml:space="preserve">Seller- Central Trading Lanka (Pvt)LTD.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TP- 0112 905414</t>
        </r>
      </text>
    </comment>
    <comment ref="T233" authorId="0" shapeId="0" xr:uid="{00000000-0006-0000-0000-00005E010000}">
      <text>
        <r>
          <rPr>
            <sz val="11"/>
            <color rgb="FF000000"/>
            <rFont val="Calibri"/>
            <scheme val="minor"/>
          </rPr>
          <t>======
ID#AAABU0VI1Ew
tc={70756A93-0C89-4A59-A615-EA2A25F9F838}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33" authorId="0" shapeId="0" xr:uid="{00000000-0006-0000-0000-00006A020000}">
      <text>
        <r>
          <rPr>
            <sz val="11"/>
            <color rgb="FF000000"/>
            <rFont val="Calibri"/>
            <scheme val="minor"/>
          </rPr>
          <t>======
ID#AAABUz9wsAE
    (2024-08-29 06:55:09)
Seller- NIPPON
	-Muditha Aruppola</t>
        </r>
      </text>
    </comment>
    <comment ref="V233" authorId="0" shapeId="0" xr:uid="{00000000-0006-0000-0000-00009C000000}">
      <text>
        <r>
          <rPr>
            <sz val="11"/>
            <color rgb="FF000000"/>
            <rFont val="Calibri"/>
            <scheme val="minor"/>
          </rPr>
          <t>======
ID#AAABWUoO9g8
Muditha Aruppola    (2024-09-26 09:14:20)
Seller- Central Trading Lanka (Pvt)LTD.
TP- 0112 905414</t>
        </r>
      </text>
    </comment>
    <comment ref="T234" authorId="0" shapeId="0" xr:uid="{00000000-0006-0000-0000-000019020000}">
      <text>
        <r>
          <rPr>
            <sz val="11"/>
            <color rgb="FF000000"/>
            <rFont val="Calibri"/>
            <scheme val="minor"/>
          </rPr>
          <t>======
ID#AAABU0VI0Mk
tc={275470A7-8ECE-43AC-B1D5-BB04B4BF954E}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34" authorId="0" shapeId="0" xr:uid="{00000000-0006-0000-0000-000053020000}">
      <text>
        <r>
          <rPr>
            <sz val="11"/>
            <color rgb="FF000000"/>
            <rFont val="Calibri"/>
            <scheme val="minor"/>
          </rPr>
          <t>======
ID#AAABU0VI0Is
    (2024-08-29 06:55:09)
seller- ROHANA HARDWARE
	-Muditha Aruppola</t>
        </r>
      </text>
    </comment>
    <comment ref="V234" authorId="0" shapeId="0" xr:uid="{00000000-0006-0000-0000-00009B000000}">
      <text>
        <r>
          <rPr>
            <sz val="11"/>
            <color rgb="FF000000"/>
            <rFont val="Calibri"/>
            <scheme val="minor"/>
          </rPr>
          <t>======
ID#AAABWUoO9hA
Muditha Aruppola    (2024-09-26 09:14:22)
Seller- Central Trading Lanka (Pvt)LTD.
TP- 0112 905414</t>
        </r>
      </text>
    </comment>
    <comment ref="T235" authorId="0" shapeId="0" xr:uid="{00000000-0006-0000-0000-0000DB020000}">
      <text>
        <r>
          <rPr>
            <sz val="11"/>
            <color rgb="FF000000"/>
            <rFont val="Calibri"/>
            <scheme val="minor"/>
          </rPr>
          <t>======
ID#AAABUz9wr4k
tc={335B9148-E87E-4895-97A3-1CE615007827}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35" authorId="0" shapeId="0" xr:uid="{00000000-0006-0000-0000-0000C7020000}">
      <text>
        <r>
          <rPr>
            <sz val="11"/>
            <color rgb="FF000000"/>
            <rFont val="Calibri"/>
            <scheme val="minor"/>
          </rPr>
          <t>======
ID#AAABUz9wr58
    (2024-08-29 06:55:09)
Seller- ROHANA HARDWARE
	-Muditha Aruppola</t>
        </r>
      </text>
    </comment>
    <comment ref="V235" authorId="0" shapeId="0" xr:uid="{00000000-0006-0000-0000-00009A000000}">
      <text>
        <r>
          <rPr>
            <sz val="11"/>
            <color rgb="FF000000"/>
            <rFont val="Calibri"/>
            <scheme val="minor"/>
          </rPr>
          <t>======
ID#AAABWUoO9hE
Muditha Aruppola    (2024-09-26 09:14:25)
Seller- Central Trading Lanka (Pvt)LTD.
TP- 0112 905414</t>
        </r>
      </text>
    </comment>
    <comment ref="S243" authorId="0" shapeId="0" xr:uid="{00000000-0006-0000-0000-000068020000}">
      <text>
        <r>
          <rPr>
            <sz val="11"/>
            <color rgb="FF000000"/>
            <rFont val="Calibri"/>
            <scheme val="minor"/>
          </rPr>
          <t>======
ID#AAABUz9wsAM
tc={B2BDF1C7-E82B-4069-8800-A101C07A0065}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T243" authorId="0" shapeId="0" xr:uid="{00000000-0006-0000-0000-000078020000}">
      <text>
        <r>
          <rPr>
            <sz val="11"/>
            <color rgb="FF000000"/>
            <rFont val="Calibri"/>
            <scheme val="minor"/>
          </rPr>
          <t>======
ID#AAABUz9wr_M
tc={424786EE-0BFD-4906-9431-3B4A23901626}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U243" authorId="0" shapeId="0" xr:uid="{00000000-0006-0000-0000-00003A010000}">
      <text>
        <r>
          <rPr>
            <sz val="11"/>
            <color rgb="FF000000"/>
            <rFont val="Calibri"/>
            <scheme val="minor"/>
          </rPr>
          <t>======
ID#AAABU0VI1HI
    (2024-08-29 06:55:10)
Seller- Naveen Ceramic
TP- 0112 345 197 
Location- 297/12 George R De Silva Mawatha, Colombo 01300
	-Muditha Aruppola</t>
        </r>
      </text>
    </comment>
    <comment ref="S244" authorId="0" shapeId="0" xr:uid="{00000000-0006-0000-0000-000023020000}">
      <text>
        <r>
          <rPr>
            <sz val="11"/>
            <color rgb="FF000000"/>
            <rFont val="Calibri"/>
            <scheme val="minor"/>
          </rPr>
          <t>======
ID#AAABU0VI0L8
tc={766466E4-D955-47B8-92BE-ECF6DD578967}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T244" authorId="0" shapeId="0" xr:uid="{00000000-0006-0000-0000-000058020000}">
      <text>
        <r>
          <rPr>
            <sz val="11"/>
            <color rgb="FF000000"/>
            <rFont val="Calibri"/>
            <scheme val="minor"/>
          </rPr>
          <t>======
ID#AAABU0VI0IY
tc={9D14B6E5-4834-41EB-A549-CA034AFB6164}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U244" authorId="0" shapeId="0" xr:uid="{00000000-0006-0000-0000-00008B020000}">
      <text>
        <r>
          <rPr>
            <sz val="11"/>
            <color rgb="FF000000"/>
            <rFont val="Calibri"/>
            <scheme val="minor"/>
          </rPr>
          <t>======
ID#AAABUz9wr94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S245" authorId="0" shapeId="0" xr:uid="{00000000-0006-0000-0000-0000B4020000}">
      <text>
        <r>
          <rPr>
            <sz val="11"/>
            <color rgb="FF000000"/>
            <rFont val="Calibri"/>
            <scheme val="minor"/>
          </rPr>
          <t>======
ID#AAABUz9wr7M
tc={482E046D-7066-474F-817B-EF3445B0CEDA}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T245" authorId="0" shapeId="0" xr:uid="{00000000-0006-0000-0000-000059010000}">
      <text>
        <r>
          <rPr>
            <sz val="11"/>
            <color rgb="FF000000"/>
            <rFont val="Calibri"/>
            <scheme val="minor"/>
          </rPr>
          <t>======
ID#AAABU0VI1FE
tc={F34A56DC-C86A-4A2A-A8CE-257ADDBCDB0B}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Naveen Ceramic
TP- 0112 345 197 
Location- 297/12 George R De Silva Mawatha, Colombo 01300</t>
        </r>
      </text>
    </comment>
    <comment ref="U245" authorId="0" shapeId="0" xr:uid="{00000000-0006-0000-0000-000054020000}">
      <text>
        <r>
          <rPr>
            <sz val="11"/>
            <color rgb="FF000000"/>
            <rFont val="Calibri"/>
            <scheme val="minor"/>
          </rPr>
          <t>======
ID#AAABU0VI0Io
    (2024-08-29 06:55:09)
Seller- Naveen Ceramic
TP- 0112 345 197 
Location- 297/12 George R De Silva Mawatha, Colombo 01300
	-Muditha Aruppola</t>
        </r>
      </text>
    </comment>
    <comment ref="S247" authorId="0" shapeId="0" xr:uid="{00000000-0006-0000-0000-0000AF020000}">
      <text>
        <r>
          <rPr>
            <sz val="11"/>
            <color rgb="FF000000"/>
            <rFont val="Calibri"/>
            <scheme val="minor"/>
          </rPr>
          <t>======
ID#AAABUz9wr7g
tc={11AB1B57-EA20-4E9E-89B4-B4CDFCBA10A9}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Sri Lankan Granite &amp; Marble
TP- 077 776 1808 
Location- 104 Old Kesbewa Rd, Nugegoda</t>
        </r>
      </text>
    </comment>
    <comment ref="T247" authorId="0" shapeId="0" xr:uid="{00000000-0006-0000-0000-00009F020000}">
      <text>
        <r>
          <rPr>
            <sz val="11"/>
            <color rgb="FF000000"/>
            <rFont val="Calibri"/>
            <scheme val="minor"/>
          </rPr>
          <t>======
ID#AAABUz9wr8k
tc={5ECCFA37-721D-4D4E-BAF0-6B5472FE98FC}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Sri Lankan Granite &amp; Marble
TP- 077 776 1808 
Location- 104 Old Kesbewa Rd, Nugegoda</t>
        </r>
      </text>
    </comment>
    <comment ref="U247" authorId="0" shapeId="0" xr:uid="{00000000-0006-0000-0000-00003F010000}">
      <text>
        <r>
          <rPr>
            <sz val="11"/>
            <color rgb="FF000000"/>
            <rFont val="Calibri"/>
            <scheme val="minor"/>
          </rPr>
          <t>======
ID#AAABU0VI1G0
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Sri Lankan Granite &amp; Marble
TP- 077 776 1808 
Location- 104 Old Kesbewa Rd, Nugegoda</t>
        </r>
      </text>
    </comment>
    <comment ref="W247" authorId="0" shapeId="0" xr:uid="{00000000-0006-0000-0000-00006C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ID#AAABXKEqTdY
</t>
        </r>
        <r>
          <rPr>
            <sz val="11"/>
            <color rgb="FF000000"/>
            <rFont val="Calibri"/>
            <family val="2"/>
          </rPr>
          <t xml:space="preserve">tc={9AC17DF6-B6EB-43BA-903F-111FD04F90EA}    (2024-10-28 04:54:44)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Free Lanka Granite (Pvt) Ltd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Location- 597 Nawala Rd, Sri Jayawardenepura Kotte 10100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TP- 0112 693 757</t>
        </r>
      </text>
    </comment>
    <comment ref="S248" authorId="0" shapeId="0" xr:uid="{00000000-0006-0000-0000-000062020000}">
      <text>
        <r>
          <rPr>
            <sz val="11"/>
            <color rgb="FF000000"/>
            <rFont val="Calibri"/>
            <scheme val="minor"/>
          </rPr>
          <t>======
ID#AAABUz9wsAk
tc={662A99F9-D646-4E63-B2EA-7B7F7A094512}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Ally Weerasinghe 
TP- 0112 888 359 
Location- 617 Welikada-Nawala Rd, Sri Jayawardenepura Kotte 10109</t>
        </r>
      </text>
    </comment>
    <comment ref="T248" authorId="0" shapeId="0" xr:uid="{00000000-0006-0000-0000-0000AA020000}">
      <text>
        <r>
          <rPr>
            <sz val="11"/>
            <color rgb="FF000000"/>
            <rFont val="Calibri"/>
            <scheme val="minor"/>
          </rPr>
          <t>======
ID#AAABUz9wr70
tc={70C00769-F363-439C-B905-8E34F303B6F9}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Ally Weerasinghe 
TP- 0112 888 359 
Location- 617 Welikada-Nawala Rd, Sri Jayawardenepura Kotte 10109</t>
        </r>
      </text>
    </comment>
    <comment ref="U248" authorId="0" shapeId="0" xr:uid="{00000000-0006-0000-0000-0000FE010000}">
      <text>
        <r>
          <rPr>
            <sz val="11"/>
            <color rgb="FF000000"/>
            <rFont val="Calibri"/>
            <scheme val="minor"/>
          </rPr>
          <t>======
ID#AAABU0VI06Y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Ally Weerasinghe 
TP- 0112 888 359 
Location- 617 Welikada-Nawala Rd, Sri Jayawardenepura Kotte 10109</t>
        </r>
      </text>
    </comment>
    <comment ref="W248" authorId="0" shapeId="0" xr:uid="{00000000-0006-0000-0000-00005E000000}">
      <text>
        <r>
          <rPr>
            <sz val="11"/>
            <color rgb="FF000000"/>
            <rFont val="Calibri"/>
            <scheme val="minor"/>
          </rPr>
          <t>======
ID#AAABXKFOK_U
tc={304596A8-CD4D-4BE6-ABB8-E7621F76D485}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Free Lanka Granite (Pvt) Ltd
Location- 597 Nawala Rd, Sri Jayawardenepura Kotte 10100 
TP- 0112 693 757</t>
        </r>
      </text>
    </comment>
    <comment ref="S249" authorId="0" shapeId="0" xr:uid="{00000000-0006-0000-0000-000003020000}">
      <text>
        <r>
          <rPr>
            <sz val="11"/>
            <color rgb="FF000000"/>
            <rFont val="Calibri"/>
            <scheme val="minor"/>
          </rPr>
          <t>======
ID#AAABU0VI06E
tc={C111BD22-618D-4F93-940D-E7327E44485D}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 Hasandu Marble And Granite
TP- 0755185999 / 0763277228
Location- Galu Road , Ahungalla , Galle</t>
        </r>
      </text>
    </comment>
    <comment ref="T249" authorId="0" shapeId="0" xr:uid="{00000000-0006-0000-0000-000099010000}">
      <text>
        <r>
          <rPr>
            <sz val="11"/>
            <color rgb="FF000000"/>
            <rFont val="Calibri"/>
            <scheme val="minor"/>
          </rPr>
          <t>======
ID#AAABU0VI1A4
tc={0D455C87-10C6-4C7B-AFE4-B8847129332F}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 Hasandu Marble And Granite
TP- 0755185999 / 0763277228
Location- Galu Road , Ahungalla , Galle</t>
        </r>
      </text>
    </comment>
    <comment ref="U249" authorId="0" shapeId="0" xr:uid="{00000000-0006-0000-0000-0000D0010000}">
      <text>
        <r>
          <rPr>
            <sz val="11"/>
            <color rgb="FF000000"/>
            <rFont val="Calibri"/>
            <scheme val="minor"/>
          </rPr>
          <t>======
ID#AAABU0VI09Y
    (2024-08-29 06:55:09)
Seller- Sri Lankan Granite &amp; Marble
TP- 077 776 1808 
Location- 104 Old Kesbewa Rd, Nugegoda
	-Muditha Aruppola</t>
        </r>
      </text>
    </comment>
    <comment ref="W249" authorId="0" shapeId="0" xr:uid="{00000000-0006-0000-0000-000058000000}">
      <text>
        <r>
          <rPr>
            <sz val="11"/>
            <color rgb="FF000000"/>
            <rFont val="Calibri"/>
            <scheme val="minor"/>
          </rPr>
          <t>======
ID#AAABXKFOLAc
tc={ED4FEC63-FD12-4B0D-97B4-D76BCB60514D}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Sri Lankan Granite &amp; Marble
TP- 077 776 1808 
Location- 104 Old Kesbewa Rd, Nugegoda
	-Muditha Aruppola</t>
        </r>
      </text>
    </comment>
    <comment ref="V251" authorId="0" shapeId="0" xr:uid="{00000000-0006-0000-0000-000099000000}">
      <text>
        <r>
          <rPr>
            <sz val="11"/>
            <color rgb="FF000000"/>
            <rFont val="Calibri"/>
            <scheme val="minor"/>
          </rPr>
          <t>======
ID#AAABWUoO9hI
Muditha Aruppola    (2024-09-26 09:22:57)
Seller- Jayasiri Enterprises (Pvt) Ltd
TP- 0112 801 216</t>
        </r>
      </text>
    </comment>
    <comment ref="W251" authorId="0" shapeId="0" xr:uid="{00000000-0006-0000-0000-00005A000000}">
      <text>
        <r>
          <rPr>
            <sz val="11"/>
            <color rgb="FF000000"/>
            <rFont val="Calibri"/>
            <scheme val="minor"/>
          </rPr>
          <t>======
ID#AAABXKFOK_8
tc={786BE62F-DE35-40D3-BAD8-DB158AEFF2EA}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 Jayasiri Enterprises (Pvt) Ltd
TP- 0112 801 216</t>
        </r>
      </text>
    </comment>
    <comment ref="S252" authorId="0" shapeId="0" xr:uid="{00000000-0006-0000-0000-00003D010000}">
      <text>
        <r>
          <rPr>
            <sz val="11"/>
            <color rgb="FF000000"/>
            <rFont val="Calibri"/>
            <scheme val="minor"/>
          </rPr>
          <t>======
ID#AAABU0VI1G8
tc={474FCF9E-56EE-49E2-B972-4962B6AEDEA6}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T252" authorId="0" shapeId="0" xr:uid="{00000000-0006-0000-0000-0000BC020000}">
      <text>
        <r>
          <rPr>
            <sz val="11"/>
            <color rgb="FF000000"/>
            <rFont val="Calibri"/>
            <scheme val="minor"/>
          </rPr>
          <t>======
ID#AAABUz9wr6k
tc={E4D672F7-1A7D-4613-A402-BCB4B354C7D2}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U252" authorId="0" shapeId="0" xr:uid="{00000000-0006-0000-0000-000054010000}">
      <text>
        <r>
          <rPr>
            <sz val="11"/>
            <color rgb="FF000000"/>
            <rFont val="Calibri"/>
            <scheme val="minor"/>
          </rPr>
          <t>======
ID#AAABU0VI1Fc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V252" authorId="0" shapeId="0" xr:uid="{00000000-0006-0000-0000-000098000000}">
      <text>
        <r>
          <rPr>
            <sz val="11"/>
            <color rgb="FF000000"/>
            <rFont val="Calibri"/>
            <scheme val="minor"/>
          </rPr>
          <t>======
ID#AAABWUoO9hM
Muditha Aruppola    (2024-09-26 09:22:59)
Seller- Jayasiri Enterprises (Pvt) Ltd
TP- 0112 801 216</t>
        </r>
      </text>
    </comment>
    <comment ref="W252" authorId="0" shapeId="0" xr:uid="{00000000-0006-0000-0000-000059000000}">
      <text>
        <r>
          <rPr>
            <sz val="11"/>
            <color rgb="FF000000"/>
            <rFont val="Calibri"/>
            <scheme val="minor"/>
          </rPr>
          <t>======
ID#AAABXKFOLAA
tc={8DF3BE37-862B-4721-BA81-111882058034}    (2024-10-28 04:54:45)
[Threaded comment]
Your version of Excel allows you to read this threaded comment; however, any edits to it will get removed if the file is opened in a newer version of Excel. Learn more: https://go.microsoft.com/fwlink/?linkid=870924
Comment:
     Seller- Indika Hardware
TP- 0112 918 980 
Location- XW8G+HJW, Peliyagoda</t>
        </r>
      </text>
    </comment>
    <comment ref="Y252" authorId="0" shapeId="0" xr:uid="{00000000-0006-0000-0000-00000B000000}">
      <text>
        <r>
          <rPr>
            <sz val="11"/>
            <color rgb="FF000000"/>
            <rFont val="Calibri"/>
            <scheme val="minor"/>
          </rPr>
          <t>======
ID#AAABSlUTEwA
Muditha Aruppola    (2024-12-30 03:31:01)
Seller- Jayasiri Enterprises (Pvt) Ltd
TP- 0112 801 216</t>
        </r>
      </text>
    </comment>
    <comment ref="S253" authorId="0" shapeId="0" xr:uid="{00000000-0006-0000-0000-000060020000}">
      <text>
        <r>
          <rPr>
            <sz val="11"/>
            <color rgb="FF000000"/>
            <rFont val="Calibri"/>
            <scheme val="minor"/>
          </rPr>
          <t>======
ID#AAABUz9wsAs
tc={FADF68A0-5F6A-4503-BC8A-C033F7BB0D8D}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T253" authorId="0" shapeId="0" xr:uid="{00000000-0006-0000-0000-0000F7010000}">
      <text>
        <r>
          <rPr>
            <sz val="11"/>
            <color rgb="FF000000"/>
            <rFont val="Calibri"/>
            <scheme val="minor"/>
          </rPr>
          <t>======
ID#AAABU0VI060
tc={81CF5573-751C-4D96-8AB8-9C7DFAF2803D}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U253" authorId="0" shapeId="0" xr:uid="{00000000-0006-0000-0000-00003E020000}">
      <text>
        <r>
          <rPr>
            <sz val="11"/>
            <color rgb="FF000000"/>
            <rFont val="Calibri"/>
            <scheme val="minor"/>
          </rPr>
          <t>======
ID#AAABU0VI0KM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Indika Hardware
TP- 0112 918 980 
Location- XW8G+HJW, Peliyagoda</t>
        </r>
      </text>
    </comment>
    <comment ref="V253" authorId="0" shapeId="0" xr:uid="{00000000-0006-0000-0000-000097000000}">
      <text>
        <r>
          <rPr>
            <sz val="11"/>
            <color rgb="FF000000"/>
            <rFont val="Calibri"/>
            <scheme val="minor"/>
          </rPr>
          <t>======
ID#AAABWUoO9hQ
Muditha Aruppola    (2024-09-26 09:23:01)
Seller- Jayasiri Enterprises (Pvt) Ltd
TP- 0112 801 216</t>
        </r>
      </text>
    </comment>
    <comment ref="W253" authorId="0" shapeId="0" xr:uid="{00000000-0006-0000-0000-000063000000}">
      <text>
        <r>
          <rPr>
            <sz val="11"/>
            <color rgb="FF000000"/>
            <rFont val="Calibri"/>
            <scheme val="minor"/>
          </rPr>
          <t>======
ID#AAABXKFOK98
tc={430C05E8-2C8B-4F0D-8F2B-9FC51229670E}    (2024-10-28 04:54:45)
[Threaded comment]
Your version of Excel allows you to read this threaded comment; however, any edits to it will get removed if the file is opened in a newer version of Excel. Learn more: https://go.microsoft.com/fwlink/?linkid=870924
Comment:
     Seller- Indika Hardware
TP- 0112 918 980 
Location- XW8G+HJW, Peliyagoda</t>
        </r>
      </text>
    </comment>
    <comment ref="Y253" authorId="0" shapeId="0" xr:uid="{00000000-0006-0000-0000-00000A000000}">
      <text>
        <r>
          <rPr>
            <sz val="11"/>
            <color rgb="FF000000"/>
            <rFont val="Calibri"/>
            <scheme val="minor"/>
          </rPr>
          <t>======
ID#AAABSlUTEwE
Muditha Aruppola    (2024-12-30 03:31:28)
Seller- Jayasiri Enterprises (Pvt) Ltd
TP- 0112 801 216</t>
        </r>
      </text>
    </comment>
    <comment ref="T281" authorId="0" shapeId="0" xr:uid="{00000000-0006-0000-0000-00003E010000}">
      <text>
        <r>
          <rPr>
            <sz val="11"/>
            <color rgb="FF000000"/>
            <rFont val="Calibri"/>
            <scheme val="minor"/>
          </rPr>
          <t>======
ID#AAABU0VI1G4
tc={ED7145AD-6D36-4830-BBDF-27D9E9C1AC28}    (2024-08-29 06:55:10)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281" authorId="0" shapeId="0" xr:uid="{00000000-0006-0000-0000-00009F010000}">
      <text>
        <r>
          <rPr>
            <sz val="11"/>
            <color rgb="FF000000"/>
            <rFont val="Calibri"/>
            <scheme val="minor"/>
          </rPr>
          <t>======
ID#AAABU0VI1Ac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W281" authorId="0" shapeId="0" xr:uid="{00000000-0006-0000-0000-000056000000}">
      <text>
        <r>
          <rPr>
            <sz val="11"/>
            <color rgb="FF000000"/>
            <rFont val="Calibri"/>
            <scheme val="minor"/>
          </rPr>
          <t>======
ID#AAABXKFOLA8
tc={6F53A71F-8CC1-41CA-B205-27BA3BD2ED8F}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Palliyaguru Hardware
TP- 0112 545 451 
Location- RWV7+78Q, Dehiwala Rd, Boralesgamuwa</t>
        </r>
      </text>
    </comment>
    <comment ref="T282" authorId="0" shapeId="0" xr:uid="{00000000-0006-0000-0000-0000A3010000}">
      <text>
        <r>
          <rPr>
            <sz val="11"/>
            <color rgb="FF000000"/>
            <rFont val="Calibri"/>
            <scheme val="minor"/>
          </rPr>
          <t>======
ID#AAABU0VI1AM
tc={4CB28AD0-7C58-4C23-83BA-76F9EC487322}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282" authorId="0" shapeId="0" xr:uid="{00000000-0006-0000-0000-00007C020000}">
      <text>
        <r>
          <rPr>
            <sz val="11"/>
            <color rgb="FF000000"/>
            <rFont val="Calibri"/>
            <scheme val="minor"/>
          </rPr>
          <t>======
ID#AAABUz9wr-4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W282" authorId="0" shapeId="0" xr:uid="{00000000-0006-0000-0000-00006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ID#AAABXKFOK94
</t>
        </r>
        <r>
          <rPr>
            <sz val="11"/>
            <color rgb="FF000000"/>
            <rFont val="Calibri"/>
            <family val="2"/>
          </rPr>
          <t xml:space="preserve">tc={8E57652F-E56F-4943-895C-69F4010DB054}    (2024-10-28 04:54:45)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Seller- Palliyaguru Hardware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TP- 0112 545 451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Location- RWV7+78Q, Dehiwala Rd, Boralesgamuwa</t>
        </r>
      </text>
    </comment>
    <comment ref="T283" authorId="0" shapeId="0" xr:uid="{00000000-0006-0000-0000-0000C8010000}">
      <text>
        <r>
          <rPr>
            <sz val="11"/>
            <color rgb="FF000000"/>
            <rFont val="Calibri"/>
            <scheme val="minor"/>
          </rPr>
          <t>======
ID#AAABU0VI094
tc={CC1F584D-556C-407B-9CEB-3F85808167CF}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283" authorId="0" shapeId="0" xr:uid="{00000000-0006-0000-0000-000043020000}">
      <text>
        <r>
          <rPr>
            <sz val="11"/>
            <color rgb="FF000000"/>
            <rFont val="Calibri"/>
            <scheme val="minor"/>
          </rPr>
          <t>======
ID#AAABU0VI0Jw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W283" authorId="0" shapeId="0" xr:uid="{00000000-0006-0000-0000-000070000000}">
      <text>
        <r>
          <rPr>
            <sz val="11"/>
            <color rgb="FF000000"/>
            <rFont val="Calibri"/>
            <scheme val="minor"/>
          </rPr>
          <t>======
ID#AAABXKEqTcw
tc={01216B53-5367-479D-873F-3BBE0E8E3F8D}    (2024-10-28 04:54:44)
[Threaded comment]
Your version of Excel allows you to read this threaded comment; however, any edits to it will get removed if the file is opened in a newer version of Excel. Learn more: https://go.microsoft.com/fwlink/?linkid=870924
Comment:
    Seller- Palliyaguru Hardware
TP- 0112 545 451 
Location- RWV7+78Q, Dehiwala Rd, Boralesgamuwa</t>
        </r>
      </text>
    </comment>
    <comment ref="T285" authorId="0" shapeId="0" xr:uid="{00000000-0006-0000-0000-000086020000}">
      <text>
        <r>
          <rPr>
            <sz val="11"/>
            <color rgb="FF000000"/>
            <rFont val="Calibri"/>
            <scheme val="minor"/>
          </rPr>
          <t>======
ID#AAABUz9wr-Q
tc={30C210E2-7E69-4F7F-848F-64A60220F57D}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5" authorId="0" shapeId="0" xr:uid="{00000000-0006-0000-0000-00005F010000}">
      <text>
        <r>
          <rPr>
            <sz val="11"/>
            <color rgb="FF000000"/>
            <rFont val="Calibri"/>
            <scheme val="minor"/>
          </rPr>
          <t>======
ID#AAABU0VI1Es
    (2024-08-29 06:55:09)
Seller- FM hardware
TP- 0713819085, 0766390690 
Location- 321, Bollegala, Gonawala
	-Muditha Aruppola</t>
        </r>
      </text>
    </comment>
    <comment ref="V285" authorId="0" shapeId="0" xr:uid="{00000000-0006-0000-0000-000085000000}">
      <text>
        <r>
          <rPr>
            <sz val="11"/>
            <color rgb="FF000000"/>
            <rFont val="Calibri"/>
            <scheme val="minor"/>
          </rPr>
          <t>======
ID#AAABWBHlOMg
Muditha Aruppola    (2024-09-29 06:08:26)
Seller- FM hardware
TP- 0713819085, 0766390690
Location- 321, Bollegala, Gonawala</t>
        </r>
      </text>
    </comment>
    <comment ref="W285" authorId="0" shapeId="0" xr:uid="{00000000-0006-0000-0000-000086000000}">
      <text>
        <r>
          <rPr>
            <sz val="11"/>
            <color rgb="FF000000"/>
            <rFont val="Calibri"/>
            <scheme val="minor"/>
          </rPr>
          <t>======
ID#AAABXKFOK-A
Muditha Aruppola    (2024-09-29 06:08:26)
Seller- FM hardware
TP- 0713819085, 0766390690
Location- 321, Bollegala, Gonawala</t>
        </r>
      </text>
    </comment>
    <comment ref="T286" authorId="0" shapeId="0" xr:uid="{00000000-0006-0000-0000-00005E020000}">
      <text>
        <r>
          <rPr>
            <sz val="11"/>
            <color rgb="FF000000"/>
            <rFont val="Calibri"/>
            <scheme val="minor"/>
          </rPr>
          <t>======
ID#AAABUz9wsA4
tc={ECEBC1A5-0172-459B-9675-EF671FE62198}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6" authorId="0" shapeId="0" xr:uid="{00000000-0006-0000-0000-0000B7010000}">
      <text>
        <r>
          <rPr>
            <sz val="11"/>
            <color rgb="FF000000"/>
            <rFont val="Calibri"/>
            <scheme val="minor"/>
          </rPr>
          <t>======
ID#AAABU0VI0-8
    (2024-08-29 06:55:09)
Seller- FM hardware
TP- 0713819085, 0766390690 
Location- 321, Bollegala, Gonawala
	-Muditha Aruppola</t>
        </r>
      </text>
    </comment>
    <comment ref="V286" authorId="0" shapeId="0" xr:uid="{00000000-0006-0000-0000-000083000000}">
      <text>
        <r>
          <rPr>
            <sz val="11"/>
            <color rgb="FF000000"/>
            <rFont val="Calibri"/>
            <scheme val="minor"/>
          </rPr>
          <t>======
ID#AAABWBHlOMk
Muditha Aruppola    (2024-09-29 06:08:29)
Seller- FM hardware
TP- 0713819085, 0766390690
Location- 321, Bollegala, Gonawala</t>
        </r>
      </text>
    </comment>
    <comment ref="W286" authorId="0" shapeId="0" xr:uid="{00000000-0006-0000-0000-000084000000}">
      <text>
        <r>
          <rPr>
            <sz val="11"/>
            <color rgb="FF000000"/>
            <rFont val="Calibri"/>
            <scheme val="minor"/>
          </rPr>
          <t>======
ID#AAABXKEqTdI
Muditha Aruppola    (2024-09-29 06:08:29)
Seller- FM hardware
TP- 0713819085, 0766390690
Location- 321, Bollegala, Gonawala</t>
        </r>
      </text>
    </comment>
    <comment ref="T287" authorId="0" shapeId="0" xr:uid="{00000000-0006-0000-0000-0000DC020000}">
      <text>
        <r>
          <rPr>
            <sz val="11"/>
            <color rgb="FF000000"/>
            <rFont val="Calibri"/>
            <scheme val="minor"/>
          </rPr>
          <t>======
ID#AAABUz9wr4g
tc={26313A60-7409-4EEE-AFEB-22BA06AE69DA}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7" authorId="0" shapeId="0" xr:uid="{00000000-0006-0000-0000-0000B3020000}">
      <text>
        <r>
          <rPr>
            <sz val="11"/>
            <color rgb="FF000000"/>
            <rFont val="Calibri"/>
            <scheme val="minor"/>
          </rPr>
          <t>======
ID#AAABUz9wr7Q
    (2024-08-29 06:55:09)
Seller- FM hardware
TP- 0713819085, 0766390690 
Location- 321, Bollegala, Gonawala
	-Muditha Aruppola</t>
        </r>
      </text>
    </comment>
    <comment ref="V287" authorId="0" shapeId="0" xr:uid="{00000000-0006-0000-0000-000081000000}">
      <text>
        <r>
          <rPr>
            <sz val="11"/>
            <color rgb="FF000000"/>
            <rFont val="Calibri"/>
            <scheme val="minor"/>
          </rPr>
          <t>======
ID#AAABWBHlOMo
Muditha Aruppola    (2024-09-29 06:08:32)
Seller- FM hardware
TP- 0713819085, 0766390690
Location- 321, Bollegala, Gonawala</t>
        </r>
      </text>
    </comment>
    <comment ref="W287" authorId="0" shapeId="0" xr:uid="{00000000-0006-0000-0000-000082000000}">
      <text>
        <r>
          <rPr>
            <sz val="11"/>
            <color rgb="FF000000"/>
            <rFont val="Calibri"/>
            <scheme val="minor"/>
          </rPr>
          <t>======
ID#AAABXKFOLBA
Muditha Aruppola    (2024-09-29 06:08:32)
Seller- FM hardware
TP- 0713819085, 0766390690
Location- 321, Bollegala, Gonawala</t>
        </r>
      </text>
    </comment>
    <comment ref="T288" authorId="0" shapeId="0" xr:uid="{00000000-0006-0000-0000-0000A0020000}">
      <text>
        <r>
          <rPr>
            <sz val="11"/>
            <color rgb="FF000000"/>
            <rFont val="Calibri"/>
            <scheme val="minor"/>
          </rPr>
          <t>======
ID#AAABUz9wr8g
tc={68180F86-46F2-43E5-81B7-6C75AAB62C8E}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8" authorId="0" shapeId="0" xr:uid="{00000000-0006-0000-0000-000099020000}">
      <text>
        <r>
          <rPr>
            <sz val="11"/>
            <color rgb="FF000000"/>
            <rFont val="Calibri"/>
            <scheme val="minor"/>
          </rPr>
          <t>======
ID#AAABUz9wr88
    (2024-08-29 06:55:09)
Seller- FM hardware
TP- 0713819085, 0766390690 
Location- 321, Bollegala, Gonawala
	-Muditha Aruppola</t>
        </r>
      </text>
    </comment>
    <comment ref="V288" authorId="0" shapeId="0" xr:uid="{00000000-0006-0000-0000-00007F000000}">
      <text>
        <r>
          <rPr>
            <sz val="11"/>
            <color rgb="FF000000"/>
            <rFont val="Calibri"/>
            <scheme val="minor"/>
          </rPr>
          <t>======
ID#AAABWBHlOMs
Muditha Aruppola    (2024-09-29 06:08:35)
Seller- FM hardware
TP- 0713819085, 0766390690
Location- 321, Bollegala, Gonawala</t>
        </r>
      </text>
    </comment>
    <comment ref="W288" authorId="0" shapeId="0" xr:uid="{00000000-0006-0000-0000-000080000000}">
      <text>
        <r>
          <rPr>
            <sz val="11"/>
            <color rgb="FF000000"/>
            <rFont val="Calibri"/>
            <scheme val="minor"/>
          </rPr>
          <t>======
ID#AAABXKFOK9E
Muditha Aruppola    (2024-09-29 06:08:35)
Seller- FM hardware
TP- 0713819085, 0766390690
Location- 321, Bollegala, Gonawala</t>
        </r>
      </text>
    </comment>
    <comment ref="T290" authorId="0" shapeId="0" xr:uid="{00000000-0006-0000-0000-000050020000}">
      <text>
        <r>
          <rPr>
            <sz val="11"/>
            <color rgb="FF000000"/>
            <rFont val="Calibri"/>
            <scheme val="minor"/>
          </rPr>
          <t>======
ID#AAABU0VI0I4
tc={D2719464-EF50-4C8E-A611-3830DF636270}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290" authorId="0" shapeId="0" xr:uid="{00000000-0006-0000-0000-0000A3020000}">
      <text>
        <r>
          <rPr>
            <sz val="11"/>
            <color rgb="FF000000"/>
            <rFont val="Calibri"/>
            <scheme val="minor"/>
          </rPr>
          <t>======
ID#AAABUz9wr8U
tc={2459D672-8CE7-4D36-A0D0-C5411A41041B}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W290" authorId="0" shapeId="0" xr:uid="{00000000-0006-0000-0000-000057000000}">
      <text>
        <r>
          <rPr>
            <sz val="11"/>
            <color rgb="FF000000"/>
            <rFont val="Calibri"/>
            <scheme val="minor"/>
          </rPr>
          <t>======
ID#AAABXKFOLAw
tc={1DF26E95-D48F-4484-8BA4-6EAD26272A0A}    (2024-10-28 04:54:45)
[Threaded comment]
Your version of Excel allows you to read this threaded comment; however, any edits to it will get removed if the file is opened in a newer version of Excel. Learn more: https://go.microsoft.com/fwlink/?linkid=870924
Comment:
    Seller- Palliyaguru Hardware
TP- 0112 545 451 
Location- RWV7+78Q, Dehiwala Rd, Boralesgamuwa</t>
        </r>
      </text>
    </comment>
    <comment ref="S291" authorId="0" shapeId="0" xr:uid="{00000000-0006-0000-0000-000080010000}">
      <text>
        <r>
          <rPr>
            <sz val="11"/>
            <color rgb="FF000000"/>
            <rFont val="Calibri"/>
            <scheme val="minor"/>
          </rPr>
          <t>======
ID#AAABU0VI1Ck
tc={8B6904F5-2177-4D69-BC12-77D3476F4336}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291" authorId="0" shapeId="0" xr:uid="{00000000-0006-0000-0000-000084010000}">
      <text>
        <r>
          <rPr>
            <sz val="11"/>
            <color rgb="FF000000"/>
            <rFont val="Calibri"/>
            <scheme val="minor"/>
          </rPr>
          <t>======
ID#AAABU0VI1CQ
tc={D33D8018-550A-4E4C-B527-C6C1DE8368D3}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91" authorId="0" shapeId="0" xr:uid="{00000000-0006-0000-0000-0000E0020000}">
      <text>
        <r>
          <rPr>
            <sz val="11"/>
            <color rgb="FF000000"/>
            <rFont val="Calibri"/>
            <scheme val="minor"/>
          </rPr>
          <t>======
ID#AAABUz9wr4Q
tc={E928F17F-22C6-4FA4-9F60-ECA15340AAFD}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S292" authorId="0" shapeId="0" xr:uid="{00000000-0006-0000-0000-0000CD020000}">
      <text>
        <r>
          <rPr>
            <sz val="11"/>
            <color rgb="FF000000"/>
            <rFont val="Calibri"/>
            <scheme val="minor"/>
          </rPr>
          <t>======
ID#AAABUz9wr5g
tc={21718C4D-BFC3-4BD1-9DF2-58BDDEE56963}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T292" authorId="0" shapeId="0" xr:uid="{00000000-0006-0000-0000-000052020000}">
      <text>
        <r>
          <rPr>
            <sz val="11"/>
            <color rgb="FF000000"/>
            <rFont val="Calibri"/>
            <scheme val="minor"/>
          </rPr>
          <t>======
ID#AAABU0VI0Iw
tc={7C2087FB-D304-4861-8DE1-1EA63AB2177B}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U292" authorId="0" shapeId="0" xr:uid="{00000000-0006-0000-0000-00001A020000}">
      <text>
        <r>
          <rPr>
            <sz val="11"/>
            <color rgb="FF000000"/>
            <rFont val="Calibri"/>
            <scheme val="minor"/>
          </rPr>
          <t>======
ID#AAABU0VI0Mg
tc={0D0D2052-F471-4336-B0B2-C77CD868F688}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Seller-S A hardware
TP- 0777849722
Location- Dehiwala</t>
        </r>
      </text>
    </comment>
    <comment ref="S293" authorId="0" shapeId="0" xr:uid="{00000000-0006-0000-0000-000029020000}">
      <text>
        <r>
          <rPr>
            <sz val="11"/>
            <color rgb="FF000000"/>
            <rFont val="Calibri"/>
            <scheme val="minor"/>
          </rPr>
          <t>======
ID#AAABU0VI0Lk
tc={8AC7F675-00C4-4D33-8E08-F6979BFC344C}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T293" authorId="0" shapeId="0" xr:uid="{00000000-0006-0000-0000-00008D010000}">
      <text>
        <r>
          <rPr>
            <sz val="11"/>
            <color rgb="FF000000"/>
            <rFont val="Calibri"/>
            <scheme val="minor"/>
          </rPr>
          <t>======
ID#AAABU0VI1Bo
tc={94C1CF49-3134-4770-A2FA-6E435867E0CD}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U293" authorId="0" shapeId="0" xr:uid="{00000000-0006-0000-0000-0000D1020000}">
      <text>
        <r>
          <rPr>
            <sz val="11"/>
            <color rgb="FF000000"/>
            <rFont val="Calibri"/>
            <scheme val="minor"/>
          </rPr>
          <t>======
ID#AAABUz9wr5Q
tc={6909A61A-70DB-4D9F-B4E0-FD85DE313272}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U.B Perera &amp; Company
TP- 0112 913 928 
Location- 159/3 Kandy - Colombo Rd, Kiribathgoda 11600</t>
        </r>
      </text>
    </comment>
    <comment ref="S323" authorId="0" shapeId="0" xr:uid="{00000000-0006-0000-0000-0000EB010000}">
      <text>
        <r>
          <rPr>
            <sz val="11"/>
            <color rgb="FF000000"/>
            <rFont val="Calibri"/>
            <scheme val="minor"/>
          </rPr>
          <t>======
ID#AAABU0VI07o
tc={5A01EC41-D172-474E-98C5-D334CDD6B384}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SAMAN HARDWARE
TP- 0112 837 586 
Location- 15 Neelammahara Road, Maharagama 10280</t>
        </r>
      </text>
    </comment>
    <comment ref="T323" authorId="0" shapeId="0" xr:uid="{00000000-0006-0000-0000-00005C010000}">
      <text>
        <r>
          <rPr>
            <sz val="11"/>
            <color rgb="FF000000"/>
            <rFont val="Calibri"/>
            <scheme val="minor"/>
          </rPr>
          <t>======
ID#AAABU0VI1E4
tc={FCD87DAE-755E-4A5E-A0B0-E629F3AE356A}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SAMAN HARDWARE
TP- 0112 837 586 
Location- 15 Neelammahara Road, Maharagama 10280</t>
        </r>
      </text>
    </comment>
    <comment ref="U323" authorId="0" shapeId="0" xr:uid="{00000000-0006-0000-0000-0000ED010000}">
      <text>
        <r>
          <rPr>
            <sz val="11"/>
            <color rgb="FF000000"/>
            <rFont val="Calibri"/>
            <scheme val="minor"/>
          </rPr>
          <t>======
ID#AAABU0VI07g
    (2024-08-29 06:55:09)
Seller- High Level Aluminium (Pvt) Ltd
TP- 0112 746 518
Location- 350 Avissawella Rd, Pannipitiya 10230
	-Muditha Aruppola</t>
        </r>
      </text>
    </comment>
    <comment ref="S324" authorId="0" shapeId="0" xr:uid="{00000000-0006-0000-0000-000088020000}">
      <text>
        <r>
          <rPr>
            <sz val="11"/>
            <color rgb="FF000000"/>
            <rFont val="Calibri"/>
            <scheme val="minor"/>
          </rPr>
          <t>======
ID#AAABUz9wr-I
tc={8508FE14-768C-4A76-95CB-4C16EC06CA3B}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SAMAN HARDWARE
TP- 0112 837 586 
Location- 15 Neelammahara Road, Maharagama 10280</t>
        </r>
      </text>
    </comment>
    <comment ref="T324" authorId="0" shapeId="0" xr:uid="{00000000-0006-0000-0000-0000D6020000}">
      <text>
        <r>
          <rPr>
            <sz val="11"/>
            <color rgb="FF000000"/>
            <rFont val="Calibri"/>
            <scheme val="minor"/>
          </rPr>
          <t>======
ID#AAABUz9wr48
tc={FC7A327F-F1B8-4DEC-81A3-987FC9EE79C6}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SAMAN HARDWARE
TP- 0112 837 586 
Location- 15 Neelammahara Road, Maharagama 10280</t>
        </r>
      </text>
    </comment>
    <comment ref="U324" authorId="0" shapeId="0" xr:uid="{00000000-0006-0000-0000-000052010000}">
      <text>
        <r>
          <rPr>
            <sz val="11"/>
            <color rgb="FF000000"/>
            <rFont val="Calibri"/>
            <scheme val="minor"/>
          </rPr>
          <t>======
ID#AAABU0VI1Fk
    (2024-08-29 06:55:09)
Seller- High Level Aluminium (Pvt) Ltd
TP- 0112 746 518
Location- 350 Avissawella Rd, Pannipitiya 10230
	-Muditha Aruppola</t>
        </r>
      </text>
    </comment>
    <comment ref="S325" authorId="0" shapeId="0" xr:uid="{00000000-0006-0000-0000-0000D8020000}">
      <text>
        <r>
          <rPr>
            <sz val="11"/>
            <color rgb="FF000000"/>
            <rFont val="Calibri"/>
            <scheme val="minor"/>
          </rPr>
          <t>======
ID#AAABUz9wr40
tc={E12A0AD8-EF07-405E-9B3E-44A4FE464EDE}    (2024-08-29 06:55:08)
[Threaded comment]
Your version of Excel allows you to read this threaded comment; however, any edits to it will get removed if the file is opened in a newer version of Excel. Learn more: https://go.microsoft.com/fwlink/?linkid=870924
Comment:
    Seller- SAMAN HARDWARE
TP- 0112 837 586 
Location- 15 Neelammahara Road, Maharagama 10280</t>
        </r>
      </text>
    </comment>
    <comment ref="T325" authorId="0" shapeId="0" xr:uid="{00000000-0006-0000-0000-00006E020000}">
      <text>
        <r>
          <rPr>
            <sz val="11"/>
            <color rgb="FF000000"/>
            <rFont val="Calibri"/>
            <scheme val="minor"/>
          </rPr>
          <t>======
ID#AAABUz9wr_0
tc={78104571-F387-476B-8A7E-38EDB8176273}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SAMAN HARDWARE
TP- 0112 837 586 
Location- 15 Neelammahara Road, Maharagama 10280</t>
        </r>
      </text>
    </comment>
    <comment ref="U325" authorId="0" shapeId="0" xr:uid="{00000000-0006-0000-0000-000069010000}">
      <text>
        <r>
          <rPr>
            <sz val="11"/>
            <color rgb="FF000000"/>
            <rFont val="Calibri"/>
            <scheme val="minor"/>
          </rPr>
          <t>======
ID#AAABU0VI1EE
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High Level Aluminium (Pvt) Ltd
TP- 0112 746 518
Location- 350 Avissawella Rd, Pannipitiya 10230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0Z6rv/MqfeCmnmjR71xO7ozUL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280" authorId="0" shapeId="0" xr:uid="{00000000-0006-0000-0400-000006000000}">
      <text>
        <r>
          <rPr>
            <sz val="11"/>
            <color rgb="FF000000"/>
            <rFont val="Calibri"/>
            <scheme val="minor"/>
          </rPr>
          <t>======
ID#AAABUz9wr-8
tc={E797936F-93F1-4742-99BC-ED06D63FBF35}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0" authorId="0" shapeId="0" xr:uid="{00000000-0006-0000-0400-00000A000000}">
      <text>
        <r>
          <rPr>
            <sz val="11"/>
            <color rgb="FF000000"/>
            <rFont val="Calibri"/>
            <scheme val="minor"/>
          </rPr>
          <t>======
ID#AAABUz9wr6w
tc={B03343F7-C450-45AA-81C4-8AAD3A9A9412}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T281" authorId="0" shapeId="0" xr:uid="{00000000-0006-0000-0400-000005000000}">
      <text>
        <r>
          <rPr>
            <sz val="11"/>
            <color rgb="FF000000"/>
            <rFont val="Calibri"/>
            <scheme val="minor"/>
          </rPr>
          <t>======
ID#AAABU0VI1A0
tc={63FAA65F-C3CC-4888-8A38-5CD137713732}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1" authorId="0" shapeId="0" xr:uid="{00000000-0006-0000-0400-000008000000}">
      <text>
        <r>
          <rPr>
            <sz val="11"/>
            <color rgb="FF000000"/>
            <rFont val="Calibri"/>
            <scheme val="minor"/>
          </rPr>
          <t>======
ID#AAABUz9wr78
tc={F3ACE344-5C64-4372-8D31-24537604F89A}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T282" authorId="0" shapeId="0" xr:uid="{00000000-0006-0000-0400-000009000000}">
      <text>
        <r>
          <rPr>
            <sz val="11"/>
            <color rgb="FF000000"/>
            <rFont val="Calibri"/>
            <scheme val="minor"/>
          </rPr>
          <t>======
ID#AAABUz9wr7E
tc={0EB1B6F0-9295-408A-87D8-D38BAEC95C41}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2" authorId="0" shapeId="0" xr:uid="{00000000-0006-0000-0400-000004000000}">
      <text>
        <r>
          <rPr>
            <sz val="11"/>
            <color rgb="FF000000"/>
            <rFont val="Calibri"/>
            <scheme val="minor"/>
          </rPr>
          <t>======
ID#AAABU0VI1CI
tc={43241A81-4DA0-46EC-BEB6-A652C26F8DA8}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T283" authorId="0" shapeId="0" xr:uid="{00000000-0006-0000-0400-000003000000}">
      <text>
        <r>
          <rPr>
            <sz val="11"/>
            <color rgb="FF000000"/>
            <rFont val="Calibri"/>
            <scheme val="minor"/>
          </rPr>
          <t>======
ID#AAABU0VI1CU
tc={8047FF0A-716C-4051-B8F8-61D233B4A5D8}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U283" authorId="0" shapeId="0" xr:uid="{00000000-0006-0000-0400-000007000000}">
      <text>
        <r>
          <rPr>
            <sz val="11"/>
            <color rgb="FF000000"/>
            <rFont val="Calibri"/>
            <scheme val="minor"/>
          </rPr>
          <t>======
ID#AAABUz9wr9E
tc={585A0B04-9A66-46E1-849A-21DAA966E4A5}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FM hardware
TP- 0713819085, 0766390690 
Location- 321, Bollegala, Gonawala</t>
        </r>
      </text>
    </comment>
    <comment ref="T284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ID#AAABU0VI1Fo
tc={BDDF8934-56BE-414F-BC87-07D39D1CB98D}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Nishantas glass warehouse
TP- 0112 909888
Location- Old kandy road, Dalugama</t>
        </r>
      </text>
    </comment>
    <comment ref="U284" authorId="0" shapeId="0" xr:uid="{00000000-0006-0000-0400-000002000000}">
      <text>
        <r>
          <rPr>
            <sz val="11"/>
            <color rgb="FF000000"/>
            <rFont val="Calibri"/>
            <scheme val="minor"/>
          </rPr>
          <t>======
ID#AAABU0VI1FU
tc={4921997F-3227-4909-8DFA-8C098A9466D5}    (2024-08-29 06:55:09)
[Threaded comment]
Your version of Excel allows you to read this threaded comment; however, any edits to it will get removed if the file is opened in a newer version of Excel. Learn more: https://go.microsoft.com/fwlink/?linkid=870924
Comment:
    Seller- Nishantas glass warehouse
TP- 0112 909888
Location- Old kandy road, Dalugama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dJzv0ZdOdUm3Q6RCbGyi3qsk4A=="/>
    </ext>
  </extLst>
</comments>
</file>

<file path=xl/sharedStrings.xml><?xml version="1.0" encoding="utf-8"?>
<sst xmlns="http://schemas.openxmlformats.org/spreadsheetml/2006/main" count="5758" uniqueCount="1446">
  <si>
    <t>Materials Prices Fluctuation Analysis 2025 (Excluding VAT &amp; including SSCL)</t>
  </si>
  <si>
    <t>Nr</t>
  </si>
  <si>
    <t>Materials list</t>
  </si>
  <si>
    <t>QTY</t>
  </si>
  <si>
    <t>Unit</t>
  </si>
  <si>
    <t>Average price in 2022</t>
  </si>
  <si>
    <t xml:space="preserve">Source </t>
  </si>
  <si>
    <t xml:space="preserve">RAW MATERIAL </t>
  </si>
  <si>
    <t>1</t>
  </si>
  <si>
    <t>Soil (1 cube lorry)</t>
  </si>
  <si>
    <t>cube</t>
  </si>
  <si>
    <t>2</t>
  </si>
  <si>
    <t>Soil (3.25 cube lorry)</t>
  </si>
  <si>
    <t>3</t>
  </si>
  <si>
    <t>Red soil (1 cube lorry)</t>
  </si>
  <si>
    <t>4</t>
  </si>
  <si>
    <t>Red soil (3.25 cube lorry)</t>
  </si>
  <si>
    <t>`</t>
  </si>
  <si>
    <t>5</t>
  </si>
  <si>
    <t>Quarry Dust</t>
  </si>
  <si>
    <t>6</t>
  </si>
  <si>
    <t>Cement-Local</t>
  </si>
  <si>
    <t>50kg bag</t>
  </si>
  <si>
    <t xml:space="preserve">Sanstha </t>
  </si>
  <si>
    <t>7</t>
  </si>
  <si>
    <t>Cement Bulk</t>
  </si>
  <si>
    <t>t</t>
  </si>
  <si>
    <t>8</t>
  </si>
  <si>
    <t xml:space="preserve">White Cement </t>
  </si>
  <si>
    <t>kg</t>
  </si>
  <si>
    <t>9</t>
  </si>
  <si>
    <t>Black Cement (Holland)</t>
  </si>
  <si>
    <t>10</t>
  </si>
  <si>
    <t xml:space="preserve">Rubble (6''-9'' size) </t>
  </si>
  <si>
    <t>88/4.2</t>
  </si>
  <si>
    <t>11</t>
  </si>
  <si>
    <t xml:space="preserve">Sand- river sand </t>
  </si>
  <si>
    <t>12</t>
  </si>
  <si>
    <t xml:space="preserve">Sand- Sea sand (Washed) </t>
  </si>
  <si>
    <t>sand</t>
  </si>
  <si>
    <t>13</t>
  </si>
  <si>
    <t xml:space="preserve">Metal -20mm size </t>
  </si>
  <si>
    <t>Metal -25mm size (Including …..km transport)</t>
  </si>
  <si>
    <t>m³</t>
  </si>
  <si>
    <t>N/A</t>
  </si>
  <si>
    <t>CONCTRETE</t>
  </si>
  <si>
    <t>Ready mixed concrete-grade 15</t>
  </si>
  <si>
    <t>Ready mixed concrete-grade 20</t>
  </si>
  <si>
    <t>Ready mixed concrete-grade 25</t>
  </si>
  <si>
    <t>Ready mixed concrete-grade 30</t>
  </si>
  <si>
    <t>BRICK &amp; BLOCK</t>
  </si>
  <si>
    <t>Bricks- (215x95x50) (Engineered brick)</t>
  </si>
  <si>
    <t>nr</t>
  </si>
  <si>
    <t>Bricks- Moda gadol(big brick)</t>
  </si>
  <si>
    <t>Cement Blocks hollow -400x200x100mm</t>
  </si>
  <si>
    <t>SMS</t>
  </si>
  <si>
    <t>Cement Blocks hollow -400x200x150mm</t>
  </si>
  <si>
    <t>Cement Blocks hollow -400x200x200mm</t>
  </si>
  <si>
    <t>Cement Blocks solid -400x200x100mm</t>
  </si>
  <si>
    <t xml:space="preserve">Cement Blocks solid -400x200x150mm </t>
  </si>
  <si>
    <t>Cement Blocks solid -400x200x200mm</t>
  </si>
  <si>
    <t>Lightweight concrete Blocks (Grade A) -600x200x100mm</t>
  </si>
  <si>
    <t>AAC Lanka</t>
  </si>
  <si>
    <t>Lightweight concrete Blocks (Grade A) -600x200x150mm</t>
  </si>
  <si>
    <t>Lightweight concrete Blocks (Grade A)  -600x200x200mm</t>
  </si>
  <si>
    <t>Lightweight concrete Blocks (Grade B) -600x200x100mm</t>
  </si>
  <si>
    <t>Lightweight concrete Blocks (Grade B) -600x200x150mm</t>
  </si>
  <si>
    <t>14</t>
  </si>
  <si>
    <r>
      <rPr>
        <sz val="12"/>
        <color theme="1"/>
        <rFont val="Times New Roman"/>
      </rPr>
      <t>80mm thick Paving Blocks - UNI III - Natural Colour - 40N/mm</t>
    </r>
    <r>
      <rPr>
        <vertAlign val="super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</t>
    </r>
  </si>
  <si>
    <t>m2</t>
  </si>
  <si>
    <t xml:space="preserve">Rates has not changed. </t>
  </si>
  <si>
    <t>15</t>
  </si>
  <si>
    <r>
      <rPr>
        <sz val="12"/>
        <color theme="1"/>
        <rFont val="Times New Roman"/>
      </rPr>
      <t>80mm thick Paving Blocks - UNI III - Natural Colour - 30N/mm</t>
    </r>
    <r>
      <rPr>
        <vertAlign val="superscript"/>
        <sz val="11"/>
        <color theme="1"/>
        <rFont val="Times New Roman"/>
      </rPr>
      <t xml:space="preserve">2 </t>
    </r>
  </si>
  <si>
    <t>16</t>
  </si>
  <si>
    <r>
      <rPr>
        <sz val="12"/>
        <color theme="1"/>
        <rFont val="Times New Roman"/>
      </rPr>
      <t>80mm thick Paving Blocks - UNI II - Natural Colour - 25N/mm</t>
    </r>
    <r>
      <rPr>
        <sz val="11"/>
        <color theme="1"/>
        <rFont val="Times New Roman"/>
      </rPr>
      <t>2</t>
    </r>
  </si>
  <si>
    <t>TIMBER &amp; FORMWORK</t>
  </si>
  <si>
    <t>FORMWORK</t>
  </si>
  <si>
    <t xml:space="preserve">Formwork Timber-Class 3 timber  (25x50mm size) - One time use </t>
  </si>
  <si>
    <t>lft</t>
  </si>
  <si>
    <t xml:space="preserve">Formwork Timber-Class 3 timber  (25x50mm size) - Two time use </t>
  </si>
  <si>
    <t xml:space="preserve">Formwork Timber-Class 3 timber  (25x50mm size) - Three time use </t>
  </si>
  <si>
    <t xml:space="preserve">Formwork Timber-Class 3 timber  (50x50mm size) - One time use </t>
  </si>
  <si>
    <t>Formwork Timber-Class 3 timber  (50x50mm size)  - two time use</t>
  </si>
  <si>
    <t xml:space="preserve">Formwork Timber-Class 3 timber  (50x50mm size) - Three time use </t>
  </si>
  <si>
    <t xml:space="preserve">Formwork Timber-Class 3 timber  (50x100mm size) - one time use </t>
  </si>
  <si>
    <t xml:space="preserve">Formwork Timber-Class 3 timber  (50x100mm size) - Two time use </t>
  </si>
  <si>
    <t xml:space="preserve">Formwork Timber-Class 3 timber  (50x100mm size) - three time use </t>
  </si>
  <si>
    <t>0717713487-chathuranga</t>
  </si>
  <si>
    <t>Plywood sheet -12mm thick (8x4 ft) Indian</t>
  </si>
  <si>
    <t>m</t>
  </si>
  <si>
    <t>Plywood sheet -12mm thick (8x4 ft) Malaysian</t>
  </si>
  <si>
    <t>Plywood Sheet (WBP) - 12 mm thick (8 x 4 ft)</t>
  </si>
  <si>
    <t>Plywood Sheet (WBP) - 15 mm thick  (8 x 4 ft)</t>
  </si>
  <si>
    <t>Plywood Sheet Film Faced (Black) - 12 mm thick (8 x 4 ft)</t>
  </si>
  <si>
    <t>Plywood Sheet Film Faced (Black) - 15 mm thick (8 x 4 ft)</t>
  </si>
  <si>
    <t>Plywood Sheet Film Faced (Black)  - 18 mm thick (8 x 4 ft)</t>
  </si>
  <si>
    <t xml:space="preserve">TIMBER </t>
  </si>
  <si>
    <t>1"x9" Ginisapu</t>
  </si>
  <si>
    <t>Lft</t>
  </si>
  <si>
    <t xml:space="preserve">Kadurata Timber Deport </t>
  </si>
  <si>
    <t>3"x6" Thulan</t>
  </si>
  <si>
    <t>2"x6" Thulan</t>
  </si>
  <si>
    <t>2"x2" Thulan</t>
  </si>
  <si>
    <t>2x2 pines</t>
  </si>
  <si>
    <t>1x2 pines</t>
  </si>
  <si>
    <t>2x4 pines</t>
  </si>
  <si>
    <t>TEAK</t>
  </si>
  <si>
    <t>1" x 2"</t>
  </si>
  <si>
    <t>2" x 2"</t>
  </si>
  <si>
    <t xml:space="preserve">2" x 4" </t>
  </si>
  <si>
    <t>2" x 5"</t>
  </si>
  <si>
    <t>2" x 6"</t>
  </si>
  <si>
    <t>2" x 8"</t>
  </si>
  <si>
    <t>3" x 4"</t>
  </si>
  <si>
    <t>3" x 5"</t>
  </si>
  <si>
    <t>3" x 6"</t>
  </si>
  <si>
    <t>KEMPUS</t>
  </si>
  <si>
    <t xml:space="preserve">2" x 2" </t>
  </si>
  <si>
    <t>2" x 4"</t>
  </si>
  <si>
    <t>4" x 6"</t>
  </si>
  <si>
    <t>4" x 8"</t>
  </si>
  <si>
    <t>STRUCTURAL STEEL</t>
  </si>
  <si>
    <t>REINFORCEMET</t>
  </si>
  <si>
    <t xml:space="preserve">Reinforcement steel-6mm dia Mild Steel bar </t>
  </si>
  <si>
    <t>Lanwa</t>
  </si>
  <si>
    <t xml:space="preserve">Reinforcement steel-8mm dia Mild Steel bar </t>
  </si>
  <si>
    <t xml:space="preserve">Reinforcement steel-12mm dia Tor Steel bar </t>
  </si>
  <si>
    <t xml:space="preserve">Reinforcement steel-16mm dia Tor Steel bar </t>
  </si>
  <si>
    <t xml:space="preserve">Reinforcement steel-20mm dia Tor Steel bar </t>
  </si>
  <si>
    <t xml:space="preserve">Reinforcement steel-25mm dia Tor Steel bar </t>
  </si>
  <si>
    <t xml:space="preserve"> Lanwa </t>
  </si>
  <si>
    <t>ANGLE IRON</t>
  </si>
  <si>
    <t>Angle iron 25x25x3mm (5.8mtrs)</t>
  </si>
  <si>
    <t>Length</t>
  </si>
  <si>
    <t>Janatha Steel</t>
  </si>
  <si>
    <t>Angle iron 25x25x5mm (5.8mtrs)</t>
  </si>
  <si>
    <t>Angle iron 25x25x2.5mm (5.8mtrs)</t>
  </si>
  <si>
    <t>Angle iron 38x38x3mm (5.6mtrs)</t>
  </si>
  <si>
    <t>Angle iron 38x38x4.5mm (5.6mtrs)</t>
  </si>
  <si>
    <t>Angle iron 38x38x5mm (5.6mtrs)</t>
  </si>
  <si>
    <t>Angle iron 38x38x6mm (5.6mtrs)</t>
  </si>
  <si>
    <t>Angle iron 46x46x4.2mm (5.6mtrs)</t>
  </si>
  <si>
    <t>Angle iron 50x50x4.2mm (5.8mtrs)</t>
  </si>
  <si>
    <t>Angle iron 50x50x5mm (5.8mtrs)</t>
  </si>
  <si>
    <t>Angle iron 50x50x6mm (5.8mtrs)</t>
  </si>
  <si>
    <t>Angle iron 63x63x6mm (5.8mtrs)</t>
  </si>
  <si>
    <t>Angle iron 75x75x6mm (5.8mtrs)</t>
  </si>
  <si>
    <t>GI BOX BAR</t>
  </si>
  <si>
    <t>GI Box Bar 25x25x0.9mm (5.5 mtrs)</t>
  </si>
  <si>
    <t>GI Box Bar 25x25x1.2mm (5.5 mtrs)</t>
  </si>
  <si>
    <t>GI Box Bar 25x25x1.4mm (5.5 mtrs)</t>
  </si>
  <si>
    <t>GI Box Bar 25x25x1.6mm (5.5 mtrs)</t>
  </si>
  <si>
    <t>GI Box Bar 25x25x2mm (5.5 mtrs)</t>
  </si>
  <si>
    <t>GI Box Bar 50x50x1.2mm (5.5 mtrs)</t>
  </si>
  <si>
    <t>GI Box Bar 50x50x1.4mm (5.5 mtrs)</t>
  </si>
  <si>
    <t>GI Box Bar 50x50x1.6mm (5.5 mtrs)</t>
  </si>
  <si>
    <t>GI Box Bar 50x50x2mm (5.5 mtrs)</t>
  </si>
  <si>
    <t>GI Box Bar 50x25x1.2mm (5.5 mtrs)</t>
  </si>
  <si>
    <t>GI Box Bar 50x25x1.4mm (5.5 mtrs)</t>
  </si>
  <si>
    <t>GI Box Bar 50x25x1.6mm (5.5 mtrs)</t>
  </si>
  <si>
    <t>GI Box Bar 50x25x2mm (5.5 mtrs)</t>
  </si>
  <si>
    <t>GI Box Bar 100x100x2mm (5.5 mtrs)</t>
  </si>
  <si>
    <t>GI Box Bar 100x50x2mm (5.5 mtrs)</t>
  </si>
  <si>
    <t>GI Box Bar 75x75x2mm (5.5 mtrs)</t>
  </si>
  <si>
    <t>17</t>
  </si>
  <si>
    <t>GI Box Bar 75x75x3mm (5.5 mtrs)</t>
  </si>
  <si>
    <t>GI PIPE</t>
  </si>
  <si>
    <t>GI pipes (DN 15) 6mtrs  0.5"  2mm</t>
  </si>
  <si>
    <t>BnS hardware</t>
  </si>
  <si>
    <t>GI pipes (DN 25) 6mtrs  1"  2mm</t>
  </si>
  <si>
    <t>GI pipes (DN 32) 6mtrs  1.5"  2mm</t>
  </si>
  <si>
    <t>GI pipes (DN 40) 6mtrs  2"  2mm</t>
  </si>
  <si>
    <t>GI pipes (DN 50) 6mtrs  2.5"  2mm</t>
  </si>
  <si>
    <t>GI pipes (DN 65) 6mtrs  4"  2mm</t>
  </si>
  <si>
    <t>C-PURLINS HI TENSILE</t>
  </si>
  <si>
    <t>100mm x 50mm x 12mm x 2mm thick  (2" x  4")</t>
  </si>
  <si>
    <t xml:space="preserve">lft </t>
  </si>
  <si>
    <t>100mm x 50mm x 15mm x 2mm thick   (2" x  4")</t>
  </si>
  <si>
    <t>125mm x 60mm x 20mm x 2mm thick  (2.5" x  5")</t>
  </si>
  <si>
    <t>150mm x 65mm x 20mm x 2mm thick  (2.5" x  6")</t>
  </si>
  <si>
    <t xml:space="preserve">OTHER </t>
  </si>
  <si>
    <t>C channel 100x50x5mm (2" x 4")</t>
  </si>
  <si>
    <t>Structural Steel (H Iron) - Grade S275</t>
  </si>
  <si>
    <t>HARDWARE ITEMS</t>
  </si>
  <si>
    <t>Wire nails</t>
  </si>
  <si>
    <t>8mm (5/16") Thread bar (6' long)</t>
  </si>
  <si>
    <t>Binding wires</t>
  </si>
  <si>
    <t>wall plugs no 6</t>
  </si>
  <si>
    <t>wall plugs no 7,8</t>
  </si>
  <si>
    <t xml:space="preserve">75x75mm gauge 18 GI mesh (45m2/roll) Macson </t>
  </si>
  <si>
    <t>MACSON</t>
  </si>
  <si>
    <t>Chicken mesh 23 gauge</t>
  </si>
  <si>
    <t>roll</t>
  </si>
  <si>
    <t>Colour pigments</t>
  </si>
  <si>
    <t>Titanium</t>
  </si>
  <si>
    <t xml:space="preserve">4" Cutting disk </t>
  </si>
  <si>
    <t>4" Grinder wheel (Strong brand)</t>
  </si>
  <si>
    <t>4" Diamond wheel (Kevin brand)</t>
  </si>
  <si>
    <t>Chain Link Fence - Height 6ft/Gauge 10 (Opening area 2-1/4"x2-1/4")</t>
  </si>
  <si>
    <t>Roll</t>
  </si>
  <si>
    <t>Chain Link Fence - Height 4ft/Gauge 10</t>
  </si>
  <si>
    <t>0.75mm decking sheet (3ft width)</t>
  </si>
  <si>
    <t>Tempered glass 10mm</t>
  </si>
  <si>
    <r>
      <rPr>
        <sz val="16"/>
        <color theme="1"/>
        <rFont val="Times New Roman"/>
      </rPr>
      <t>ft</t>
    </r>
    <r>
      <rPr>
        <vertAlign val="superscript"/>
        <sz val="16"/>
        <color theme="1"/>
        <rFont val="Times New Roman"/>
      </rPr>
      <t>2</t>
    </r>
  </si>
  <si>
    <t xml:space="preserve">1300- </t>
  </si>
  <si>
    <t>Anti-termite treatment materials</t>
  </si>
  <si>
    <t>500 - 550</t>
  </si>
  <si>
    <t>Rates has not changed</t>
  </si>
  <si>
    <t>18</t>
  </si>
  <si>
    <t>Polythene G750</t>
  </si>
  <si>
    <t>INSULATION &amp; FOIL</t>
  </si>
  <si>
    <t>6-7mm double bubble thermal insulation - Ordinary</t>
  </si>
  <si>
    <t>6-7mm double bubble thermal insulation - Fire rated</t>
  </si>
  <si>
    <t>Mcfoil 3mm thick</t>
  </si>
  <si>
    <t>m²</t>
  </si>
  <si>
    <t>Macfoil 5mm thick</t>
  </si>
  <si>
    <t>50mm thick glass wool blanket sandwich with 3 way reinforced double sided Aluminium foil (18m2/roll)</t>
  </si>
  <si>
    <t xml:space="preserve">PARTITION &amp; PANNELS </t>
  </si>
  <si>
    <t>GYPSUM BOARD</t>
  </si>
  <si>
    <t>9mm Gypsum board (8'x4') - Melwa</t>
  </si>
  <si>
    <t>MELWA</t>
  </si>
  <si>
    <t>12mm Gypsum board (8'x4') - Melwa</t>
  </si>
  <si>
    <t>CEMENT BOARD</t>
  </si>
  <si>
    <t>6mm Cement board (8'x4') - El Toro</t>
  </si>
  <si>
    <t>9mm Cement board (8'x4') - El Toro</t>
  </si>
  <si>
    <t>PARTITION BOARDS</t>
  </si>
  <si>
    <t>TORO Partition Board (S) 2440 mm * 1220 mm(6mm)</t>
  </si>
  <si>
    <t>Rates has not changed- El toro</t>
  </si>
  <si>
    <t>TORO Partition Board (S) 2440 mm * 1220 mm(8mm)</t>
  </si>
  <si>
    <t>TORO Partition Board (S) 2440 mm * 1220 mm(9 mm)</t>
  </si>
  <si>
    <t>TORO Partition Board (S) 2440 mm * 1220 mm(10 mm)</t>
  </si>
  <si>
    <t>TORO Partition Board (S) 2440 mm * 1220 mm(12 mm)</t>
  </si>
  <si>
    <t>TORO Partition Board (S) 2440 mm * 1220 mm(15 mm)</t>
  </si>
  <si>
    <t>TORO Partition Board (S) 2440 mm * 1220 mm(18 mm)</t>
  </si>
  <si>
    <t>TORO Partition Board (S) 2440 mm * 1220 mm(20 mm)</t>
  </si>
  <si>
    <t>TORO Partition Board (S) 2440 mm * 1220 mm(18 mm) Uncolored Wood Design</t>
  </si>
  <si>
    <t>TORO Partition Board (S) 2440 mm * 1220 mm(9 mm) Uncolored Wood Design</t>
  </si>
  <si>
    <t>TORO Partition Board (S) 2440 mm * 1220 mm(12mm) Uncolored Wood Design</t>
  </si>
  <si>
    <t>TORO Partition Board (S) 2440 mm * 1220 mm(6 mm) Uncolored Wood Design</t>
  </si>
  <si>
    <t>STRIP PANEL</t>
  </si>
  <si>
    <t>Plain-TORO Lunumidella Strip Pannel (S) 2440 mm x 300 mm x 9MM (Uncolored - Plain Double "V" Groove)</t>
  </si>
  <si>
    <t>Plain-TORO Lunumidella Strip Pannel (S) 2440 mm x 300 mm x 9MM (Uncolored - Plain Single "V" Groove)</t>
  </si>
  <si>
    <t>Plain-TORO Lunumidella Strip Pannel (S) 2440 mm x 300 mm x 9 mm (Uncolored - Plain )</t>
  </si>
  <si>
    <t>Plain-TORO Lunumidella Strip Pannel (S) 2440 mm x 300 mm x 6 mm (Uncolored - Plain Double V Groove)</t>
  </si>
  <si>
    <t>Plain-TORO Lunumidella Strip Pannel (S) 2440 mm x 300 mm x 6 mm (Uncolored - Plan Single V Groove)</t>
  </si>
  <si>
    <t>Wood-TORO Lunumidella Strip Pannel (S) 2440 mm x 300 mm x 9MM(Uncolored -Wood Design(P) Single 
"V"Groove)</t>
  </si>
  <si>
    <t>Wood-TORO Lunumidella Strip Pannel (S) 2440 mm x 300 mm x 9MM(Uncolored -Wood Design(P) 
Double"V"Groove)</t>
  </si>
  <si>
    <t>Wood-TORO Lunumidella Strip Pannel (S) 2440 mm x 300 mm x 6 mm (Uncolored - Wood Design Double V Groove)</t>
  </si>
  <si>
    <t>Wood-TORO Lunumidella Strip Pannel (S) 2440 mm x 300 mm x 6 mm (Uncolored - Wood Design Single V 
Groove)</t>
  </si>
  <si>
    <t>Color-TORO Lunumidella Strip Pannel (S) 2400 mm x 300 mm x 9MM (Plain Double "V" Groove) - 
Walnut***</t>
  </si>
  <si>
    <t>Color-TORO Lunumidella Strip Pannel (S) 2440 mm x 300 mm x 9MM (Plain Double "V" Groove) – 
Mahogani***</t>
  </si>
  <si>
    <t>FLOOR BOARD</t>
  </si>
  <si>
    <t>TORO Floor Board (S) 2440 mm * 1220 mm (15 mm)</t>
  </si>
  <si>
    <t>TORO Floor Board (S) 2440 mm * 1220 mm(18 mm)</t>
  </si>
  <si>
    <t>TORO Floor Board (S) 2440 mm * 1220 mm(20 mm)</t>
  </si>
  <si>
    <t>SKIRTING</t>
  </si>
  <si>
    <t>TORO Skirting (S) 610 mm x 100 mm x 12MM (Uncolored - Plain)</t>
  </si>
  <si>
    <t>TORO Skirting (S) 1220 mm x 100 mm x 12MM (Uncolored - 
Plain)</t>
  </si>
  <si>
    <t>TORO Skirting (S) 2440 mm x 100 mm x 12MM (Uncolored - 
Plain)</t>
  </si>
  <si>
    <t>TORO Ceiling Skirting (S) 1203 mm x 75 mm x 12 mm (Uncolored 
- Plain)</t>
  </si>
  <si>
    <t>TORO Skirting (S) 2440 mm x 100 mm x 12MM (Colored - Plain) - 
Walnut***</t>
  </si>
  <si>
    <t>TORO Skirting (S) 1200 mm x 100 mm x 12MM (Colored - Plain) - 
Walnut***</t>
  </si>
  <si>
    <t>PAINT &amp; EQUIPMENTS</t>
  </si>
  <si>
    <t>PAINT</t>
  </si>
  <si>
    <t xml:space="preserve">Wall Paint - Emulsion paint (Brilliant white) </t>
  </si>
  <si>
    <t>ltr</t>
  </si>
  <si>
    <t>NIPPON</t>
  </si>
  <si>
    <t>Wall Paint - Emulsion paint (Master palette)</t>
  </si>
  <si>
    <t xml:space="preserve">Wall Paint - Weathershield paint (Brilliant white) </t>
  </si>
  <si>
    <t xml:space="preserve">Wall Paint - Weathershield paint (Master palette) </t>
  </si>
  <si>
    <t>Wood Paint- enamel paint ( Super gloss enamel)</t>
  </si>
  <si>
    <t>Wood Paint- water based (wood care All in one)</t>
  </si>
  <si>
    <t xml:space="preserve">Wood preservative </t>
  </si>
  <si>
    <t>Wood aluminium primer</t>
  </si>
  <si>
    <t xml:space="preserve">Anti-corosive paint </t>
  </si>
  <si>
    <t>Wall putty ( Paint Skim Coat - White)</t>
  </si>
  <si>
    <t>20kg</t>
  </si>
  <si>
    <t xml:space="preserve">Wall filler </t>
  </si>
  <si>
    <t>20L</t>
  </si>
  <si>
    <t>ADHESIVE</t>
  </si>
  <si>
    <t xml:space="preserve">Adhesive - Internal - Nippon </t>
  </si>
  <si>
    <t>25kg</t>
  </si>
  <si>
    <t xml:space="preserve">Adhesive - External - Nippon </t>
  </si>
  <si>
    <t>EQUIPMENTS</t>
  </si>
  <si>
    <t>Paint scraper (1.5")</t>
  </si>
  <si>
    <t>Paint brush 1" - Brand NIPPON</t>
  </si>
  <si>
    <t>Paint brush 2" - Brand  NIPPON</t>
  </si>
  <si>
    <t>Paint brush 4" - Brand  NIPPON</t>
  </si>
  <si>
    <t>Paint roller brush 9" -  Brand NIPPON</t>
  </si>
  <si>
    <t>Sand paper - White (Rhino Brand)</t>
  </si>
  <si>
    <t>Sand paper - Black ((Rhino Brand)</t>
  </si>
  <si>
    <t xml:space="preserve">TILING </t>
  </si>
  <si>
    <t>TILES</t>
  </si>
  <si>
    <t>LOCAL</t>
  </si>
  <si>
    <t>Tiles - Wall (Ceramic ) rocell tiles 2x1</t>
  </si>
  <si>
    <t>ROCELL</t>
  </si>
  <si>
    <t>Tiles - Wall (Ceramic) lanka tiles 2x1</t>
  </si>
  <si>
    <t>LANKA TILES</t>
  </si>
  <si>
    <t>Tiles - Floor (Porcelain) lanka tiles 2x1</t>
  </si>
  <si>
    <t>IMPORTED</t>
  </si>
  <si>
    <t xml:space="preserve">Tiles - Wall (Porcelain Homogeneous) 2x1 Indian </t>
  </si>
  <si>
    <t xml:space="preserve">Tiles - Wall (Ceramic) 2x1 Indian </t>
  </si>
  <si>
    <t xml:space="preserve">Tiles - Floor (Porcelain Homogeneous) 2x2 Indian </t>
  </si>
  <si>
    <t>GRANITE &amp; MARBLE</t>
  </si>
  <si>
    <t xml:space="preserve">20mm thick Granite (Local) 2x1 absolute black </t>
  </si>
  <si>
    <t xml:space="preserve">20mm thick Granite (Imported) 2x1 absolute black </t>
  </si>
  <si>
    <t>20mm Marble (Imported) 2x1  blackish grey</t>
  </si>
  <si>
    <t>ACCESSORIES</t>
  </si>
  <si>
    <t>Tile grout - Swisstek</t>
  </si>
  <si>
    <t>Swisstek</t>
  </si>
  <si>
    <t>Tile edges - Aluminium</t>
  </si>
  <si>
    <t>Tile nosing( beedin</t>
  </si>
  <si>
    <t>length</t>
  </si>
  <si>
    <t>MANHOLE &amp; GULLY COVER</t>
  </si>
  <si>
    <t>CAST IRON COVER</t>
  </si>
  <si>
    <t>200x200 Cast Iron Gully Cover</t>
  </si>
  <si>
    <t>PRYDA</t>
  </si>
  <si>
    <t>200x200 Cast iron Manhole Cover</t>
  </si>
  <si>
    <t>300x300 Cast Iron Manhole Cover</t>
  </si>
  <si>
    <t>400x400 Cast Iron Manhole Cover(S/Seal)</t>
  </si>
  <si>
    <t>400x400 Cast Iron Manhole Cover(D/Seal)</t>
  </si>
  <si>
    <t>450x450 Cast Iron Manhole Cover(S/Seal)</t>
  </si>
  <si>
    <t>450x450 Cast Iron Manhole Cover(D/Seal)</t>
  </si>
  <si>
    <t>600X600 Cast Iron Manhole Cover(D/Seal)</t>
  </si>
  <si>
    <t>600x600 Cast Iron Manhole Cover(S/Seal)</t>
  </si>
  <si>
    <t>750x750 Cast Iron Manhole Cover(D/Seal)</t>
  </si>
  <si>
    <t>900x900 Cast Iron Manhole Cover(D/Seal)</t>
  </si>
  <si>
    <t>FIBER GLASS</t>
  </si>
  <si>
    <t>300X300 Fiber Manhole Cover</t>
  </si>
  <si>
    <t>400x400 Fiber Manhole Cover</t>
  </si>
  <si>
    <t>400x400 Fiber Grass Top Manhole Cover</t>
  </si>
  <si>
    <t>450x450 Fiber Manhole Cover</t>
  </si>
  <si>
    <t>600x450 Fiber Manhole Cover</t>
  </si>
  <si>
    <t>720x720 Fiber manhole Cover(D/Seal)</t>
  </si>
  <si>
    <t>300x300 Fiber Gully Cover</t>
  </si>
  <si>
    <t>400x400 Fiber Gully Cover</t>
  </si>
  <si>
    <t>500x500 Fiber Gully Cover</t>
  </si>
  <si>
    <t>500x300 Fiber Gully Cover</t>
  </si>
  <si>
    <t>400x500 Fiber Gully Cover</t>
  </si>
  <si>
    <t xml:space="preserve">ROOF &amp; CEILLING </t>
  </si>
  <si>
    <t>ROOFING SHEETS</t>
  </si>
  <si>
    <t>Asbestos roofing sheets 8' - Mascons</t>
  </si>
  <si>
    <t>Asbestos roofing sheets 10' - Mascons</t>
  </si>
  <si>
    <t>Asbestos roofing sheets 12' -  Mascons</t>
  </si>
  <si>
    <t>Zn/Al 0.47 Trimclad roofing sheets (Effective width - 735mm)</t>
  </si>
  <si>
    <t>Global roofing - Quotation</t>
  </si>
  <si>
    <t>Zn/Al Amano sheets(2.5' x 1') 0.18mm</t>
  </si>
  <si>
    <t>Zn/Al Amano sheets(2.5' x 1') 0.30mm</t>
  </si>
  <si>
    <t>Zn/Al Amano sheets(2.5' x 1') 0.35mm</t>
  </si>
  <si>
    <t>Zn/Al Amano sheets(2.5' x 1') 0.47mm</t>
  </si>
  <si>
    <t>ROOFING ACCESSORIES</t>
  </si>
  <si>
    <t>Asbestos - Ridge covers (Length 3' 8") - Rino</t>
  </si>
  <si>
    <t>31/2" Roof nails for Asbestos Roofing sheets</t>
  </si>
  <si>
    <t>4" Roof nails for Asbestos Roofing sheets</t>
  </si>
  <si>
    <t>GI sheets 3mm</t>
  </si>
  <si>
    <t>Fastners - Roofing sheets 2''</t>
  </si>
  <si>
    <t>Zn/Al Flashings - Girth 18"</t>
  </si>
  <si>
    <t>Zn/Al Ridge capping- Girth 18''</t>
  </si>
  <si>
    <t>Zn/Al Valance board girth 12"</t>
  </si>
  <si>
    <t>Zn/Al Gutters - Girth 18"</t>
  </si>
  <si>
    <t>Zn/Al Gutter ends</t>
  </si>
  <si>
    <t>per pair</t>
  </si>
  <si>
    <t>Aluminium internal Gutter Brackets (6'')</t>
  </si>
  <si>
    <t>Zn/Al Vally Gutter - Girth 18"</t>
  </si>
  <si>
    <t>Zn/Al Downpipes (100x100mm)</t>
  </si>
  <si>
    <t>Zn/Al Downpipe bends (100x100mm)</t>
  </si>
  <si>
    <t>Zn/Al Downpipe brackets (1 inch strip of material)</t>
  </si>
  <si>
    <t>Zn/Al Standard Nozzels (100x100mm)</t>
  </si>
  <si>
    <t>CEILLING</t>
  </si>
  <si>
    <t>2x2 TORO Design Ceiling Sheet (S) 603 mm * 603 mm * 3.5 mm CAA01ASH</t>
  </si>
  <si>
    <t>2x2 TORO Color Ceiling Sheet (S) 603 mm * 603 mm (3.5mm)-Brilliant White</t>
  </si>
  <si>
    <t>2x2TORO Color Ceiling Sheet (S) 603 mm * 603 mm (4.5 mm) - Brilliant White</t>
  </si>
  <si>
    <t>2x2 TORO Ceiling Sheet (S) 603 mm * 603 mm (3.5mm)</t>
  </si>
  <si>
    <t>2x2 TORO Ceiling Sheet (S) 603 mm * 603 mm (4.5mm)</t>
  </si>
  <si>
    <t>2x2 TORO Ceiling Sheet (S) 603 mm * 603 mm (4.5mm) Uncolored Wood Design</t>
  </si>
  <si>
    <t>2x4 TORO Ceiling Sheet 1213mm* 603mm(3.5 mm) (Brilliant White)</t>
  </si>
  <si>
    <t>2x4 TORO Ceiling Sheet (S) 600 mm * 1213 mm (3.5mm)</t>
  </si>
  <si>
    <t>4x4 TORO Ceiling Sheet (S) 1200 mm * 1200 mm x 4.5 mm Brilliant White</t>
  </si>
  <si>
    <t>4x4TORO Ceiling Sheet (S) 1220 mm * 1220 mm x 4.5 mm Brilliant White</t>
  </si>
  <si>
    <t>4x4 TORO Ceiling Sheet (S) 1200 mm * 1200 mm(4.5mm)</t>
  </si>
  <si>
    <t>4x4 TORO Ceiling Sheet 1220 mm * 1220 mm (4.5 mm)</t>
  </si>
  <si>
    <t>4x41220 mm * 1220 mm x 4.5 mm Uncolored Wood Design</t>
  </si>
  <si>
    <t>4x4 1200 mm * 1200 mm x 4.5 mm Uncolored Fleck/Blob/Vintage</t>
  </si>
  <si>
    <t>8x4 TORO Ceiling Sheet 1220 mm *2440 mm (4.5mm)</t>
  </si>
  <si>
    <t>CEILLING ACCESSORIES</t>
  </si>
  <si>
    <t>Aluminium Main tee</t>
  </si>
  <si>
    <t xml:space="preserve">length </t>
  </si>
  <si>
    <t>Aluminium Cross tee</t>
  </si>
  <si>
    <t>2ft</t>
  </si>
  <si>
    <t>Aluminium Wall angle 1''</t>
  </si>
  <si>
    <t>Materials Prices Fluctuation Analysis (Excluding VAT &amp; including SSCL)</t>
  </si>
  <si>
    <t>WIRES</t>
  </si>
  <si>
    <t>Cu/PVC/PVC 1/.044 cable</t>
  </si>
  <si>
    <r>
      <rPr>
        <sz val="12"/>
        <color theme="1"/>
        <rFont val="Times New Roman"/>
      </rPr>
      <t>1mm</t>
    </r>
    <r>
      <rPr>
        <vertAlign val="superscript"/>
        <sz val="12"/>
        <color theme="1"/>
        <rFont val="Times New Roman"/>
      </rPr>
      <t>2</t>
    </r>
  </si>
  <si>
    <t>100m</t>
  </si>
  <si>
    <t>ACL Cables</t>
  </si>
  <si>
    <t>Cu/PVC/PVC 7/.021 cable single</t>
  </si>
  <si>
    <r>
      <rPr>
        <sz val="12"/>
        <color theme="1"/>
        <rFont val="Times New Roman"/>
      </rPr>
      <t>1.5mm</t>
    </r>
    <r>
      <rPr>
        <vertAlign val="superscript"/>
        <sz val="12"/>
        <color theme="1"/>
        <rFont val="Times New Roman"/>
      </rPr>
      <t>2</t>
    </r>
  </si>
  <si>
    <t>Cu/PVC/PVC 7/.029 cable single</t>
  </si>
  <si>
    <r>
      <rPr>
        <sz val="12"/>
        <color theme="1"/>
        <rFont val="Times New Roman"/>
      </rPr>
      <t>2.5mm</t>
    </r>
    <r>
      <rPr>
        <vertAlign val="superscript"/>
        <sz val="12"/>
        <color theme="1"/>
        <rFont val="Times New Roman"/>
      </rPr>
      <t>2</t>
    </r>
  </si>
  <si>
    <t>Cu/PVC/PVC 7/.033 cable single</t>
  </si>
  <si>
    <r>
      <rPr>
        <sz val="12"/>
        <color theme="1"/>
        <rFont val="Times New Roman"/>
      </rPr>
      <t>4mm</t>
    </r>
    <r>
      <rPr>
        <vertAlign val="superscript"/>
        <sz val="12"/>
        <color theme="1"/>
        <rFont val="Times New Roman"/>
      </rPr>
      <t>2</t>
    </r>
  </si>
  <si>
    <t>Cu/PVC/PVC 7/041 cable single</t>
  </si>
  <si>
    <r>
      <rPr>
        <sz val="12"/>
        <color theme="1"/>
        <rFont val="Times New Roman"/>
      </rPr>
      <t>6mm</t>
    </r>
    <r>
      <rPr>
        <vertAlign val="superscript"/>
        <sz val="12"/>
        <color theme="1"/>
        <rFont val="Times New Roman"/>
      </rPr>
      <t>2</t>
    </r>
  </si>
  <si>
    <t>Cu/PVC/PVC 7/.052 cable single</t>
  </si>
  <si>
    <r>
      <rPr>
        <sz val="12"/>
        <color theme="1"/>
        <rFont val="Times New Roman"/>
      </rPr>
      <t>10mm</t>
    </r>
    <r>
      <rPr>
        <vertAlign val="superscript"/>
        <sz val="12"/>
        <color theme="1"/>
        <rFont val="Times New Roman"/>
      </rPr>
      <t>2</t>
    </r>
  </si>
  <si>
    <t>Cu/PVC/PVC7/.064 cable single</t>
  </si>
  <si>
    <r>
      <rPr>
        <sz val="12"/>
        <color theme="1"/>
        <rFont val="Times New Roman"/>
      </rPr>
      <t>16mm</t>
    </r>
    <r>
      <rPr>
        <vertAlign val="superscript"/>
        <sz val="12"/>
        <color theme="1"/>
        <rFont val="Times New Roman"/>
      </rPr>
      <t>2</t>
    </r>
  </si>
  <si>
    <t>Cu/PVC/PVC 19/.052  cable single</t>
  </si>
  <si>
    <r>
      <rPr>
        <sz val="12"/>
        <color theme="1"/>
        <rFont val="Times New Roman"/>
      </rPr>
      <t>25mm</t>
    </r>
    <r>
      <rPr>
        <vertAlign val="superscript"/>
        <sz val="12"/>
        <color theme="1"/>
        <rFont val="Times New Roman"/>
      </rPr>
      <t>2</t>
    </r>
  </si>
  <si>
    <t>Cu/PVC/PVC 19/.064 cable single</t>
  </si>
  <si>
    <r>
      <rPr>
        <sz val="12"/>
        <color theme="1"/>
        <rFont val="Times New Roman"/>
      </rPr>
      <t>35mm</t>
    </r>
    <r>
      <rPr>
        <vertAlign val="superscript"/>
        <sz val="12"/>
        <color theme="1"/>
        <rFont val="Times New Roman"/>
      </rPr>
      <t>2</t>
    </r>
  </si>
  <si>
    <t>Cu/PVC/PVC 7/.021 cable twin</t>
  </si>
  <si>
    <r>
      <rPr>
        <sz val="12"/>
        <color theme="1"/>
        <rFont val="Times New Roman"/>
      </rPr>
      <t>1.5mm</t>
    </r>
    <r>
      <rPr>
        <vertAlign val="superscript"/>
        <sz val="12"/>
        <color theme="1"/>
        <rFont val="Times New Roman"/>
      </rPr>
      <t>2</t>
    </r>
  </si>
  <si>
    <t>Cu/PVC/PVC 7/.029 cable twin</t>
  </si>
  <si>
    <r>
      <rPr>
        <sz val="12"/>
        <color theme="1"/>
        <rFont val="Times New Roman"/>
      </rPr>
      <t>2.5mm</t>
    </r>
    <r>
      <rPr>
        <vertAlign val="superscript"/>
        <sz val="12"/>
        <color theme="1"/>
        <rFont val="Times New Roman"/>
      </rPr>
      <t>2</t>
    </r>
  </si>
  <si>
    <t>Cu/PVC/PVC 7/.033 cable twin</t>
  </si>
  <si>
    <r>
      <rPr>
        <sz val="12"/>
        <color theme="1"/>
        <rFont val="Times New Roman"/>
      </rPr>
      <t>4mm</t>
    </r>
    <r>
      <rPr>
        <vertAlign val="superscript"/>
        <sz val="12"/>
        <color theme="1"/>
        <rFont val="Times New Roman"/>
      </rPr>
      <t>2</t>
    </r>
  </si>
  <si>
    <t>Cu/PVC/PVC 7/041 cable twin</t>
  </si>
  <si>
    <r>
      <rPr>
        <sz val="12"/>
        <color theme="1"/>
        <rFont val="Times New Roman"/>
      </rPr>
      <t>6mm</t>
    </r>
    <r>
      <rPr>
        <vertAlign val="superscript"/>
        <sz val="12"/>
        <color theme="1"/>
        <rFont val="Times New Roman"/>
      </rPr>
      <t>2</t>
    </r>
  </si>
  <si>
    <t>Cu/PVC/PVC 7/.052 cable twin</t>
  </si>
  <si>
    <r>
      <rPr>
        <sz val="12"/>
        <color theme="1"/>
        <rFont val="Times New Roman"/>
      </rPr>
      <t>10mm</t>
    </r>
    <r>
      <rPr>
        <vertAlign val="superscript"/>
        <sz val="12"/>
        <color theme="1"/>
        <rFont val="Times New Roman"/>
      </rPr>
      <t>2</t>
    </r>
  </si>
  <si>
    <t>Cu/PVC/PVC7/.064 cable twin</t>
  </si>
  <si>
    <r>
      <rPr>
        <sz val="12"/>
        <color theme="1"/>
        <rFont val="Times New Roman"/>
      </rPr>
      <t>16mm</t>
    </r>
    <r>
      <rPr>
        <vertAlign val="superscript"/>
        <sz val="12"/>
        <color theme="1"/>
        <rFont val="Times New Roman"/>
      </rPr>
      <t>2</t>
    </r>
  </si>
  <si>
    <t xml:space="preserve">Cu/PVC Earth Cable 1/.044” </t>
  </si>
  <si>
    <r>
      <rPr>
        <sz val="12"/>
        <color theme="1"/>
        <rFont val="Times New Roman"/>
      </rPr>
      <t>1mm</t>
    </r>
    <r>
      <rPr>
        <vertAlign val="superscript"/>
        <sz val="12"/>
        <color theme="1"/>
        <rFont val="Times New Roman"/>
      </rPr>
      <t>2</t>
    </r>
  </si>
  <si>
    <t xml:space="preserve">Cu/PVC Earth Cable 7/.021” </t>
  </si>
  <si>
    <r>
      <rPr>
        <sz val="12"/>
        <color theme="1"/>
        <rFont val="Times New Roman"/>
      </rPr>
      <t>1.5mm</t>
    </r>
    <r>
      <rPr>
        <vertAlign val="superscript"/>
        <sz val="12"/>
        <color theme="1"/>
        <rFont val="Times New Roman"/>
      </rPr>
      <t>2</t>
    </r>
  </si>
  <si>
    <t xml:space="preserve">Cu/PVC Earth Cable 7/.033” </t>
  </si>
  <si>
    <r>
      <rPr>
        <sz val="12"/>
        <color theme="1"/>
        <rFont val="Times New Roman"/>
      </rPr>
      <t>4mm</t>
    </r>
    <r>
      <rPr>
        <vertAlign val="superscript"/>
        <sz val="12"/>
        <color theme="1"/>
        <rFont val="Times New Roman"/>
      </rPr>
      <t>2</t>
    </r>
  </si>
  <si>
    <t xml:space="preserve">Cu/PVC Earth Cable 7/.041” </t>
  </si>
  <si>
    <r>
      <rPr>
        <sz val="12"/>
        <color theme="1"/>
        <rFont val="Times New Roman"/>
      </rPr>
      <t>6mm</t>
    </r>
    <r>
      <rPr>
        <vertAlign val="superscript"/>
        <sz val="12"/>
        <color theme="1"/>
        <rFont val="Times New Roman"/>
      </rPr>
      <t>2</t>
    </r>
  </si>
  <si>
    <t xml:space="preserve">Cu/PVC Earth Cable 7/.052” </t>
  </si>
  <si>
    <r>
      <rPr>
        <sz val="12"/>
        <color theme="1"/>
        <rFont val="Times New Roman"/>
      </rPr>
      <t>10mm</t>
    </r>
    <r>
      <rPr>
        <vertAlign val="superscript"/>
        <sz val="12"/>
        <color theme="1"/>
        <rFont val="Times New Roman"/>
      </rPr>
      <t>2</t>
    </r>
  </si>
  <si>
    <t xml:space="preserve">Cu/PVC Earth Cable 7/.064” </t>
  </si>
  <si>
    <r>
      <rPr>
        <sz val="12"/>
        <color theme="1"/>
        <rFont val="Times New Roman"/>
      </rPr>
      <t>16mm</t>
    </r>
    <r>
      <rPr>
        <vertAlign val="superscript"/>
        <sz val="12"/>
        <color theme="1"/>
        <rFont val="Times New Roman"/>
      </rPr>
      <t>2</t>
    </r>
  </si>
  <si>
    <t xml:space="preserve">Cu/PVC Earth Cable 19/.052” </t>
  </si>
  <si>
    <r>
      <rPr>
        <sz val="12"/>
        <color theme="1"/>
        <rFont val="Times New Roman"/>
      </rPr>
      <t>25mm</t>
    </r>
    <r>
      <rPr>
        <vertAlign val="superscript"/>
        <sz val="12"/>
        <color theme="1"/>
        <rFont val="Times New Roman"/>
      </rPr>
      <t>2</t>
    </r>
  </si>
  <si>
    <t xml:space="preserve">Cu/PVC Earth Cable 19/.064” </t>
  </si>
  <si>
    <r>
      <rPr>
        <sz val="12"/>
        <color theme="1"/>
        <rFont val="Times New Roman"/>
      </rPr>
      <t>35mm</t>
    </r>
    <r>
      <rPr>
        <vertAlign val="superscript"/>
        <sz val="12"/>
        <color theme="1"/>
        <rFont val="Times New Roman"/>
      </rPr>
      <t>2</t>
    </r>
  </si>
  <si>
    <t xml:space="preserve">Cu/PVC Earth Cable  19/.073” </t>
  </si>
  <si>
    <r>
      <rPr>
        <sz val="12"/>
        <color theme="1"/>
        <rFont val="Times New Roman"/>
      </rPr>
      <t>50mm</t>
    </r>
    <r>
      <rPr>
        <vertAlign val="superscript"/>
        <sz val="12"/>
        <color theme="1"/>
        <rFont val="Times New Roman"/>
      </rPr>
      <t>2</t>
    </r>
  </si>
  <si>
    <t xml:space="preserve">Cu/PVC Earth Cable 19/.083” </t>
  </si>
  <si>
    <r>
      <rPr>
        <sz val="12"/>
        <color theme="1"/>
        <rFont val="Times New Roman"/>
      </rPr>
      <t>70mm</t>
    </r>
    <r>
      <rPr>
        <vertAlign val="superscript"/>
        <sz val="12"/>
        <color theme="1"/>
        <rFont val="Times New Roman"/>
      </rPr>
      <t>2</t>
    </r>
  </si>
  <si>
    <t xml:space="preserve">Cu/PVC Earth Cable 19/.099” </t>
  </si>
  <si>
    <r>
      <rPr>
        <sz val="12"/>
        <color theme="1"/>
        <rFont val="Times New Roman"/>
      </rPr>
      <t>95mm</t>
    </r>
    <r>
      <rPr>
        <vertAlign val="superscript"/>
        <sz val="12"/>
        <color theme="1"/>
        <rFont val="Times New Roman"/>
      </rPr>
      <t>2</t>
    </r>
  </si>
  <si>
    <t xml:space="preserve">Cu/PVC Earth Cable 37/.083” </t>
  </si>
  <si>
    <r>
      <rPr>
        <sz val="12"/>
        <color theme="1"/>
        <rFont val="Times New Roman"/>
      </rPr>
      <t>120mm</t>
    </r>
    <r>
      <rPr>
        <vertAlign val="superscript"/>
        <sz val="12"/>
        <color theme="1"/>
        <rFont val="Times New Roman"/>
      </rPr>
      <t>2</t>
    </r>
  </si>
  <si>
    <t xml:space="preserve">Cu/PVC Earth Cable 37/.093” </t>
  </si>
  <si>
    <r>
      <rPr>
        <sz val="12"/>
        <color theme="1"/>
        <rFont val="Times New Roman"/>
      </rPr>
      <t>150mm</t>
    </r>
    <r>
      <rPr>
        <vertAlign val="superscript"/>
        <sz val="12"/>
        <color theme="1"/>
        <rFont val="Times New Roman"/>
      </rPr>
      <t>2</t>
    </r>
  </si>
  <si>
    <t xml:space="preserve">Cu/PVC Earth Cable 37/.103” </t>
  </si>
  <si>
    <t>185mm2</t>
  </si>
  <si>
    <t xml:space="preserve">Cu/PVC Earth Cable 61/.093” </t>
  </si>
  <si>
    <r>
      <rPr>
        <sz val="12"/>
        <color theme="1"/>
        <rFont val="Times New Roman"/>
      </rPr>
      <t>240mm</t>
    </r>
    <r>
      <rPr>
        <vertAlign val="superscript"/>
        <sz val="12"/>
        <color theme="1"/>
        <rFont val="Times New Roman"/>
      </rPr>
      <t>2</t>
    </r>
  </si>
  <si>
    <t xml:space="preserve">Cu/PVC Earth Cable 61/.103” </t>
  </si>
  <si>
    <r>
      <rPr>
        <sz val="12"/>
        <color theme="1"/>
        <rFont val="Times New Roman"/>
      </rPr>
      <t>300mm</t>
    </r>
    <r>
      <rPr>
        <vertAlign val="superscript"/>
        <sz val="12"/>
        <color theme="1"/>
        <rFont val="Times New Roman"/>
      </rPr>
      <t>2</t>
    </r>
  </si>
  <si>
    <t>DB/ BAKERS</t>
  </si>
  <si>
    <t>Distribution Boards 4-8 ways</t>
  </si>
  <si>
    <t>No</t>
  </si>
  <si>
    <t>Distribution Boards 8-10 ways</t>
  </si>
  <si>
    <t>Distribution Boards 10-12 ways</t>
  </si>
  <si>
    <t>Distribution Boards 14-16 ways</t>
  </si>
  <si>
    <t>Distribution Boards 16-19 ways</t>
  </si>
  <si>
    <t>ELCB - Double Pole 40A, 30mA</t>
  </si>
  <si>
    <t>ELCB - Double Pole 40A, 100mA</t>
  </si>
  <si>
    <t>ELCB - Double Pole 40A, 300mA</t>
  </si>
  <si>
    <t>ELCB - Double Pole 63A, 30mA</t>
  </si>
  <si>
    <t>ELCB - Double Pole 63A, 100mA</t>
  </si>
  <si>
    <t>ELCB - Double Pole 63A, 300mA</t>
  </si>
  <si>
    <t>ELCB 2P Cover</t>
  </si>
  <si>
    <t>ELCB - Four Pole 40A, 30mA</t>
  </si>
  <si>
    <t>ELCB - Four Pole 40A, 100mA</t>
  </si>
  <si>
    <t>ELCB - Four Pole 40A, 300mA</t>
  </si>
  <si>
    <t>ELCB - Four Pole 63A, 30mA</t>
  </si>
  <si>
    <t>ELCB - Four Pole 63A, 100mA</t>
  </si>
  <si>
    <t>ELCB - Four Pole 63A, 300mA</t>
  </si>
  <si>
    <t>ELCB - Four Pole 100A, 300mA</t>
  </si>
  <si>
    <t>ELCB 4P Cover</t>
  </si>
  <si>
    <t>ELCB &amp; MCB Combined 30mA 32A</t>
  </si>
  <si>
    <t>Main Switch - Double Pole 30Amp</t>
  </si>
  <si>
    <t>Main Switch - Four Pole 30Amp</t>
  </si>
  <si>
    <t>Main Switch - Four Pole 60Amp</t>
  </si>
  <si>
    <t xml:space="preserve">MCB 6A 1P </t>
  </si>
  <si>
    <t xml:space="preserve">MCB 10A 1P </t>
  </si>
  <si>
    <t xml:space="preserve">MCB 16A 1P </t>
  </si>
  <si>
    <t>MCB 20A 1P</t>
  </si>
  <si>
    <t xml:space="preserve">MCB 32A 1P </t>
  </si>
  <si>
    <t xml:space="preserve">RCD 40A 30mA 2P </t>
  </si>
  <si>
    <t xml:space="preserve">ISOLATOR 40A 2P </t>
  </si>
  <si>
    <t xml:space="preserve">LED INDICATING LIGHT RED MCB 1P </t>
  </si>
  <si>
    <t xml:space="preserve">LED INDICATING LIGHT BLUE MCB 1P </t>
  </si>
  <si>
    <t>LED INDICATING LIGHT YELLOW MCB 1P</t>
  </si>
  <si>
    <t>LED INDICATING LIGHT GREEN MCB 1P</t>
  </si>
  <si>
    <t xml:space="preserve">BELL FOR MCB </t>
  </si>
  <si>
    <t>6A 2P MCB</t>
  </si>
  <si>
    <t xml:space="preserve">10A 2P MCB </t>
  </si>
  <si>
    <t>16A 2P MCB</t>
  </si>
  <si>
    <t>20A 2P MCB</t>
  </si>
  <si>
    <t xml:space="preserve">32A 2P MCB </t>
  </si>
  <si>
    <t xml:space="preserve">40A 2P MCB </t>
  </si>
  <si>
    <t xml:space="preserve">63A 2P MCB </t>
  </si>
  <si>
    <t>6A 3P MCB</t>
  </si>
  <si>
    <t xml:space="preserve">10A 3P MCB </t>
  </si>
  <si>
    <t>16A 3P MCB</t>
  </si>
  <si>
    <t>20A 3P MCB</t>
  </si>
  <si>
    <t>32A 3P MCB</t>
  </si>
  <si>
    <t>40A 3P MCB</t>
  </si>
  <si>
    <t>63A 3P MCB</t>
  </si>
  <si>
    <t>6A 4P MCB</t>
  </si>
  <si>
    <t>10A 4P MCB</t>
  </si>
  <si>
    <t>16A 4P MCB</t>
  </si>
  <si>
    <t>20A 4P MCB</t>
  </si>
  <si>
    <t xml:space="preserve">32A 4P MCB </t>
  </si>
  <si>
    <t xml:space="preserve">40A 4P MCB </t>
  </si>
  <si>
    <t xml:space="preserve">63A 4P MCB </t>
  </si>
  <si>
    <t xml:space="preserve">6KA 40A 30MA 4P RCD </t>
  </si>
  <si>
    <t xml:space="preserve">6KA 63A 30MA 4P RCD </t>
  </si>
  <si>
    <t>6kA 40A 4P ISOLATOR</t>
  </si>
  <si>
    <t xml:space="preserve">6kA 63A 4P ISOLATOR </t>
  </si>
  <si>
    <t xml:space="preserve">6A 1P MCB MERCURY </t>
  </si>
  <si>
    <t xml:space="preserve">10A 1P MCB- MERCURY </t>
  </si>
  <si>
    <t>16A 1P MCB- MERCURY</t>
  </si>
  <si>
    <t xml:space="preserve">20A 1P MCB- MERCURY </t>
  </si>
  <si>
    <t xml:space="preserve">32A 1P MCB- MERCURY </t>
  </si>
  <si>
    <t xml:space="preserve">40A 30mA 2P RCD-MERCURY </t>
  </si>
  <si>
    <t xml:space="preserve">40A 2P ISOLATOR- MERCURY </t>
  </si>
  <si>
    <t>MCB TP cover</t>
  </si>
  <si>
    <t>MCB 4P cover</t>
  </si>
  <si>
    <t>MCB SP/DP/TP 50-100 Amps Enclosure</t>
  </si>
  <si>
    <t>Isolator - Double Pole 40 Amp</t>
  </si>
  <si>
    <t>Isolator - Double Pole 63 Amp</t>
  </si>
  <si>
    <t>Isolator - Double Pole 100 Amp</t>
  </si>
  <si>
    <t>Isolator - Three Pole 40 Amp</t>
  </si>
  <si>
    <t>Isolator - Three Pole 63 Amp</t>
  </si>
  <si>
    <t>Isolator - Three Pole 100 Amp</t>
  </si>
  <si>
    <t>Isolator - Four Pole 40 Amp</t>
  </si>
  <si>
    <t>Isolator - Four Pole 63 Amp</t>
  </si>
  <si>
    <t>Isolator - Four Pole 100 Amp</t>
  </si>
  <si>
    <t>Isolator Plastic Enclosure</t>
  </si>
  <si>
    <t>SWITCH / SOKETS</t>
  </si>
  <si>
    <t xml:space="preserve">ONE GANG ONE WAY SWITCH 10A/250V </t>
  </si>
  <si>
    <t xml:space="preserve">TWO GANG ONE WAY SWITCH 10A/250V </t>
  </si>
  <si>
    <t>THREE GANG ONE WAY SWITCH 10A/250V</t>
  </si>
  <si>
    <t>FOUR GANG ONE WAY SWITCH 10A/250V</t>
  </si>
  <si>
    <t>FIVE GANG ONE WAY SWITCH 10A/250V</t>
  </si>
  <si>
    <t>ONE GANG TWO WAY SWITCH 10A/250V</t>
  </si>
  <si>
    <t xml:space="preserve">ONE GANG BELL PRESS 10A/250V </t>
  </si>
  <si>
    <t>DOUBLE POLE SWITCH 20A/250V</t>
  </si>
  <si>
    <t>INTERMEDIATE SWITCH 10A/250V</t>
  </si>
  <si>
    <t xml:space="preserve">BLANK PLATE </t>
  </si>
  <si>
    <t>TWO GANG TWO WAY SWITCH 10A/250V</t>
  </si>
  <si>
    <t xml:space="preserve">TWO GANG BELL PRESS </t>
  </si>
  <si>
    <t>THREE GANG TWO WAY 10A /250V</t>
  </si>
  <si>
    <t xml:space="preserve">5A SWITCHED SOCKET OUTLET 5A/250V </t>
  </si>
  <si>
    <t>5A SWITCHED SOCKET OUTLET WITH NEON 5A/250V</t>
  </si>
  <si>
    <t xml:space="preserve">13A SWITCHED SOCKET OUTLET 13A/250V </t>
  </si>
  <si>
    <t xml:space="preserve">13A SWITCHED SOCKET OUTLET WITH NEON 13A/250V </t>
  </si>
  <si>
    <t xml:space="preserve">15A SWITCHED SOCKET OUTLET 15A/250V </t>
  </si>
  <si>
    <t>15A SWITCHED SOCKET OUTLET WITH NEON 15A/250V</t>
  </si>
  <si>
    <t>TV SOCKET OUTLET 75OHMS</t>
  </si>
  <si>
    <t>TELEPHONE SOCKET OUTLET 4WIRE</t>
  </si>
  <si>
    <t xml:space="preserve">DATA SOCKET OUTLET </t>
  </si>
  <si>
    <t xml:space="preserve">13A TWIN SOCKET </t>
  </si>
  <si>
    <t xml:space="preserve">USB CHARGER 5V / 2.5A </t>
  </si>
  <si>
    <t>UNIVERSAL SOCKET</t>
  </si>
  <si>
    <t>TELIPHONE SOCKET 2 GANG</t>
  </si>
  <si>
    <t xml:space="preserve">13A UNSWITCHED SOCKET OUTLET/NEON </t>
  </si>
  <si>
    <t xml:space="preserve">LIGHT DIMMER 500VA </t>
  </si>
  <si>
    <t>FAN SPEED CONTROLLER 400VA</t>
  </si>
  <si>
    <t>4 STEP FAN CONTROLLER</t>
  </si>
  <si>
    <t xml:space="preserve">5 STEP FAN CONTROLLER </t>
  </si>
  <si>
    <t xml:space="preserve">LAMP HOLDER </t>
  </si>
  <si>
    <t>CEILING ROSE</t>
  </si>
  <si>
    <t>13A PLUG TOP</t>
  </si>
  <si>
    <t>15A PLUG TOP</t>
  </si>
  <si>
    <t xml:space="preserve">MOUNTING BOX MODULAR </t>
  </si>
  <si>
    <t>LIGHT FITTINGS &amp; BULBS</t>
  </si>
  <si>
    <t>"BRAND - …................."</t>
  </si>
  <si>
    <t>5" Recess mounted down light - Model No:</t>
  </si>
  <si>
    <t>5" Surface mounted down light - Model No:</t>
  </si>
  <si>
    <t>4" Wall mounted cylindrical light fitting - Model No</t>
  </si>
  <si>
    <t>Weatherproof wall mounted cylindrical light fitting - Model No:</t>
  </si>
  <si>
    <t>Weatherproof wall mounted 2'-0" single fluorescent light fitting Model No</t>
  </si>
  <si>
    <t>8" glass globe pendent type light fitting - Model No:</t>
  </si>
  <si>
    <t>Spot light - Model No:</t>
  </si>
  <si>
    <t>Recessed Mounted Lovered  2'-0" x 2'-0" , 2 nos lights - Model No</t>
  </si>
  <si>
    <t>Recessed Mounted Lovered  2'-0" x 2'-0" , 3 nos lights - Model No</t>
  </si>
  <si>
    <t>Recessed Mounted Lovered  2'-0" x 4'-0" , 2 nos lights - Model No</t>
  </si>
  <si>
    <t>Recessed Mounted Lovered  2'-0" x 4'-0" , 3 nos lights - Model No</t>
  </si>
  <si>
    <t>Fluorescent lamp 36W Single - 4'-0" long , Diffuser Type - Model No:</t>
  </si>
  <si>
    <t>Fluorescent lamp 36W Twin - 4'-0" long , Diffuser Type - Model No:</t>
  </si>
  <si>
    <t>Fluorescent lamp 18W Single - 2'-0" long , Diffuser Type - Model No:</t>
  </si>
  <si>
    <t>Fluorescent lamp 18W Twin - 2'-0" long , Diffuser Type - Model No:</t>
  </si>
  <si>
    <t>Fluorescent lamp 36W Single - 4'-0" long , Reflector Type - Model No:</t>
  </si>
  <si>
    <t>Fluorescent lamp 36W Twin - 4'-0" long , Reflector Type - Model No:</t>
  </si>
  <si>
    <t>Fluorescent lamp 18W Single - 2'-0" long , Reflector Type - Model No</t>
  </si>
  <si>
    <t>Fluorescent lamp 18W Twin - 2'-0" long , Reflector Type - Model No:</t>
  </si>
  <si>
    <t>Fluorescent lamp 36W Single - 4'-0" long , Round Diffuser Type - Model No:</t>
  </si>
  <si>
    <t>Fluorescent lamp 36W Twin - 4'-0" long , Round Diffuser Type - Model No:</t>
  </si>
  <si>
    <t>Fluorescent lamp 18W Single - 2'-0" long , Round Diffuser Type - Model No:</t>
  </si>
  <si>
    <t>Fluorescent lamp 18W Twin - 2'-0" long , Round Diffuser Type - Model No:</t>
  </si>
  <si>
    <t>Fluorescent lamp 36W Single - 4'-0" long , Batton Type - Model No:</t>
  </si>
  <si>
    <t>Fluorescent lamp 36W Twin - 4'-0" long , Batton Type - Model No:</t>
  </si>
  <si>
    <t>Fluorescent lamp 18W Single - 2'-0" long , Batton Type - Model No:</t>
  </si>
  <si>
    <t>Fluorescent lamp 18W Twin - 2'-0" long , Batton Type - Model No:</t>
  </si>
  <si>
    <t>20W CFL Lamp  - Osram , Philips or Approved eqivelvent</t>
  </si>
  <si>
    <t>Incandescent Bulb 100W</t>
  </si>
  <si>
    <t>Mercury Vapour Lamp 125 w clamps with complete</t>
  </si>
  <si>
    <t>Mercury Vapour Lamp 250W  clamps with complete</t>
  </si>
  <si>
    <t>FANS</t>
  </si>
  <si>
    <t xml:space="preserve">Ceiling fan (56") Metal Blade  - ACL </t>
  </si>
  <si>
    <t xml:space="preserve">Ceiling fan (56") Aluminium Blade - ACL </t>
  </si>
  <si>
    <t xml:space="preserve">Ceiling fan (56") Aluminium Blade - Black - ACL </t>
  </si>
  <si>
    <t>Exhaust Fan (K.D.K.)  12" + B lower 12"</t>
  </si>
  <si>
    <t>Fan Hook</t>
  </si>
  <si>
    <t>Exhaust or blower Fan 12" ( K.D.K. or equalent)</t>
  </si>
  <si>
    <t>Wall mounted Fan 16" (KDK or eqquivalent)</t>
  </si>
  <si>
    <t>Dimmer Type Fan Regulator</t>
  </si>
  <si>
    <t>CONDUITS/ CASINGS</t>
  </si>
  <si>
    <t>P.V.C. Conduit 1 1/2"</t>
  </si>
  <si>
    <t>per lenth</t>
  </si>
  <si>
    <t>P.V.C. Conduit 1 1/4"</t>
  </si>
  <si>
    <t>P.V.C. Conduit 1 "</t>
  </si>
  <si>
    <t>P.V.C. Conduit 2"</t>
  </si>
  <si>
    <t>P.V.C. Conduit 3/4"</t>
  </si>
  <si>
    <t>P.V.C. Conduit Box</t>
  </si>
  <si>
    <t>P.V.C. Saddles 1 1/2"</t>
  </si>
  <si>
    <t>P.V.C. Saddles 1 1/4"</t>
  </si>
  <si>
    <t>P.V.C. Saddles 1"</t>
  </si>
  <si>
    <t>P.V.C. Saddles 2"</t>
  </si>
  <si>
    <t>P.V.C. Saddles 3/4"</t>
  </si>
  <si>
    <t>3/4"  Sockets (PVC)</t>
  </si>
  <si>
    <t>1"     Sockets (PVC)</t>
  </si>
  <si>
    <t>1 1/4" Sockets (PVC)</t>
  </si>
  <si>
    <t>1 1/2" Sockets (PVC)</t>
  </si>
  <si>
    <t>2"      Sockets (PVC)</t>
  </si>
  <si>
    <t>3/4"   Bend (PVC)</t>
  </si>
  <si>
    <t>1"      Bend (PVC)</t>
  </si>
  <si>
    <t>1 1/4" Bend (PVC)</t>
  </si>
  <si>
    <t>1 1/2" Bend  (PVC)</t>
  </si>
  <si>
    <t>2"      Bend  (PVC)</t>
  </si>
  <si>
    <t>Plastic casing &amp; Capping 1"</t>
  </si>
  <si>
    <t>L.ft 10</t>
  </si>
  <si>
    <t>EARTH ELECTRODES</t>
  </si>
  <si>
    <t>Earth Electrode - G.I. Pipe 2" dia. x 3.6mm thick</t>
  </si>
  <si>
    <t>L.ft</t>
  </si>
  <si>
    <t xml:space="preserve">Earth Electrode Copper Plate - 2'-0"x 2'-0"x 3mm thick </t>
  </si>
  <si>
    <t>No.</t>
  </si>
  <si>
    <t>Brass screws 3/4"</t>
  </si>
  <si>
    <t xml:space="preserve">Brass screws 1" </t>
  </si>
  <si>
    <t>Brass screws 2"</t>
  </si>
  <si>
    <t>Brass screws 1 1/2"</t>
  </si>
  <si>
    <t>Brass bolt "X 1/2 " dia with washer &amp; Nut</t>
  </si>
  <si>
    <t>Ceiling Rose</t>
  </si>
  <si>
    <t>Connector</t>
  </si>
  <si>
    <t>Din Rail</t>
  </si>
  <si>
    <t>1m</t>
  </si>
  <si>
    <t>Dove Tail Plug</t>
  </si>
  <si>
    <t>Glass Shade</t>
  </si>
  <si>
    <t>G.I. Chain</t>
  </si>
  <si>
    <t>Insulation Tape Roll</t>
  </si>
  <si>
    <t>Rawl Plugs 1 1/2"</t>
  </si>
  <si>
    <t>Solder</t>
  </si>
  <si>
    <t>Lb</t>
  </si>
  <si>
    <t>Spacer bar Saddles 3/4"</t>
  </si>
  <si>
    <t>Junction Box 3 way with plate</t>
  </si>
  <si>
    <t>Plastic shade</t>
  </si>
  <si>
    <t>Sunk Box fixed nut type single plastic</t>
  </si>
  <si>
    <t>Suspension hook</t>
  </si>
  <si>
    <t>Wire Clips 1"-2 1/2"</t>
  </si>
  <si>
    <t>100 Nos</t>
  </si>
  <si>
    <t>Wodden Block</t>
  </si>
  <si>
    <t>Wodden board</t>
  </si>
  <si>
    <t>Wodden Plug</t>
  </si>
  <si>
    <t>Flexible cords 14/0076 2 core</t>
  </si>
  <si>
    <t>Flexible cords 14/0076 3 core</t>
  </si>
  <si>
    <t>Holders batten Type</t>
  </si>
  <si>
    <t>Holders Pendent Type</t>
  </si>
  <si>
    <t>Neutral Link 14 Holes</t>
  </si>
  <si>
    <t>Neutral Link 7 Holes</t>
  </si>
  <si>
    <t>Spot Bulb 150W White</t>
  </si>
  <si>
    <t>Spot holder</t>
  </si>
  <si>
    <t>Spot light lamp holder</t>
  </si>
  <si>
    <t>Spot light lamp bulb</t>
  </si>
  <si>
    <t>Water tight lamp holder</t>
  </si>
  <si>
    <t>Water tight lamp bulb</t>
  </si>
  <si>
    <t>Materials Prices Fluctuation Analysis 2024 - Plumbing (Excluding VAT &amp; including SSCL)</t>
  </si>
  <si>
    <t>Source</t>
  </si>
  <si>
    <t>uPVC PRESSURE PIPES</t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</si>
  <si>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14 Plain Ended 20mm </t>
    </r>
  </si>
  <si>
    <t>S-lon price list</t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</si>
  <si>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</si>
  <si>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32mm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</si>
  <si>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</si>
  <si>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50mm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</si>
  <si>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</si>
  <si>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</si>
  <si>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</si>
  <si>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</si>
  <si>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</si>
  <si>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</si>
  <si>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</si>
  <si>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</si>
  <si>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Plain Ended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</si>
  <si>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</si>
  <si>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32mm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</si>
  <si>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</si>
  <si>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50mm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</si>
  <si>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</si>
  <si>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</si>
  <si>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</si>
  <si>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</si>
  <si>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</si>
  <si>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</si>
  <si>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</si>
  <si>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</si>
  <si>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Solvent Socketed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</si>
  <si>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</si>
  <si>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</si>
  <si>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</si>
  <si>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</si>
  <si>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</si>
  <si>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</si>
  <si>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</si>
  <si>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</si>
  <si>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11 Bell Formed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</si>
  <si>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32mm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</si>
  <si>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</si>
  <si>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Ended50mm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</si>
  <si>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</si>
  <si>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</si>
  <si>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</si>
  <si>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</si>
  <si>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</si>
  <si>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</si>
  <si>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</si>
  <si>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</si>
  <si>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Plain Ended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</si>
  <si>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</si>
  <si>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32mm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</si>
  <si>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</si>
  <si>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</si>
  <si>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</si>
  <si>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</si>
  <si>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</si>
  <si>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</si>
  <si>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</si>
  <si>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</si>
  <si>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</si>
  <si>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Solvent Socketed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</si>
  <si>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 Bell Formed</t>
    </r>
    <r>
      <rPr>
        <sz val="12"/>
        <color theme="1"/>
        <rFont val="Times New Roman"/>
      </rPr>
      <t xml:space="preserve">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</si>
  <si>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</si>
  <si>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</si>
  <si>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</si>
  <si>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</si>
  <si>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</si>
  <si>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</si>
  <si>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</si>
  <si>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9</t>
    </r>
    <r>
      <rPr>
        <sz val="12"/>
        <color theme="1"/>
        <rFont val="Times New Roman"/>
      </rPr>
      <t xml:space="preserve"> Bell Formed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</si>
  <si>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32mm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</si>
  <si>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</si>
  <si>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50mm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</si>
  <si>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</si>
  <si>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</si>
  <si>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</si>
  <si>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</si>
  <si>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</si>
  <si>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</si>
  <si>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</si>
  <si>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</si>
  <si>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Plain Ended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</si>
  <si>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32mm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</si>
  <si>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</si>
  <si>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50mm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</si>
  <si>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</si>
  <si>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</si>
  <si>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</si>
  <si>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</si>
  <si>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</si>
  <si>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</si>
  <si>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</si>
  <si>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</si>
  <si>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</t>
    </r>
    <r>
      <rPr>
        <sz val="12"/>
        <color theme="1"/>
        <rFont val="Times New Roman"/>
      </rPr>
      <t xml:space="preserve"> Solvent Socketed 315mm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</si>
  <si>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63mm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</si>
  <si>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75mm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</si>
  <si>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90mm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</si>
  <si>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110mm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</si>
  <si>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140mm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</si>
  <si>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160mm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</si>
  <si>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225mm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</si>
  <si>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280mm </t>
    </r>
  </si>
  <si>
    <r>
      <rPr>
        <sz val="12"/>
        <color theme="1"/>
        <rFont val="Times New Roman"/>
      </rPr>
      <t>PN</t>
    </r>
    <r>
      <rPr>
        <vertAlign val="subscript"/>
        <sz val="12"/>
        <color theme="1"/>
        <rFont val="Times New Roman"/>
      </rPr>
      <t>T</t>
    </r>
    <r>
      <rPr>
        <sz val="12"/>
        <color theme="1"/>
        <rFont val="Times New Roman"/>
      </rPr>
      <t>7 Bell Formed</t>
    </r>
    <r>
      <rPr>
        <sz val="12"/>
        <color theme="1"/>
        <rFont val="Times New Roman"/>
      </rPr>
      <t xml:space="preserve"> 315mm </t>
    </r>
  </si>
  <si>
    <t>uPVC NON PRESSURE PIPES</t>
  </si>
  <si>
    <t>Class 4.0 Plain Ended 50mm</t>
  </si>
  <si>
    <t>Class 4.0 Plain Ended 63mm</t>
  </si>
  <si>
    <t>Class 4.0 Plain Ended 75mm</t>
  </si>
  <si>
    <t>Class 4.0 Plain Ended 90mm</t>
  </si>
  <si>
    <t>Class 4.0 Plain Ended 110mm</t>
  </si>
  <si>
    <t>Class 4.0 Plain Ended 160mm</t>
  </si>
  <si>
    <t>Class 4.0 Plain Ended 225mm</t>
  </si>
  <si>
    <t>Class 4.0 Plain Ended 280mm</t>
  </si>
  <si>
    <t>Class 4.0 Plain Ended 315mm</t>
  </si>
  <si>
    <t>Class 4.0 Solvent Socket 50mm</t>
  </si>
  <si>
    <t>Class 4.0 Solvent Socket 63mm</t>
  </si>
  <si>
    <t>Class 4.0 Solvent Socket 75mm</t>
  </si>
  <si>
    <t>Class 4.0 Solvent Socket 90mm</t>
  </si>
  <si>
    <t>Class 4.0 Solvent Socket 110mm</t>
  </si>
  <si>
    <t>Class 4.0 Solvent Socket 160mm</t>
  </si>
  <si>
    <t>Class 4.0 Solvent Socket 225mm</t>
  </si>
  <si>
    <t>Class 4.0 Solvent Socket 280mm</t>
  </si>
  <si>
    <t>Class 4.0 Solvent Socket 315mm</t>
  </si>
  <si>
    <t>Class 4.0 Bell Formed 110mm</t>
  </si>
  <si>
    <t>Class 4.0 Bell Formed 160mm</t>
  </si>
  <si>
    <t>Class 4.0 Bell Formed 225mm</t>
  </si>
  <si>
    <t>Class 4.0 Bell Formed 280mm</t>
  </si>
  <si>
    <t>Class 4.0 Bell Formed 315mm</t>
  </si>
  <si>
    <t xml:space="preserve">uPVC WATER PIPES FITTINGS </t>
  </si>
  <si>
    <t>uPVC Water Pipe Fittings - Socket 20mm</t>
  </si>
  <si>
    <t>uPVC Water Pipe Fittings - Socket 25mm</t>
  </si>
  <si>
    <t>uPVC Water Pipe Fittings - Socket 32mm</t>
  </si>
  <si>
    <t>uPVC Water Pipe Fittings - Socket 40mm</t>
  </si>
  <si>
    <t>uPVC Water Pipe Fittings - Socket 50mm</t>
  </si>
  <si>
    <t>uPVC Water Pipe Fittings - Socket 63mm</t>
  </si>
  <si>
    <t>uPVC Water Pipe Fittings - Socket 75mm</t>
  </si>
  <si>
    <t>uPVC Water Pipe Fittings - Socket 90mm</t>
  </si>
  <si>
    <t>uPVC Water Pipe Fittings - Socket 110mm</t>
  </si>
  <si>
    <t>uPVC Water Pipe Fittings - Valve Socket 20mm</t>
  </si>
  <si>
    <t>uPVC Water Pipe Fittings - Valve Socket 25mm</t>
  </si>
  <si>
    <t>uPVC Water Pipe Fittings - Valve Socket 32mm</t>
  </si>
  <si>
    <t>uPVC Water Pipe Fittings - Valve Socket 40mm</t>
  </si>
  <si>
    <t>uPVC Water Pipe Fittings - Valve Socket 50mm</t>
  </si>
  <si>
    <t>uPVC Water Pipe Fittings - Valve Socket 63mm</t>
  </si>
  <si>
    <t>uPVC Water Pipe Fittings - Valve Socket 75mm</t>
  </si>
  <si>
    <t>uPVC Water Pipe Fittings - Valve Socket 90mm</t>
  </si>
  <si>
    <t>uPVC Water Pipe Fittings - Valve Socket 110mm</t>
  </si>
  <si>
    <t>19</t>
  </si>
  <si>
    <t>uPVC Water Pipe Fittings - Faucet Socket 20mm</t>
  </si>
  <si>
    <t>20</t>
  </si>
  <si>
    <t>uPVC Water Pipe Fittings - Faucet Socket 25mm</t>
  </si>
  <si>
    <t>21</t>
  </si>
  <si>
    <t>uPVC Water Pipe Fittings - Faucet Socket 32mm</t>
  </si>
  <si>
    <t>22</t>
  </si>
  <si>
    <t>uPVC Water Pipe Fittings - Faucet Socket 40mm</t>
  </si>
  <si>
    <t>23</t>
  </si>
  <si>
    <t>uPVC Water Pipe Fittings - Faucet Socket 50mm</t>
  </si>
  <si>
    <t>24</t>
  </si>
  <si>
    <t>uPVC Water Pipe Fittings - Faucet Socket 63mm</t>
  </si>
  <si>
    <t>25</t>
  </si>
  <si>
    <t>uPVC Water Pipe Fittings - Faucet Socket 75mm</t>
  </si>
  <si>
    <t>26</t>
  </si>
  <si>
    <t>uPVC Water Pipe Fittings - Faucet Socket 90mm</t>
  </si>
  <si>
    <t>27</t>
  </si>
  <si>
    <t>uPVC Water Pipe Fittings - Faucet Socket 110mm</t>
  </si>
  <si>
    <t>28</t>
  </si>
  <si>
    <t>uPVC Water Pipe Fittings - Elbow 20mm</t>
  </si>
  <si>
    <t>29</t>
  </si>
  <si>
    <t>uPVC Water Pipe Fittings - Elbow  25mm</t>
  </si>
  <si>
    <t>30</t>
  </si>
  <si>
    <t>uPVC Water Pipe Fittings - Elbow  32mm</t>
  </si>
  <si>
    <t>31</t>
  </si>
  <si>
    <t>uPVC Water Pipe Fittings - Elbow  40mm</t>
  </si>
  <si>
    <t>32</t>
  </si>
  <si>
    <t>uPVC Water Pipe Fittings - Elbow 50mm</t>
  </si>
  <si>
    <t>33</t>
  </si>
  <si>
    <t>uPVC Water Pipe Fittings - Elbow 63mm</t>
  </si>
  <si>
    <t>34</t>
  </si>
  <si>
    <t>uPVC Water Pipe Fittings - Elbow 75mm</t>
  </si>
  <si>
    <t>35</t>
  </si>
  <si>
    <t>uPVC Water Pipe Fittings - Elbow 90mm</t>
  </si>
  <si>
    <t>36</t>
  </si>
  <si>
    <t>uPVC Water Pipe Fittings - Elbow 110mm</t>
  </si>
  <si>
    <t>37</t>
  </si>
  <si>
    <t>uPVC Water Pipe Fittings - Equal Tee 20mm</t>
  </si>
  <si>
    <t>38</t>
  </si>
  <si>
    <t>uPVC Water Pipe Fittings -Equal Tee  25mm</t>
  </si>
  <si>
    <t>39</t>
  </si>
  <si>
    <t>uPVC Water Pipe Fittings - Equal Tee  32mm</t>
  </si>
  <si>
    <t>40</t>
  </si>
  <si>
    <t>uPVC Water Pipe Fittings -Equal Tee  40mm</t>
  </si>
  <si>
    <t>41</t>
  </si>
  <si>
    <t>uPVC Water Pipe Fittings - Equal Tee 50mm</t>
  </si>
  <si>
    <t>42</t>
  </si>
  <si>
    <t>uPVC Water Pipe Fittings - Equal Tee 63mm</t>
  </si>
  <si>
    <t>43</t>
  </si>
  <si>
    <t>uPVC Water Pipe Fittings - Equal Tee 75mm</t>
  </si>
  <si>
    <t>44</t>
  </si>
  <si>
    <t>uPVC Water Pipe Fittings - Equal Tee 90mm</t>
  </si>
  <si>
    <t>45</t>
  </si>
  <si>
    <t>uPVC Water Pipe Fittings - Equal Tee 110mm</t>
  </si>
  <si>
    <t>46</t>
  </si>
  <si>
    <t>uPVC Water Pipe Fittings - Bend 20mm</t>
  </si>
  <si>
    <t>47</t>
  </si>
  <si>
    <t>uPVC Water Pipe Fittings -Bend  25mm</t>
  </si>
  <si>
    <t>48</t>
  </si>
  <si>
    <t>uPVC Water Pipe Fittings - Bend  32mm</t>
  </si>
  <si>
    <t>49</t>
  </si>
  <si>
    <t>uPVC Water Pipe Fittings -Bend  40mm</t>
  </si>
  <si>
    <t>50</t>
  </si>
  <si>
    <t>uPVC Water Pipe Fittings - Bend 50mm</t>
  </si>
  <si>
    <t>51</t>
  </si>
  <si>
    <t>uPVC Water Pipe Fittings -Bend 63mm</t>
  </si>
  <si>
    <t>52</t>
  </si>
  <si>
    <t>uPVC Water Pipe Fittings - Bend 75mm</t>
  </si>
  <si>
    <t>53</t>
  </si>
  <si>
    <t>uPVC Water Pipe Fittings -Bend 90mm</t>
  </si>
  <si>
    <t>54</t>
  </si>
  <si>
    <t>uPVC Water Pipe Fittings - Bend 110mm</t>
  </si>
  <si>
    <t>55</t>
  </si>
  <si>
    <t>uPVC Water Pipe Fittings - Cap 20mm</t>
  </si>
  <si>
    <t>56</t>
  </si>
  <si>
    <t>uPVC Water Pipe Fittings -Cap  25mm</t>
  </si>
  <si>
    <t>57</t>
  </si>
  <si>
    <t>uPVC Water Pipe Fittings - Cap  32mm</t>
  </si>
  <si>
    <t>58</t>
  </si>
  <si>
    <t>uPVC Water Pipe Fittings -Cap  40mm</t>
  </si>
  <si>
    <t>59</t>
  </si>
  <si>
    <t>uPVC Water Pipe Fittings -Cap  50mm</t>
  </si>
  <si>
    <t>60</t>
  </si>
  <si>
    <t>uPVC Water Pipe Fittings - Cap 63mm</t>
  </si>
  <si>
    <t>61</t>
  </si>
  <si>
    <t>uPVC Water Pipe Fittings - Cap 75mm</t>
  </si>
  <si>
    <t>62</t>
  </si>
  <si>
    <t>uPVC Water Pipe Fittings - Cap 90mm</t>
  </si>
  <si>
    <t>63</t>
  </si>
  <si>
    <t>uPVC Water Pipe Fittings -Cap 110mm</t>
  </si>
  <si>
    <t>64</t>
  </si>
  <si>
    <t>uPVC Water Pipe Fittings - Saddle (Clip) 20mm</t>
  </si>
  <si>
    <t>65</t>
  </si>
  <si>
    <t>uPVC Water Pipe Fittings -Saddle (Clip)  25mm</t>
  </si>
  <si>
    <t>66</t>
  </si>
  <si>
    <t>uPVC Water Pipe Fittings - Saddle (Clip)  32mm</t>
  </si>
  <si>
    <t>67</t>
  </si>
  <si>
    <t>uPVC Water Pipe Fittings -Saddle (Clip)  40mm</t>
  </si>
  <si>
    <t>68</t>
  </si>
  <si>
    <t>uPVC Water Pipe Fittings - Saddle (Clip) 50mm</t>
  </si>
  <si>
    <t>69</t>
  </si>
  <si>
    <t>uPVC Water Pipe Fittings - Saddle (Clip) 63mm</t>
  </si>
  <si>
    <t>70</t>
  </si>
  <si>
    <t>uPVC Water Pipe Fittings - Saddle (Clip) 75mm</t>
  </si>
  <si>
    <t>71</t>
  </si>
  <si>
    <t>uPVC Water Pipe Fittings - Saddle (Clip) 90mm</t>
  </si>
  <si>
    <t>72</t>
  </si>
  <si>
    <t>uPVC Water Pipe Fittings - Saddle (Clip) 110mm</t>
  </si>
  <si>
    <t>73</t>
  </si>
  <si>
    <t>uPVC Water Pipe Fittings - Elbow 45 20mm</t>
  </si>
  <si>
    <t>74</t>
  </si>
  <si>
    <t>uPVC Water Pipe Fittings -Elbow 45  25mm</t>
  </si>
  <si>
    <t>75</t>
  </si>
  <si>
    <t>uPVC Water Pipe Fittings - Elbow 45  32mm</t>
  </si>
  <si>
    <t>76</t>
  </si>
  <si>
    <t>uPVC Water Pipe Fittings -Elbow 45  40mm</t>
  </si>
  <si>
    <t>77</t>
  </si>
  <si>
    <t>uPVC Water Pipe Fittings - Elbow 45 50mm</t>
  </si>
  <si>
    <t>78</t>
  </si>
  <si>
    <t>uPVC Water Pipe Fittings - Elbow 45 63mm</t>
  </si>
  <si>
    <t xml:space="preserve">uPVC WATER PIPES REDUCING FITTINGS </t>
  </si>
  <si>
    <t>REDUCING SOCKET</t>
  </si>
  <si>
    <t>25mm x 20mm</t>
  </si>
  <si>
    <t>32mm x 20mm</t>
  </si>
  <si>
    <t>32mm x 25mm</t>
  </si>
  <si>
    <t>40mm x 20mm</t>
  </si>
  <si>
    <t>40mm x 25mm</t>
  </si>
  <si>
    <t>40mm x 32mm</t>
  </si>
  <si>
    <t>50mm x 20mm</t>
  </si>
  <si>
    <t>50mm x 25mm</t>
  </si>
  <si>
    <t>50mm x 32mm</t>
  </si>
  <si>
    <t>50mm x 40mm</t>
  </si>
  <si>
    <t>63mm x 20mm</t>
  </si>
  <si>
    <t>63mm x 25mm</t>
  </si>
  <si>
    <t>63mm x 32mm</t>
  </si>
  <si>
    <t>63mm x 40mm</t>
  </si>
  <si>
    <t>63mm x 50mm</t>
  </si>
  <si>
    <t>75mm x 32mm</t>
  </si>
  <si>
    <t>75mm x 40mm</t>
  </si>
  <si>
    <t>75mm x 50mm</t>
  </si>
  <si>
    <t xml:space="preserve">75mm x 63mm </t>
  </si>
  <si>
    <t>90mm x 40mm</t>
  </si>
  <si>
    <t>90mm x 50mm</t>
  </si>
  <si>
    <t>90mm x 63mm</t>
  </si>
  <si>
    <t>90mm x 75mm</t>
  </si>
  <si>
    <t>110mm x 50mm</t>
  </si>
  <si>
    <t>110mm x 63mm</t>
  </si>
  <si>
    <t>110mm x 75mm</t>
  </si>
  <si>
    <t xml:space="preserve">110mm x 90mm </t>
  </si>
  <si>
    <t>REDUCING TEE</t>
  </si>
  <si>
    <t xml:space="preserve">RAIN WATER MANAGEMENT </t>
  </si>
  <si>
    <t>Square Gutter- Regular (3.65m)</t>
  </si>
  <si>
    <t>Down pipe (3.65m)</t>
  </si>
  <si>
    <t>Running Head</t>
  </si>
  <si>
    <t>Gutter Joiner</t>
  </si>
  <si>
    <t>Mitre Joiner</t>
  </si>
  <si>
    <t>End Cap</t>
  </si>
  <si>
    <t xml:space="preserve">Gutter Box </t>
  </si>
  <si>
    <t>Gutter Bracket A</t>
  </si>
  <si>
    <t>Gutter Bracket B</t>
  </si>
  <si>
    <t>Down pipe  Elbow</t>
  </si>
  <si>
    <t xml:space="preserve">Down pipe Joiner </t>
  </si>
  <si>
    <t>Down pipe Clip</t>
  </si>
  <si>
    <t>DRAINAGE FITTINGS</t>
  </si>
  <si>
    <t>BEND 45</t>
  </si>
  <si>
    <t>40mm</t>
  </si>
  <si>
    <t>50mm</t>
  </si>
  <si>
    <t>63mm</t>
  </si>
  <si>
    <t>110mm</t>
  </si>
  <si>
    <t>160mm</t>
  </si>
  <si>
    <t>BEND 89</t>
  </si>
  <si>
    <t>EQUAL TEE</t>
  </si>
  <si>
    <t>SWEPT TEE</t>
  </si>
  <si>
    <t>SINGLE Y</t>
  </si>
  <si>
    <t>VENT COWL</t>
  </si>
  <si>
    <t>DOOR BEND 45</t>
  </si>
  <si>
    <t>DOOR BEND 89</t>
  </si>
  <si>
    <t>DOOR TEE</t>
  </si>
  <si>
    <t>SWEPT DOOR TEE</t>
  </si>
  <si>
    <t>SINGLE DOOR Y</t>
  </si>
  <si>
    <t>END CLOSURE</t>
  </si>
  <si>
    <t>DOUBLE Y 45</t>
  </si>
  <si>
    <t xml:space="preserve">REDUCING Y </t>
  </si>
  <si>
    <t>110mm X 63mm</t>
  </si>
  <si>
    <t xml:space="preserve">160mm X 110mm </t>
  </si>
  <si>
    <t>INSEPECTION SOCKET WCE</t>
  </si>
  <si>
    <t>DOOR Q TRAP WCE</t>
  </si>
  <si>
    <t>DOOR TRAP SINGLE SOCKET</t>
  </si>
  <si>
    <t>4"</t>
  </si>
  <si>
    <t>MULTI FLOOR TRAP BASE 4 WAY</t>
  </si>
  <si>
    <t>3"</t>
  </si>
  <si>
    <t>MULTI FLOOR TRAP BASE 2 WAY</t>
  </si>
  <si>
    <t>MULTI FLOOR TRAP BASE 2 WAY WITH TOP TILE</t>
  </si>
  <si>
    <t xml:space="preserve"> TOP TILE SET</t>
  </si>
  <si>
    <t xml:space="preserve">150mm x 150mm </t>
  </si>
  <si>
    <t>DOOR DOUBLE Y 45</t>
  </si>
  <si>
    <t>DOOR REDUCING Y 45</t>
  </si>
  <si>
    <t>DOOR S TRAP</t>
  </si>
  <si>
    <t>DOOR P TRAP</t>
  </si>
  <si>
    <t>DOOR TRAP DOUBLE SOCKET</t>
  </si>
  <si>
    <t>MULTI FLOOR TRAP 4 WAY WITH TOP TILE</t>
  </si>
  <si>
    <t>SOLVENT CEMENT</t>
  </si>
  <si>
    <t>Solvent cement - Slon</t>
  </si>
  <si>
    <t>15g</t>
  </si>
  <si>
    <t>25g</t>
  </si>
  <si>
    <t>50g</t>
  </si>
  <si>
    <t>75g</t>
  </si>
  <si>
    <t>125g</t>
  </si>
  <si>
    <t>250g</t>
  </si>
  <si>
    <t>500g</t>
  </si>
  <si>
    <t>uPVC CABLE TRUNKING 3.00m</t>
  </si>
  <si>
    <t>16 X 12.5mm</t>
  </si>
  <si>
    <t>20 x 12.5mm</t>
  </si>
  <si>
    <t>25 x 16mm</t>
  </si>
  <si>
    <t>32 x 16mm</t>
  </si>
  <si>
    <t>40 x 16mm</t>
  </si>
  <si>
    <t>40x 25mm</t>
  </si>
  <si>
    <t>50 x 25mm</t>
  </si>
  <si>
    <t>50 x 50mm</t>
  </si>
  <si>
    <t>75 x 50mm</t>
  </si>
  <si>
    <t>100 x 50mm</t>
  </si>
  <si>
    <t>100 x 75mm</t>
  </si>
  <si>
    <t>100 x 100mm</t>
  </si>
  <si>
    <t>Material</t>
  </si>
  <si>
    <t>Dimension 
(inches)</t>
  </si>
  <si>
    <t>Dimension 
(mm)</t>
  </si>
  <si>
    <t>Thickness 
(mm)</t>
  </si>
  <si>
    <t>Length
 (m)</t>
  </si>
  <si>
    <t>Weight
 (kg)</t>
  </si>
  <si>
    <t>GI pipes</t>
  </si>
  <si>
    <t>1 1/4</t>
  </si>
  <si>
    <t>1 1/2</t>
  </si>
  <si>
    <t>Skilled ,Unskilled Labour rates and OH&amp;P</t>
  </si>
  <si>
    <t>Type</t>
  </si>
  <si>
    <t>Skilled Labour</t>
  </si>
  <si>
    <t xml:space="preserve">Capenter </t>
  </si>
  <si>
    <t>Day</t>
  </si>
  <si>
    <t>Electrician</t>
  </si>
  <si>
    <t>Plumber</t>
  </si>
  <si>
    <t>Welder</t>
  </si>
  <si>
    <t>Mason</t>
  </si>
  <si>
    <t>Rigger</t>
  </si>
  <si>
    <t xml:space="preserve">Painter </t>
  </si>
  <si>
    <t>Operator (Pump car)</t>
  </si>
  <si>
    <t xml:space="preserve">Excavator </t>
  </si>
  <si>
    <t xml:space="preserve">Roller </t>
  </si>
  <si>
    <t>Unskilled Labour</t>
  </si>
  <si>
    <t>Labour</t>
  </si>
  <si>
    <t>Overheads and profit</t>
  </si>
  <si>
    <t>Percentage 20%</t>
  </si>
  <si>
    <t>Percentage</t>
  </si>
  <si>
    <t>GI Pipe- Pre galvanized (Excluding VAT)</t>
  </si>
  <si>
    <t>Month</t>
  </si>
  <si>
    <t>Profile Size (inch)</t>
  </si>
  <si>
    <t>Thickness (mm)</t>
  </si>
  <si>
    <t>Lenght (m)</t>
  </si>
  <si>
    <t>weight per tube (kg)</t>
  </si>
  <si>
    <t>No. of tubes per ton</t>
  </si>
  <si>
    <t>No. of tubes per bundle</t>
  </si>
  <si>
    <t>Price per tube</t>
  </si>
  <si>
    <t>0.9mm</t>
  </si>
  <si>
    <t>5.8m</t>
  </si>
  <si>
    <t>1.0mm</t>
  </si>
  <si>
    <t>1.1mm</t>
  </si>
  <si>
    <t>1.2mm</t>
  </si>
  <si>
    <t>1.4mm</t>
  </si>
  <si>
    <t>1.6mm</t>
  </si>
  <si>
    <t>1.8mm</t>
  </si>
  <si>
    <t>1.9mm</t>
  </si>
  <si>
    <t>1  1/4</t>
  </si>
  <si>
    <t>1  1/2</t>
  </si>
  <si>
    <t>2.0mm</t>
  </si>
  <si>
    <t>2.3mm</t>
  </si>
  <si>
    <t>2  1/2</t>
  </si>
  <si>
    <t>2.9mm</t>
  </si>
  <si>
    <t>3.0mm</t>
  </si>
  <si>
    <t>GI Box bar- Pre galvanized (Excluding VAT)</t>
  </si>
  <si>
    <t>Profile Size (mm)</t>
  </si>
  <si>
    <t>20x20</t>
  </si>
  <si>
    <t>5.5m</t>
  </si>
  <si>
    <t>25x25</t>
  </si>
  <si>
    <t>25x50</t>
  </si>
  <si>
    <t>38x38</t>
  </si>
  <si>
    <t>75x40</t>
  </si>
  <si>
    <t>75x25</t>
  </si>
  <si>
    <t>50x50</t>
  </si>
  <si>
    <t>100x50</t>
  </si>
  <si>
    <t>150x75</t>
  </si>
  <si>
    <t>Imported Soil (Including …..km transport) 2 cube lorry</t>
  </si>
  <si>
    <t>Orel</t>
  </si>
  <si>
    <t>Top Soil (Including …..km transport)</t>
  </si>
  <si>
    <t>Red soil (Including 10 km transport)</t>
  </si>
  <si>
    <t>Query waste (Including …..km transport)</t>
  </si>
  <si>
    <t>Recheck / Peliyagoda</t>
  </si>
  <si>
    <t>Rubble (6''-9'' size) (Including …..km transport)</t>
  </si>
  <si>
    <t>Sand- river sand (Including …..km transport)</t>
  </si>
  <si>
    <t>Sand- Sea sand (Washed) (Including …..km transport)</t>
  </si>
  <si>
    <t>Metal -20mm size (Including …..km transport)</t>
  </si>
  <si>
    <t>Recheck / Orel</t>
  </si>
  <si>
    <t>ICC - Ready Mix Plant</t>
  </si>
  <si>
    <t>21,500 -Tokyo</t>
  </si>
  <si>
    <t>22,500  - Tokyo</t>
  </si>
  <si>
    <t>23,750 - Tokyo</t>
  </si>
  <si>
    <t>25,000 - Tokyo</t>
  </si>
  <si>
    <t xml:space="preserve">General Timber-Class 1 timber  (100x75mm size) </t>
  </si>
  <si>
    <t xml:space="preserve">Formwork Timber-Class 3, 1" thick, 6" wide timber plank </t>
  </si>
  <si>
    <t>Plywood Sheet - 12 mm thick (8 x 4 ft)</t>
  </si>
  <si>
    <t>Plywood Sheet - 15 mm thick  (8 x 4 ft)</t>
  </si>
  <si>
    <t>Plywood Sheet (WBP)- 12 mm thick (8 x 4 ft)</t>
  </si>
  <si>
    <t>EJ/LW</t>
  </si>
  <si>
    <t>8mm (5/16") Thread bar</t>
  </si>
  <si>
    <t>P-cone</t>
  </si>
  <si>
    <t>set</t>
  </si>
  <si>
    <t>Mould oil</t>
  </si>
  <si>
    <t>Ltr</t>
  </si>
  <si>
    <t>EJ/TW</t>
  </si>
  <si>
    <t xml:space="preserve">Sanken </t>
  </si>
  <si>
    <t>Reinforcement steel-Imported (Bulk)</t>
  </si>
  <si>
    <t>Bricks-Hand cut (size …....)</t>
  </si>
  <si>
    <t>NADEESHAN / Size &amp; Price</t>
  </si>
  <si>
    <t>Bricks-Machine Cut (size …....)</t>
  </si>
  <si>
    <t>Wire cut bricks (size …....)</t>
  </si>
  <si>
    <t>TW</t>
  </si>
  <si>
    <t>143 WiVAT</t>
  </si>
  <si>
    <t>194 VAT</t>
  </si>
  <si>
    <t>255 VAT</t>
  </si>
  <si>
    <t>Cement Blocks solid -400x200x100mm (Mascons)</t>
  </si>
  <si>
    <t>169 VAT</t>
  </si>
  <si>
    <t>Cement Blocks solid -400x200x150mm (Mascons)</t>
  </si>
  <si>
    <t>245 VAT</t>
  </si>
  <si>
    <t>315 VAT</t>
  </si>
  <si>
    <t>Lightweight concrete Blocks  -600x200x100mm</t>
  </si>
  <si>
    <t>DEEPTHI</t>
  </si>
  <si>
    <t>Lightweight concrete Blocks  -600x200x150mm</t>
  </si>
  <si>
    <t>Lightweight concrete Blocks  -600x200x200mm</t>
  </si>
  <si>
    <t>Non - Rechargable</t>
  </si>
  <si>
    <t>C channel 100x50x5mm</t>
  </si>
  <si>
    <t>Waterproofing materials</t>
  </si>
  <si>
    <t>3mm double bubble thermal insulation - size ….........</t>
  </si>
  <si>
    <t xml:space="preserve">Plastisizer </t>
  </si>
  <si>
    <t xml:space="preserve">LW </t>
  </si>
  <si>
    <t>Structural steel- Angle iron- 50x50x5mm</t>
  </si>
  <si>
    <t xml:space="preserve">GI Box bars - 50x25x1.4mm </t>
  </si>
  <si>
    <t xml:space="preserve">GI C Channel - 100x50x5mm </t>
  </si>
  <si>
    <t>GI Lipped channel - 45x30x0.5mm</t>
  </si>
  <si>
    <t>Class 1 Timber planks - 3/4"</t>
  </si>
  <si>
    <t>Class 1 Timber planks - 11/4"</t>
  </si>
  <si>
    <t>Class 1 Timber planks - 11/8"</t>
  </si>
  <si>
    <t>Class 1 Timber - 3"x4"</t>
  </si>
  <si>
    <t>Class 1 Timber - 11/2" x 11/2"</t>
  </si>
  <si>
    <t>Rawl plugs with 2" screw</t>
  </si>
  <si>
    <t>Dowels</t>
  </si>
  <si>
    <t>Glass panes - 3mm plain glass (Ordinary)</t>
  </si>
  <si>
    <t>Glass panes - 5mm plain glass (Ordinary)</t>
  </si>
  <si>
    <t>Plywood door (Ordinary) - 3' 3" X 7' 0"</t>
  </si>
  <si>
    <t>Plywood door (Marine) - 2' 9" X 7' 0"</t>
  </si>
  <si>
    <t>Fillets 1/2"x1/2"</t>
  </si>
  <si>
    <t>Brass screws 11/2"</t>
  </si>
  <si>
    <t>Brass screws 1"</t>
  </si>
  <si>
    <t xml:space="preserve">Aluminium door, windows &amp; partitions - Aluminum door </t>
  </si>
  <si>
    <t>Door and Window Fittings - 100x75 mm brass butt hinges</t>
  </si>
  <si>
    <t>Door and Window Fittings - 100x75 mm SS butt hinges</t>
  </si>
  <si>
    <t>Door and Window Fittings - 300mm high SS door handle</t>
  </si>
  <si>
    <t>Door and Window Fittings - Window fastner</t>
  </si>
  <si>
    <t>Door and Window Fittings - 300mm high SS barrel bolts</t>
  </si>
  <si>
    <t>Hinges Stainless steel 102 x 76 x 2mm ; Brand - …..................</t>
  </si>
  <si>
    <t>Mortice door lock single - Brand …….....</t>
  </si>
  <si>
    <t>Mortice door lock double - Brand …..............</t>
  </si>
  <si>
    <t>Night latch lock - Brand - …...........</t>
  </si>
  <si>
    <t>Cylindrical door lock - Brand - …..............</t>
  </si>
  <si>
    <t>Hydraulic door closer - Brand …................</t>
  </si>
  <si>
    <t>Rim lock - Brand - …...................</t>
  </si>
  <si>
    <t>Floor Hinge - Brand - …...............</t>
  </si>
  <si>
    <t>Door closer - Brand - …...................</t>
  </si>
  <si>
    <t xml:space="preserve">Casement fasteners </t>
  </si>
  <si>
    <t xml:space="preserve">Casement stay - 6" </t>
  </si>
  <si>
    <t xml:space="preserve">Casement stay - 12" </t>
  </si>
  <si>
    <t>Centre pivot 4"</t>
  </si>
  <si>
    <t>Door or Window pull rings - Medium - 1 1/4" - SS</t>
  </si>
  <si>
    <t>Door or Window pull rings - Large - 2" - SS</t>
  </si>
  <si>
    <t>Tower bolts 10" SS - Brand …............</t>
  </si>
  <si>
    <t>Tower bolts 12" SS - Brand …............</t>
  </si>
  <si>
    <t xml:space="preserve">2x4 </t>
  </si>
  <si>
    <t>Asbestos - Ridge covers (Length 3' 8") - Mascons</t>
  </si>
  <si>
    <t>Material : 55% Aluminium  Zinc Alloy coated AZ 150; H1 tensile (grade 550) sheet.</t>
  </si>
  <si>
    <t xml:space="preserve">Zn/Al 0.47 Standard roofing sheets </t>
  </si>
  <si>
    <t xml:space="preserve">Zn/Al 0.47 Step tile roofing sheets </t>
  </si>
  <si>
    <t>Fastners - Roofing sheets</t>
  </si>
  <si>
    <t>Zn/Al Ridge capping</t>
  </si>
  <si>
    <t>Zn/Al Gutter Brackets</t>
  </si>
  <si>
    <t>"C" Purlins - Hi tensile</t>
  </si>
  <si>
    <t xml:space="preserve">100mm x 50mm x 12mm x 2mm thick </t>
  </si>
  <si>
    <t xml:space="preserve">100mm x 50mm x 15mm x 2mm thick </t>
  </si>
  <si>
    <t>125mm x 60mm x 20mm x 2mm thick</t>
  </si>
  <si>
    <t>150mm x 65mm x 20mm x 2mm thick</t>
  </si>
  <si>
    <t>75x75mm gauge 18 GI mesh (54m2/roll)</t>
  </si>
  <si>
    <t>Local</t>
  </si>
  <si>
    <t xml:space="preserve">Tiles - Wall (Porcelain Homogeneous) </t>
  </si>
  <si>
    <t>Rocell</t>
  </si>
  <si>
    <t>Tiles - Wall (Ceramic)</t>
  </si>
  <si>
    <t xml:space="preserve">Tiles - Floor (Porcelain Homogeneous) </t>
  </si>
  <si>
    <t xml:space="preserve">Imported </t>
  </si>
  <si>
    <t>Cement pressed tile - Thick …..</t>
  </si>
  <si>
    <t>20mm thick Granite (Local)</t>
  </si>
  <si>
    <t>20mm thick Granite (Imported)</t>
  </si>
  <si>
    <t>20mm Marble (Imported)</t>
  </si>
  <si>
    <t>Chicken mesh</t>
  </si>
  <si>
    <t>Cotton waste</t>
  </si>
  <si>
    <t>Tile nosing</t>
  </si>
  <si>
    <t>Galwala - Armour Street</t>
  </si>
  <si>
    <t>Local teak 5/8" thick - 3" high</t>
  </si>
  <si>
    <t>Local teak 5/8" thick - 4" high</t>
  </si>
  <si>
    <r>
      <rPr>
        <sz val="12"/>
        <color theme="1"/>
        <rFont val="Times New Roman"/>
      </rPr>
      <t>80mm thick Paving Blocks - UNI III - Natural Colour - 40N/mm</t>
    </r>
    <r>
      <rPr>
        <vertAlign val="superscript"/>
        <sz val="11"/>
        <color theme="1"/>
        <rFont val="Times New Roman"/>
      </rPr>
      <t>2</t>
    </r>
    <r>
      <rPr>
        <sz val="11"/>
        <color theme="1"/>
        <rFont val="Times New Roman"/>
      </rPr>
      <t xml:space="preserve"> </t>
    </r>
  </si>
  <si>
    <r>
      <rPr>
        <sz val="12"/>
        <color theme="1"/>
        <rFont val="Times New Roman"/>
      </rPr>
      <t>80mm thick Paving Blocks - UNI III - Natural Colour - 30N/mm</t>
    </r>
    <r>
      <rPr>
        <vertAlign val="superscript"/>
        <sz val="11"/>
        <color theme="1"/>
        <rFont val="Times New Roman"/>
      </rPr>
      <t xml:space="preserve">2 </t>
    </r>
  </si>
  <si>
    <r>
      <rPr>
        <sz val="12"/>
        <color theme="1"/>
        <rFont val="Times New Roman"/>
      </rPr>
      <t>80mm thick Paving Blocks - UNI II - Natural Colour - 15N/mm</t>
    </r>
    <r>
      <rPr>
        <vertAlign val="superscript"/>
        <sz val="11"/>
        <color theme="1"/>
        <rFont val="Times New Roman"/>
      </rPr>
      <t>2</t>
    </r>
  </si>
  <si>
    <t>Asbestos ceiling sheets -4'X4' (Rhino)</t>
  </si>
  <si>
    <t>Aluminum suspended ceiling - 
Aluminum framed acoustic panelling ceiling</t>
  </si>
  <si>
    <t>12mm Gypsum board (8'x4')</t>
  </si>
  <si>
    <t>3mm thick Eltaro celing boards 2'x2'</t>
  </si>
  <si>
    <t>3.5mm thick</t>
  </si>
  <si>
    <t>3mm thick Eltaro celing boards 4'x4'</t>
  </si>
  <si>
    <t>4.5mm thick</t>
  </si>
  <si>
    <t>3mm Superflex board (4'x4')</t>
  </si>
  <si>
    <t xml:space="preserve">6mm Superflex board (8'x4') </t>
  </si>
  <si>
    <t>9mm Superflex board (8'x4')</t>
  </si>
  <si>
    <t>Aluminium Wall angle</t>
  </si>
  <si>
    <t>Cornices</t>
  </si>
  <si>
    <t>Suspended ceiling system 1hr fire rated with Gypsum</t>
  </si>
  <si>
    <t>Suspended ceiling system 1hr fire rated with mineral fibre sheets</t>
  </si>
  <si>
    <t>Suspended ceiling system with perforated metal sheets</t>
  </si>
  <si>
    <t>Suspended ceiling system with mineral fibre sheets</t>
  </si>
  <si>
    <t>Suspended ceiling system with 9mm thick Gypsum boards</t>
  </si>
  <si>
    <t>Suspended ceiling system with 6mm thick calcium silicate sheets</t>
  </si>
  <si>
    <t>Suspended ceiling system with 6mm thick superflex sheets</t>
  </si>
  <si>
    <t>4" Grinder wheel (TAILIN brand)</t>
  </si>
  <si>
    <t>4" Diamond wheel (Bosun brand)</t>
  </si>
  <si>
    <t>3/4" x 1' 0" Lunumidella (6mm thick)</t>
  </si>
  <si>
    <t>Wall putty (Nippon Paint Skim Coat - White)</t>
  </si>
  <si>
    <t>Wall filler (Nippon)</t>
  </si>
  <si>
    <t>80 canvas</t>
  </si>
  <si>
    <t xml:space="preserve">Wall Paint - Emulsion paint (Brilliant white) - Nippon </t>
  </si>
  <si>
    <t>Recheck</t>
  </si>
  <si>
    <t xml:space="preserve">Wall Paint - Emulsion paint (Master palette) Nippon </t>
  </si>
  <si>
    <t xml:space="preserve">Wall Paint - Weathershield paint (Brilliant white) Nippon </t>
  </si>
  <si>
    <t xml:space="preserve">Wall Paint - Weathershield paint (Master palette) Nippon </t>
  </si>
  <si>
    <t>Wood Paint- enamel paint (Nippon Super gloss enamel)</t>
  </si>
  <si>
    <t>Wood Paint- water based (Nippon wood care All in one)</t>
  </si>
  <si>
    <t xml:space="preserve">Wood preservative - Nippon </t>
  </si>
  <si>
    <t xml:space="preserve">Anti-corosive paint - Nippon </t>
  </si>
  <si>
    <t>Paint brush 1" - Brand Brush Master</t>
  </si>
  <si>
    <t>Paint brush 2" - Brand  Brush Master</t>
  </si>
  <si>
    <t>Paint brush 4" - Brand  Brush Master</t>
  </si>
  <si>
    <t>Paint roller brush 9" - Brand  Brush Master</t>
  </si>
  <si>
    <t>Stainless steel- 3ft high standard hand rail</t>
  </si>
  <si>
    <t>1" Dia. GI Pipes (Nominal pipe size) SCH40</t>
  </si>
  <si>
    <t>11/4" Dia. GI Pipes (Nominal pipe size) SCH40</t>
  </si>
  <si>
    <t>2" Dia. GI Pipes (Nominal pipe size) SCH40</t>
  </si>
  <si>
    <t>25x25x2mm SHS 1.43kg/m</t>
  </si>
  <si>
    <t>50x20x2mm RHS 1.96kg/m</t>
  </si>
  <si>
    <t>12mm thick Toughned glass</t>
  </si>
  <si>
    <t>15mm thick Toughned glass</t>
  </si>
  <si>
    <t>1"x1" SS U Channels</t>
  </si>
  <si>
    <t>10'</t>
  </si>
  <si>
    <t>1"x1.5" SS U Channels</t>
  </si>
  <si>
    <t>Teak 9" x 6"</t>
  </si>
  <si>
    <t xml:space="preserve">Nawaloka Timber stores </t>
  </si>
  <si>
    <t>Teak 4'-12'</t>
  </si>
  <si>
    <t>Teak Planks 1"</t>
  </si>
  <si>
    <r>
      <rPr>
        <sz val="16"/>
        <color theme="1"/>
        <rFont val="Times New Roman"/>
      </rPr>
      <t>ft</t>
    </r>
    <r>
      <rPr>
        <vertAlign val="superscript"/>
        <sz val="16"/>
        <color theme="1"/>
        <rFont val="Times New Roman"/>
      </rPr>
      <t>2</t>
    </r>
  </si>
  <si>
    <r>
      <rPr>
        <sz val="16"/>
        <color theme="1"/>
        <rFont val="Times New Roman"/>
      </rPr>
      <t>ft</t>
    </r>
    <r>
      <rPr>
        <vertAlign val="superscript"/>
        <sz val="16"/>
        <color theme="1"/>
        <rFont val="Times New Roman"/>
      </rPr>
      <t>2</t>
    </r>
  </si>
  <si>
    <t>Kempas 4'-20'</t>
  </si>
  <si>
    <t>Materials Prices Fluctuation Analysis - Electrical (Excluding VAT &amp; including SSCL)</t>
  </si>
  <si>
    <r>
      <rPr>
        <sz val="11"/>
        <color theme="1"/>
        <rFont val="Times New Roman"/>
      </rPr>
      <t>1mm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</si>
  <si>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1.5mm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</si>
  <si>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2.5mm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</si>
  <si>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4mm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</si>
  <si>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6mm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</si>
  <si>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</si>
  <si>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16mm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</si>
  <si>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25mm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</si>
  <si>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35mm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</si>
  <si>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1.5mm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</si>
  <si>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2.5mm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</si>
  <si>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4mm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</si>
  <si>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6mm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</si>
  <si>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</si>
  <si>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16mm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</si>
  <si>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</si>
  <si>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1.5mm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</si>
  <si>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4mm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</si>
  <si>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6mm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</si>
  <si>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</si>
  <si>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16mm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</si>
  <si>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25mm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</si>
  <si>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35mm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</si>
  <si>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50mm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</si>
  <si>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70mm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</si>
  <si>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95mm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</si>
  <si>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120mm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</si>
  <si>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150mm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</si>
  <si>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240mm</t>
    </r>
    <r>
      <rPr>
        <vertAlign val="superscript"/>
        <sz val="11"/>
        <color theme="1"/>
        <rFont val="Times New Roman"/>
      </rPr>
      <t>2</t>
    </r>
  </si>
  <si>
    <r>
      <rPr>
        <sz val="11"/>
        <color theme="1"/>
        <rFont val="Times New Roman"/>
      </rPr>
      <t>300mm</t>
    </r>
    <r>
      <rPr>
        <vertAlign val="superscript"/>
        <sz val="11"/>
        <color theme="1"/>
        <rFont val="Times New Roman"/>
      </rPr>
      <t>2</t>
    </r>
  </si>
  <si>
    <t>MCCB - Three Pole 30,40,63,100 Amp , 25KA</t>
  </si>
  <si>
    <t>MCCB - Four Pole 30,40,63,100 Amp , 25KA</t>
  </si>
  <si>
    <t>MCCB - Four Pole 160Amp , 40KA</t>
  </si>
  <si>
    <t>MCCB Enclorser</t>
  </si>
  <si>
    <t>MCB - Single Pole 6-32 Amp</t>
  </si>
  <si>
    <t>MCB - Single Pole 40 Amp</t>
  </si>
  <si>
    <t>MCB - Single Pole 63 Amp</t>
  </si>
  <si>
    <t>MCB SP Cover</t>
  </si>
  <si>
    <t>MCB - Double Pole 6-32 Amp</t>
  </si>
  <si>
    <t>MCB - Double Pole 40 Amp</t>
  </si>
  <si>
    <t>MCB - Double Pole 63 Amp</t>
  </si>
  <si>
    <t>MCB DP cover</t>
  </si>
  <si>
    <t>MCB - Three Pole 6-32 Amp</t>
  </si>
  <si>
    <t>MCB - Three Pole 40 Amp</t>
  </si>
  <si>
    <t>MCB - Three Pole 63 Amp</t>
  </si>
  <si>
    <t>MCB - Four Pole 6-32 Amp</t>
  </si>
  <si>
    <t>MCB - Four Pole 40 Amp</t>
  </si>
  <si>
    <t>MCB - Four Pole 63 Amp</t>
  </si>
  <si>
    <t>Switch F/S Type 1 gang 5 Amp</t>
  </si>
  <si>
    <t>Switch F/S Type 2 gang 5 Amp</t>
  </si>
  <si>
    <t>Switch F/S Type 3 gang 5 Amp</t>
  </si>
  <si>
    <t>Switch F/S Type 4 gang 5 Amp</t>
  </si>
  <si>
    <t>Switch F/S Type 5 gang 5 Amp</t>
  </si>
  <si>
    <t>Switch F/S Type one gang two way 5 Amp</t>
  </si>
  <si>
    <t>Switch F/S Type single Way 15 Amp</t>
  </si>
  <si>
    <t>Socket outlet 5 Amp 3 pin with switch</t>
  </si>
  <si>
    <t>Socket outlet 15 Amp 3 pin with switch</t>
  </si>
  <si>
    <t>Socket outlet 13 Amp 3 pin squar type with switch</t>
  </si>
  <si>
    <t>Switch Tumbler</t>
  </si>
  <si>
    <t>Electrical Bell</t>
  </si>
  <si>
    <t>Electrical Bell press</t>
  </si>
  <si>
    <t>Ceiling fan (56")</t>
  </si>
  <si>
    <t>Materials Prices Fluctuation Analysis - Plumbing (Excluding VAT &amp; including SSCL)</t>
  </si>
  <si>
    <t>Type 1000</t>
  </si>
  <si>
    <t>PVC Pipes-20mm dia</t>
  </si>
  <si>
    <t>PVC Pipes-25mm dia</t>
  </si>
  <si>
    <t>PVC Pipes-32mm dia</t>
  </si>
  <si>
    <t>PVC Pipes-40mm dia</t>
  </si>
  <si>
    <t>PVC Pipes-50mm dia</t>
  </si>
  <si>
    <t>PVC Pipes-63mm dia</t>
  </si>
  <si>
    <t>PVC Pipes-75mm dia</t>
  </si>
  <si>
    <t>PVC Pipes-90mm dia</t>
  </si>
  <si>
    <t>Type - 600</t>
  </si>
  <si>
    <t>PVC Pipes-110mm dia</t>
  </si>
  <si>
    <t xml:space="preserve">Sanitary fittings - Local </t>
  </si>
  <si>
    <t>Wash Basin with Pedestal - Brand Dune</t>
  </si>
  <si>
    <t>Wall Hung Wash Basin with Half Pedestal - "Dew Point"</t>
  </si>
  <si>
    <t>Vanity type Wash Basin - Sub Zero</t>
  </si>
  <si>
    <t>Wall Hung Corner Wash Basin - Aqua Corner</t>
  </si>
  <si>
    <t>Close Couple Dual Flush Water Closet - Brand Dune</t>
  </si>
  <si>
    <t>Water Tank (Cistern) - Brand Dune</t>
  </si>
  <si>
    <t>Chromium Plated Mixer Tap - Brand …............</t>
  </si>
  <si>
    <t>Bidet -  Brand …............</t>
  </si>
  <si>
    <t>Squatting Pan with Foot Rest - Brand …............</t>
  </si>
  <si>
    <t>Low Level Plastic Cistern - Brand …............</t>
  </si>
  <si>
    <t>Urinal with Flush Valve - Brand Dew Point</t>
  </si>
  <si>
    <t>Chromium Plated Waste Outlet - Brand …............</t>
  </si>
  <si>
    <t>Chromium Plated Bottle Trap - Brand …............</t>
  </si>
  <si>
    <t>Chromium Plated 1/2" dia. Angle Valve - Brand ….............</t>
  </si>
  <si>
    <t>Universal Bend - Brand …...............</t>
  </si>
  <si>
    <t>Chromium Plated Shower Head with Arm Built-In Shower Mixer - Brand …................</t>
  </si>
  <si>
    <t>Chromium Plated Soap Basket - Brand …............</t>
  </si>
  <si>
    <r>
      <rPr>
        <sz val="12"/>
        <color theme="1"/>
        <rFont val="Times New Roman"/>
      </rPr>
      <t>Chromium Plated Body &amp; Glass Soap Dish</t>
    </r>
    <r>
      <rPr>
        <sz val="11"/>
        <color rgb="FFFF0000"/>
        <rFont val="Times New Roman"/>
      </rPr>
      <t xml:space="preserve"> </t>
    </r>
    <r>
      <rPr>
        <sz val="11"/>
        <color theme="1"/>
        <rFont val="Times New Roman"/>
      </rPr>
      <t>- Brand …............</t>
    </r>
  </si>
  <si>
    <t>Chromium Plated Body &amp; Glass Tumbler Holder - Brand …............</t>
  </si>
  <si>
    <t>Chromium Plated Towel Ring - Brand …............</t>
  </si>
  <si>
    <t>Chromium Plated Robe Hook - Brand …............</t>
  </si>
  <si>
    <t>Chromium Plated Toilet Paper Holder - Brand …............</t>
  </si>
  <si>
    <t>Chromium Plated Toilet Cup Holder - Brand …............</t>
  </si>
  <si>
    <t>Chromium Plated Single Towel Bar - Brand …............</t>
  </si>
  <si>
    <t>Chromium Plated Double Towel Bars - Brand …............</t>
  </si>
  <si>
    <t>Chromium Plated Towel Rack - Brand …............</t>
  </si>
  <si>
    <t>Chromium Plated Glass Shelf - Brand …............</t>
  </si>
  <si>
    <t>Chromium plated Pillar Tap - Brand …............</t>
  </si>
  <si>
    <t>Flexible Hose - 45cm - Brand …............</t>
  </si>
  <si>
    <t>Auto matic Hand Dryers - Brand …............</t>
  </si>
  <si>
    <t>Stainless steel sink  36" x 18" single bowl &amp; single Drain Board -</t>
  </si>
  <si>
    <t>Brand …...........</t>
  </si>
  <si>
    <t>1/2"  Bib tap - model no:- 6872</t>
  </si>
  <si>
    <t>Plastishell water tank  - 1000 Lit.</t>
  </si>
  <si>
    <t>Plastishell water tank  - 2000 Lit.</t>
  </si>
  <si>
    <t>PVC Compact Ball Valve - 1" dia.</t>
  </si>
  <si>
    <t>PVC Compact Ball Valve - 1 1/4" dia.</t>
  </si>
  <si>
    <t>PVC Compact Ball Valve - 1 1/2" dia.</t>
  </si>
  <si>
    <t>PVC Union - 1/2" dia.</t>
  </si>
  <si>
    <t>PVC Union - 1" dia.</t>
  </si>
  <si>
    <t>Roll Thread Seal</t>
  </si>
  <si>
    <t>PVC Fittings</t>
  </si>
  <si>
    <t>Category</t>
  </si>
  <si>
    <t>SubCategory</t>
  </si>
  <si>
    <t>SubSubCategory</t>
  </si>
  <si>
    <t>BEND 46</t>
  </si>
  <si>
    <t>BEND 47</t>
  </si>
  <si>
    <t>BEND 48</t>
  </si>
  <si>
    <t>BEND 49</t>
  </si>
  <si>
    <t>BEND 90</t>
  </si>
  <si>
    <t>BEND 91</t>
  </si>
  <si>
    <t>BEND 92</t>
  </si>
  <si>
    <t>BEND 93</t>
  </si>
  <si>
    <t>DOOR BEND 46</t>
  </si>
  <si>
    <t>DOOR BEND 47</t>
  </si>
  <si>
    <t>DOOR BEND 48</t>
  </si>
  <si>
    <t>DOOR BEND 49</t>
  </si>
  <si>
    <t>DOOR BEND 90</t>
  </si>
  <si>
    <t>DOOR BEND 91</t>
  </si>
  <si>
    <t>DOOR BEND 92</t>
  </si>
  <si>
    <t>DOOR BEND 93</t>
  </si>
  <si>
    <t>DOUBLE Y 46</t>
  </si>
  <si>
    <t>DOOR DOUBLE Y 46</t>
  </si>
  <si>
    <t>DOOR REDUCING Y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</si>
</sst>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mm\-d"/>
    <numFmt numFmtId="165" formatCode="0.000_)"/>
    <numFmt numFmtId="166" formatCode="_(* #,##0_);_(* \(#,##0\);_(* &quot;-&quot;??_);_(@_)"/>
    <numFmt numFmtId="167" formatCode="d/m"/>
    <numFmt numFmtId="168" formatCode="m/d/yyyy"/>
    <numFmt numFmtId="169" formatCode="m/d"/>
  </numFmts>
  <fonts count="53">
    <font>
      <sz val="11"/>
      <color rgb="FF000000"/>
      <name val="Calibri"/>
      <scheme val="minor"/>
    </font>
    <font>
      <sz val="12"/>
      <color theme="1"/>
      <name val="Times New Roman"/>
    </font>
    <font>
      <b/>
      <sz val="20"/>
      <color theme="1"/>
      <name val="Times New Roman"/>
    </font>
    <font>
      <b/>
      <sz val="22"/>
      <color theme="1"/>
      <name val="Play"/>
    </font>
    <font>
      <b/>
      <sz val="12"/>
      <color theme="1"/>
      <name val="Times New Roman"/>
    </font>
    <font>
      <b/>
      <sz val="18"/>
      <color theme="1"/>
      <name val="Times New Roman"/>
    </font>
    <font>
      <sz val="16"/>
      <color theme="1"/>
      <name val="Times New Roman"/>
    </font>
    <font>
      <sz val="12"/>
      <color rgb="FF000000"/>
      <name val="Times New Roman"/>
    </font>
    <font>
      <sz val="14"/>
      <color theme="1"/>
      <name val="Times New Roman"/>
    </font>
    <font>
      <b/>
      <sz val="12"/>
      <color rgb="FFFF0000"/>
      <name val="Times New Roman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7"/>
      <color theme="1"/>
      <name val="Times New Roman"/>
    </font>
    <font>
      <b/>
      <sz val="24"/>
      <color theme="1"/>
      <name val="Play"/>
    </font>
    <font>
      <b/>
      <u/>
      <sz val="11"/>
      <color theme="1"/>
      <name val="Times New Roman"/>
    </font>
    <font>
      <b/>
      <sz val="11"/>
      <color theme="1"/>
      <name val="Times New Roman"/>
    </font>
    <font>
      <b/>
      <u/>
      <sz val="12"/>
      <color theme="1"/>
      <name val="Times New Roman"/>
    </font>
    <font>
      <sz val="12"/>
      <color theme="1"/>
      <name val="Calibri"/>
    </font>
    <font>
      <sz val="16"/>
      <color theme="1"/>
      <name val="Calibri"/>
    </font>
    <font>
      <b/>
      <i/>
      <sz val="12"/>
      <color theme="1"/>
      <name val="Times New Roman"/>
    </font>
    <font>
      <u/>
      <sz val="12"/>
      <color theme="1"/>
      <name val="Times New Roman"/>
    </font>
    <font>
      <sz val="11"/>
      <color theme="1"/>
      <name val="Times New Roman"/>
    </font>
    <font>
      <sz val="16"/>
      <color rgb="FFC5E0B3"/>
      <name val="Times New Roman"/>
    </font>
    <font>
      <sz val="12"/>
      <color rgb="FFC5E0B3"/>
      <name val="Times New Roman"/>
    </font>
    <font>
      <sz val="16"/>
      <color rgb="FFC5E0B3"/>
      <name val="Calibri"/>
    </font>
    <font>
      <sz val="16"/>
      <color rgb="FF000000"/>
      <name val="Calibri"/>
    </font>
    <font>
      <sz val="11"/>
      <color rgb="FFFF0000"/>
      <name val="Calibri"/>
    </font>
    <font>
      <sz val="12"/>
      <color theme="1"/>
      <name val="Arial"/>
    </font>
    <font>
      <sz val="12"/>
      <color rgb="FFFF0000"/>
      <name val="Times New Roman"/>
    </font>
    <font>
      <sz val="16"/>
      <color rgb="FFFF0000"/>
      <name val="Times New Roman"/>
    </font>
    <font>
      <sz val="14"/>
      <color rgb="FFFF0000"/>
      <name val="Times New Roman"/>
    </font>
    <font>
      <b/>
      <u/>
      <sz val="12"/>
      <color theme="1"/>
      <name val="Times New Roman"/>
    </font>
    <font>
      <b/>
      <sz val="18"/>
      <color theme="1"/>
      <name val="Calibri"/>
      <scheme val="minor"/>
    </font>
    <font>
      <sz val="11"/>
      <name val="Calibri"/>
    </font>
    <font>
      <b/>
      <sz val="17"/>
      <color theme="1"/>
      <name val="Calibri"/>
      <scheme val="minor"/>
    </font>
    <font>
      <b/>
      <sz val="11"/>
      <color theme="1"/>
      <name val="Calibri"/>
      <scheme val="minor"/>
    </font>
    <font>
      <b/>
      <u/>
      <sz val="12"/>
      <color theme="1"/>
      <name val="Times New Roman"/>
    </font>
    <font>
      <b/>
      <u/>
      <sz val="11"/>
      <color theme="1"/>
      <name val="Times New Roman"/>
    </font>
    <font>
      <b/>
      <u/>
      <sz val="11"/>
      <color theme="1"/>
      <name val="Times New Roman"/>
    </font>
    <font>
      <b/>
      <u/>
      <sz val="11"/>
      <color theme="1"/>
      <name val="Times New Roman"/>
    </font>
    <font>
      <b/>
      <i/>
      <sz val="11"/>
      <color theme="1"/>
      <name val="Times New Roman"/>
    </font>
    <font>
      <u/>
      <sz val="11"/>
      <color theme="1"/>
      <name val="Times New Roman"/>
    </font>
    <font>
      <vertAlign val="superscript"/>
      <sz val="11"/>
      <color theme="1"/>
      <name val="Times New Roman"/>
    </font>
    <font>
      <vertAlign val="superscript"/>
      <sz val="16"/>
      <color theme="1"/>
      <name val="Times New Roman"/>
    </font>
    <font>
      <vertAlign val="superscript"/>
      <sz val="12"/>
      <color theme="1"/>
      <name val="Times New Roman"/>
    </font>
    <font>
      <vertAlign val="subscript"/>
      <sz val="12"/>
      <color theme="1"/>
      <name val="Times New Roman"/>
    </font>
    <font>
      <sz val="11"/>
      <color rgb="FFFF0000"/>
      <name val="Times New Roman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7" fontId="3" fillId="6" borderId="4" xfId="0" applyNumberFormat="1" applyFont="1" applyFill="1" applyBorder="1" applyAlignment="1">
      <alignment horizontal="center" vertical="center" wrapText="1"/>
    </xf>
    <xf numFmtId="17" fontId="3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7" fontId="4" fillId="6" borderId="5" xfId="0" applyNumberFormat="1" applyFont="1" applyFill="1" applyBorder="1" applyAlignment="1">
      <alignment vertical="center"/>
    </xf>
    <xf numFmtId="2" fontId="4" fillId="7" borderId="5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7" fontId="1" fillId="6" borderId="5" xfId="0" applyNumberFormat="1" applyFont="1" applyFill="1" applyBorder="1"/>
    <xf numFmtId="43" fontId="1" fillId="6" borderId="5" xfId="0" applyNumberFormat="1" applyFont="1" applyFill="1" applyBorder="1"/>
    <xf numFmtId="43" fontId="7" fillId="6" borderId="5" xfId="0" applyNumberFormat="1" applyFont="1" applyFill="1" applyBorder="1"/>
    <xf numFmtId="2" fontId="1" fillId="7" borderId="5" xfId="0" applyNumberFormat="1" applyFont="1" applyFill="1" applyBorder="1"/>
    <xf numFmtId="0" fontId="1" fillId="3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43" fontId="9" fillId="6" borderId="5" xfId="0" applyNumberFormat="1" applyFont="1" applyFill="1" applyBorder="1" applyAlignment="1">
      <alignment horizontal="left" vertical="center"/>
    </xf>
    <xf numFmtId="43" fontId="1" fillId="6" borderId="5" xfId="0" applyNumberFormat="1" applyFont="1" applyFill="1" applyBorder="1" applyAlignment="1">
      <alignment horizontal="left" vertical="center"/>
    </xf>
    <xf numFmtId="2" fontId="1" fillId="7" borderId="5" xfId="0" applyNumberFormat="1" applyFont="1" applyFill="1" applyBorder="1" applyAlignment="1">
      <alignment horizontal="left" vertical="center"/>
    </xf>
    <xf numFmtId="0" fontId="10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2" fontId="11" fillId="7" borderId="5" xfId="0" applyNumberFormat="1" applyFont="1" applyFill="1" applyBorder="1"/>
    <xf numFmtId="0" fontId="4" fillId="9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43" fontId="1" fillId="6" borderId="6" xfId="0" applyNumberFormat="1" applyFont="1" applyFill="1" applyBorder="1" applyAlignment="1">
      <alignment horizontal="left" vertical="center"/>
    </xf>
    <xf numFmtId="43" fontId="1" fillId="6" borderId="7" xfId="0" applyNumberFormat="1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left" vertical="center"/>
    </xf>
    <xf numFmtId="2" fontId="12" fillId="0" borderId="0" xfId="0" applyNumberFormat="1" applyFont="1"/>
    <xf numFmtId="0" fontId="13" fillId="5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/>
    <xf numFmtId="2" fontId="7" fillId="6" borderId="5" xfId="0" applyNumberFormat="1" applyFont="1" applyFill="1" applyBorder="1"/>
    <xf numFmtId="0" fontId="7" fillId="3" borderId="5" xfId="0" applyFont="1" applyFill="1" applyBorder="1" applyAlignment="1">
      <alignment horizontal="left"/>
    </xf>
    <xf numFmtId="43" fontId="7" fillId="6" borderId="5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6" fillId="0" borderId="0" xfId="0" applyFont="1"/>
    <xf numFmtId="43" fontId="1" fillId="0" borderId="0" xfId="0" applyNumberFormat="1" applyFont="1"/>
    <xf numFmtId="0" fontId="1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7" fontId="3" fillId="11" borderId="5" xfId="0" applyNumberFormat="1" applyFont="1" applyFill="1" applyBorder="1" applyAlignment="1">
      <alignment horizontal="center" vertical="center"/>
    </xf>
    <xf numFmtId="0" fontId="1" fillId="2" borderId="10" xfId="0" applyFont="1" applyFill="1" applyBorder="1"/>
    <xf numFmtId="0" fontId="15" fillId="3" borderId="10" xfId="0" applyFont="1" applyFill="1" applyBorder="1" applyAlignment="1">
      <alignment horizontal="left" vertical="center" wrapText="1"/>
    </xf>
    <xf numFmtId="0" fontId="16" fillId="5" borderId="10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43" fontId="1" fillId="6" borderId="11" xfId="0" applyNumberFormat="1" applyFont="1" applyFill="1" applyBorder="1"/>
    <xf numFmtId="0" fontId="12" fillId="6" borderId="5" xfId="0" applyFont="1" applyFill="1" applyBorder="1"/>
    <xf numFmtId="43" fontId="12" fillId="6" borderId="5" xfId="0" applyNumberFormat="1" applyFont="1" applyFill="1" applyBorder="1"/>
    <xf numFmtId="17" fontId="1" fillId="11" borderId="5" xfId="0" applyNumberFormat="1" applyFont="1" applyFill="1" applyBorder="1"/>
    <xf numFmtId="0" fontId="1" fillId="2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1" fillId="11" borderId="5" xfId="0" applyFont="1" applyFill="1" applyBorder="1"/>
    <xf numFmtId="43" fontId="1" fillId="6" borderId="11" xfId="0" applyNumberFormat="1" applyFont="1" applyFill="1" applyBorder="1" applyAlignment="1">
      <alignment horizontal="left" vertical="center"/>
    </xf>
    <xf numFmtId="165" fontId="6" fillId="5" borderId="12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43" fontId="1" fillId="6" borderId="13" xfId="0" applyNumberFormat="1" applyFont="1" applyFill="1" applyBorder="1" applyAlignment="1">
      <alignment horizontal="left" vertical="center"/>
    </xf>
    <xf numFmtId="0" fontId="1" fillId="3" borderId="12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8" fillId="4" borderId="12" xfId="0" applyFont="1" applyFill="1" applyBorder="1" applyAlignment="1">
      <alignment horizontal="center"/>
    </xf>
    <xf numFmtId="0" fontId="18" fillId="3" borderId="12" xfId="0" applyFont="1" applyFill="1" applyBorder="1"/>
    <xf numFmtId="0" fontId="18" fillId="5" borderId="12" xfId="0" applyFont="1" applyFill="1" applyBorder="1"/>
    <xf numFmtId="0" fontId="19" fillId="5" borderId="12" xfId="0" applyFont="1" applyFill="1" applyBorder="1"/>
    <xf numFmtId="0" fontId="20" fillId="3" borderId="12" xfId="0" applyFont="1" applyFill="1" applyBorder="1" applyAlignment="1">
      <alignment vertical="center" wrapText="1"/>
    </xf>
    <xf numFmtId="0" fontId="20" fillId="5" borderId="12" xfId="0" applyFont="1" applyFill="1" applyBorder="1" applyAlignment="1">
      <alignment vertical="center" wrapText="1"/>
    </xf>
    <xf numFmtId="165" fontId="1" fillId="4" borderId="12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21" fillId="5" borderId="12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/>
    </xf>
    <xf numFmtId="165" fontId="6" fillId="5" borderId="14" xfId="0" applyNumberFormat="1" applyFont="1" applyFill="1" applyBorder="1" applyAlignment="1">
      <alignment horizontal="center" vertical="center" wrapText="1"/>
    </xf>
    <xf numFmtId="0" fontId="12" fillId="6" borderId="6" xfId="0" applyFont="1" applyFill="1" applyBorder="1"/>
    <xf numFmtId="43" fontId="12" fillId="6" borderId="6" xfId="0" applyNumberFormat="1" applyFont="1" applyFill="1" applyBorder="1"/>
    <xf numFmtId="0" fontId="1" fillId="11" borderId="6" xfId="0" applyFont="1" applyFill="1" applyBorder="1"/>
    <xf numFmtId="166" fontId="1" fillId="2" borderId="5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43" fontId="23" fillId="5" borderId="5" xfId="0" applyNumberFormat="1" applyFont="1" applyFill="1" applyBorder="1" applyAlignment="1">
      <alignment horizontal="left" vertical="center"/>
    </xf>
    <xf numFmtId="0" fontId="12" fillId="0" borderId="0" xfId="0" applyFont="1"/>
    <xf numFmtId="166" fontId="1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3" fontId="23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43" fontId="12" fillId="0" borderId="0" xfId="0" applyNumberFormat="1" applyFont="1"/>
    <xf numFmtId="0" fontId="1" fillId="0" borderId="0" xfId="0" applyFont="1" applyAlignment="1">
      <alignment horizontal="left" vertical="center"/>
    </xf>
    <xf numFmtId="0" fontId="25" fillId="0" borderId="0" xfId="0" applyFont="1"/>
    <xf numFmtId="0" fontId="26" fillId="0" borderId="0" xfId="0" applyFont="1"/>
    <xf numFmtId="0" fontId="2" fillId="0" borderId="0" xfId="0" applyFont="1" applyAlignment="1">
      <alignment horizontal="left" vertical="center"/>
    </xf>
    <xf numFmtId="0" fontId="27" fillId="12" borderId="15" xfId="0" applyFont="1" applyFill="1" applyBorder="1"/>
    <xf numFmtId="0" fontId="3" fillId="2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17" fontId="3" fillId="6" borderId="19" xfId="0" applyNumberFormat="1" applyFont="1" applyFill="1" applyBorder="1" applyAlignment="1">
      <alignment horizontal="center" vertical="center"/>
    </xf>
    <xf numFmtId="17" fontId="3" fillId="11" borderId="1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3" fontId="1" fillId="11" borderId="5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1" fillId="0" borderId="0" xfId="0" applyFont="1"/>
    <xf numFmtId="0" fontId="1" fillId="6" borderId="5" xfId="0" applyFont="1" applyFill="1" applyBorder="1"/>
    <xf numFmtId="43" fontId="1" fillId="11" borderId="5" xfId="0" applyNumberFormat="1" applyFont="1" applyFill="1" applyBorder="1"/>
    <xf numFmtId="0" fontId="4" fillId="2" borderId="5" xfId="0" applyFont="1" applyFill="1" applyBorder="1" applyAlignment="1">
      <alignment horizontal="center" vertical="center"/>
    </xf>
    <xf numFmtId="43" fontId="1" fillId="7" borderId="5" xfId="0" applyNumberFormat="1" applyFont="1" applyFill="1" applyBorder="1"/>
    <xf numFmtId="49" fontId="1" fillId="2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/>
    </xf>
    <xf numFmtId="0" fontId="1" fillId="6" borderId="6" xfId="0" applyFont="1" applyFill="1" applyBorder="1"/>
    <xf numFmtId="43" fontId="1" fillId="6" borderId="6" xfId="0" applyNumberFormat="1" applyFont="1" applyFill="1" applyBorder="1"/>
    <xf numFmtId="43" fontId="1" fillId="11" borderId="6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2" fillId="2" borderId="15" xfId="0" applyFont="1" applyFill="1" applyBorder="1"/>
    <xf numFmtId="0" fontId="1" fillId="0" borderId="0" xfId="0" applyFont="1" applyAlignment="1">
      <alignment horizontal="right" vertical="center"/>
    </xf>
    <xf numFmtId="0" fontId="4" fillId="1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right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" fontId="4" fillId="6" borderId="4" xfId="0" applyNumberFormat="1" applyFont="1" applyFill="1" applyBorder="1" applyAlignment="1">
      <alignment horizontal="center" vertical="center" wrapText="1"/>
    </xf>
    <xf numFmtId="17" fontId="4" fillId="6" borderId="4" xfId="0" applyNumberFormat="1" applyFont="1" applyFill="1" applyBorder="1" applyAlignment="1">
      <alignment vertical="center"/>
    </xf>
    <xf numFmtId="17" fontId="4" fillId="7" borderId="4" xfId="0" applyNumberFormat="1" applyFont="1" applyFill="1" applyBorder="1" applyAlignment="1">
      <alignment horizontal="center" vertical="center"/>
    </xf>
    <xf numFmtId="0" fontId="4" fillId="13" borderId="2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vertical="center"/>
    </xf>
    <xf numFmtId="0" fontId="4" fillId="5" borderId="22" xfId="0" applyFont="1" applyFill="1" applyBorder="1" applyAlignment="1">
      <alignment horizontal="right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17" fontId="4" fillId="6" borderId="25" xfId="0" applyNumberFormat="1" applyFont="1" applyFill="1" applyBorder="1" applyAlignment="1">
      <alignment vertical="center"/>
    </xf>
    <xf numFmtId="17" fontId="4" fillId="6" borderId="26" xfId="0" applyNumberFormat="1" applyFont="1" applyFill="1" applyBorder="1" applyAlignment="1">
      <alignment vertical="center"/>
    </xf>
    <xf numFmtId="17" fontId="4" fillId="7" borderId="26" xfId="0" applyNumberFormat="1" applyFont="1" applyFill="1" applyBorder="1" applyAlignment="1">
      <alignment vertical="center"/>
    </xf>
    <xf numFmtId="166" fontId="1" fillId="13" borderId="12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vertical="center"/>
    </xf>
    <xf numFmtId="0" fontId="1" fillId="5" borderId="27" xfId="0" applyFont="1" applyFill="1" applyBorder="1" applyAlignment="1">
      <alignment horizontal="right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left" vertical="center"/>
    </xf>
    <xf numFmtId="17" fontId="1" fillId="6" borderId="30" xfId="0" applyNumberFormat="1" applyFont="1" applyFill="1" applyBorder="1"/>
    <xf numFmtId="17" fontId="1" fillId="7" borderId="5" xfId="0" applyNumberFormat="1" applyFont="1" applyFill="1" applyBorder="1"/>
    <xf numFmtId="166" fontId="28" fillId="0" borderId="31" xfId="0" applyNumberFormat="1" applyFont="1" applyBorder="1" applyAlignment="1">
      <alignment horizontal="right" vertical="center"/>
    </xf>
    <xf numFmtId="167" fontId="29" fillId="5" borderId="12" xfId="0" applyNumberFormat="1" applyFont="1" applyFill="1" applyBorder="1" applyAlignment="1">
      <alignment horizontal="right" vertical="center"/>
    </xf>
    <xf numFmtId="0" fontId="29" fillId="5" borderId="27" xfId="0" applyFont="1" applyFill="1" applyBorder="1" applyAlignment="1">
      <alignment horizontal="center" vertical="center"/>
    </xf>
    <xf numFmtId="0" fontId="29" fillId="5" borderId="28" xfId="0" applyFont="1" applyFill="1" applyBorder="1" applyAlignment="1">
      <alignment horizontal="center" vertical="center"/>
    </xf>
    <xf numFmtId="0" fontId="30" fillId="5" borderId="29" xfId="0" applyFont="1" applyFill="1" applyBorder="1" applyAlignment="1">
      <alignment horizontal="left" vertical="center"/>
    </xf>
    <xf numFmtId="17" fontId="29" fillId="6" borderId="30" xfId="0" applyNumberFormat="1" applyFont="1" applyFill="1" applyBorder="1"/>
    <xf numFmtId="17" fontId="29" fillId="6" borderId="5" xfId="0" applyNumberFormat="1" applyFont="1" applyFill="1" applyBorder="1"/>
    <xf numFmtId="43" fontId="29" fillId="6" borderId="5" xfId="0" applyNumberFormat="1" applyFont="1" applyFill="1" applyBorder="1"/>
    <xf numFmtId="0" fontId="31" fillId="5" borderId="29" xfId="0" applyFont="1" applyFill="1" applyBorder="1" applyAlignment="1">
      <alignment horizontal="left" vertical="center"/>
    </xf>
    <xf numFmtId="43" fontId="9" fillId="6" borderId="30" xfId="0" applyNumberFormat="1" applyFont="1" applyFill="1" applyBorder="1" applyAlignment="1">
      <alignment horizontal="left" vertical="center"/>
    </xf>
    <xf numFmtId="43" fontId="29" fillId="6" borderId="5" xfId="0" applyNumberFormat="1" applyFont="1" applyFill="1" applyBorder="1" applyAlignment="1">
      <alignment horizontal="left" vertical="center"/>
    </xf>
    <xf numFmtId="43" fontId="1" fillId="7" borderId="5" xfId="0" applyNumberFormat="1" applyFont="1" applyFill="1" applyBorder="1" applyAlignment="1">
      <alignment horizontal="left" vertical="center"/>
    </xf>
    <xf numFmtId="0" fontId="29" fillId="5" borderId="32" xfId="0" applyFont="1" applyFill="1" applyBorder="1" applyAlignment="1">
      <alignment horizontal="center" vertical="center"/>
    </xf>
    <xf numFmtId="0" fontId="29" fillId="5" borderId="33" xfId="0" applyFont="1" applyFill="1" applyBorder="1" applyAlignment="1">
      <alignment horizontal="center" vertical="center"/>
    </xf>
    <xf numFmtId="0" fontId="30" fillId="5" borderId="34" xfId="0" applyFont="1" applyFill="1" applyBorder="1" applyAlignment="1">
      <alignment horizontal="left" vertical="center"/>
    </xf>
    <xf numFmtId="43" fontId="29" fillId="6" borderId="30" xfId="0" applyNumberFormat="1" applyFont="1" applyFill="1" applyBorder="1" applyAlignment="1">
      <alignment horizontal="left" vertical="center"/>
    </xf>
    <xf numFmtId="167" fontId="29" fillId="5" borderId="32" xfId="0" applyNumberFormat="1" applyFont="1" applyFill="1" applyBorder="1" applyAlignment="1">
      <alignment horizontal="right" vertical="center"/>
    </xf>
    <xf numFmtId="43" fontId="1" fillId="6" borderId="30" xfId="0" applyNumberFormat="1" applyFont="1" applyFill="1" applyBorder="1" applyAlignment="1">
      <alignment horizontal="left" vertical="center"/>
    </xf>
    <xf numFmtId="0" fontId="1" fillId="12" borderId="12" xfId="0" applyFont="1" applyFill="1" applyBorder="1" applyAlignment="1">
      <alignment horizontal="left" vertical="center"/>
    </xf>
    <xf numFmtId="43" fontId="1" fillId="7" borderId="6" xfId="0" applyNumberFormat="1" applyFont="1" applyFill="1" applyBorder="1" applyAlignment="1">
      <alignment horizontal="left" vertical="center"/>
    </xf>
    <xf numFmtId="0" fontId="1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left" vertical="center"/>
    </xf>
    <xf numFmtId="0" fontId="1" fillId="5" borderId="35" xfId="0" applyFont="1" applyFill="1" applyBorder="1" applyAlignment="1">
      <alignment horizontal="right" vertical="center"/>
    </xf>
    <xf numFmtId="0" fontId="1" fillId="5" borderId="27" xfId="0" applyFont="1" applyFill="1" applyBorder="1" applyAlignment="1">
      <alignment horizontal="right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vertical="center"/>
    </xf>
    <xf numFmtId="0" fontId="1" fillId="5" borderId="35" xfId="0" applyFont="1" applyFill="1" applyBorder="1" applyAlignment="1">
      <alignment horizontal="right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left" vertical="center"/>
    </xf>
    <xf numFmtId="0" fontId="1" fillId="12" borderId="12" xfId="0" applyFont="1" applyFill="1" applyBorder="1" applyAlignment="1">
      <alignment horizontal="left" vertical="center" wrapText="1"/>
    </xf>
    <xf numFmtId="0" fontId="1" fillId="5" borderId="37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7" fontId="3" fillId="6" borderId="5" xfId="0" applyNumberFormat="1" applyFont="1" applyFill="1" applyBorder="1" applyAlignment="1">
      <alignment horizontal="center" vertical="center" wrapText="1"/>
    </xf>
    <xf numFmtId="17" fontId="3" fillId="6" borderId="5" xfId="0" applyNumberFormat="1" applyFont="1" applyFill="1" applyBorder="1" applyAlignment="1">
      <alignment horizontal="center" vertical="center"/>
    </xf>
    <xf numFmtId="17" fontId="3" fillId="7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43" fontId="4" fillId="6" borderId="5" xfId="0" applyNumberFormat="1" applyFont="1" applyFill="1" applyBorder="1" applyAlignment="1">
      <alignment vertical="center"/>
    </xf>
    <xf numFmtId="17" fontId="4" fillId="7" borderId="5" xfId="0" applyNumberFormat="1" applyFont="1" applyFill="1" applyBorder="1" applyAlignment="1">
      <alignment vertical="center"/>
    </xf>
    <xf numFmtId="49" fontId="1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9" fontId="7" fillId="6" borderId="5" xfId="0" applyNumberFormat="1" applyFont="1" applyFill="1" applyBorder="1"/>
    <xf numFmtId="49" fontId="1" fillId="0" borderId="0" xfId="0" applyNumberFormat="1" applyFont="1" applyAlignment="1">
      <alignment horizontal="center" vertical="center"/>
    </xf>
    <xf numFmtId="43" fontId="9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41" xfId="0" applyFont="1" applyBorder="1"/>
    <xf numFmtId="0" fontId="10" fillId="0" borderId="42" xfId="0" applyFont="1" applyBorder="1" applyAlignment="1">
      <alignment horizontal="center"/>
    </xf>
    <xf numFmtId="168" fontId="36" fillId="0" borderId="41" xfId="0" applyNumberFormat="1" applyFont="1" applyBorder="1" applyAlignment="1">
      <alignment horizontal="center"/>
    </xf>
    <xf numFmtId="168" fontId="36" fillId="0" borderId="0" xfId="0" applyNumberFormat="1" applyFont="1" applyAlignment="1">
      <alignment horizontal="center"/>
    </xf>
    <xf numFmtId="168" fontId="36" fillId="0" borderId="42" xfId="0" applyNumberFormat="1" applyFont="1" applyBorder="1" applyAlignment="1">
      <alignment horizontal="center"/>
    </xf>
    <xf numFmtId="0" fontId="36" fillId="0" borderId="4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42" xfId="0" applyFont="1" applyBorder="1" applyAlignment="1">
      <alignment horizontal="center"/>
    </xf>
    <xf numFmtId="0" fontId="10" fillId="0" borderId="42" xfId="0" applyFont="1" applyBorder="1"/>
    <xf numFmtId="0" fontId="10" fillId="0" borderId="43" xfId="0" applyFont="1" applyBorder="1"/>
    <xf numFmtId="0" fontId="10" fillId="0" borderId="44" xfId="0" applyFont="1" applyBorder="1"/>
    <xf numFmtId="4" fontId="10" fillId="14" borderId="1" xfId="0" applyNumberFormat="1" applyFont="1" applyFill="1" applyBorder="1" applyAlignment="1">
      <alignment horizontal="right"/>
    </xf>
    <xf numFmtId="4" fontId="10" fillId="0" borderId="43" xfId="0" applyNumberFormat="1" applyFont="1" applyBorder="1"/>
    <xf numFmtId="0" fontId="10" fillId="0" borderId="44" xfId="0" applyFont="1" applyBorder="1" applyAlignment="1">
      <alignment horizontal="center"/>
    </xf>
    <xf numFmtId="0" fontId="10" fillId="0" borderId="45" xfId="0" applyFont="1" applyBorder="1"/>
    <xf numFmtId="169" fontId="10" fillId="0" borderId="41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4" fontId="10" fillId="0" borderId="42" xfId="0" applyNumberFormat="1" applyFont="1" applyBorder="1" applyAlignment="1">
      <alignment horizontal="right"/>
    </xf>
    <xf numFmtId="4" fontId="10" fillId="0" borderId="41" xfId="0" applyNumberFormat="1" applyFont="1" applyBorder="1"/>
    <xf numFmtId="0" fontId="10" fillId="0" borderId="41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2" fontId="10" fillId="0" borderId="44" xfId="0" applyNumberFormat="1" applyFont="1" applyBorder="1" applyAlignment="1">
      <alignment horizontal="center"/>
    </xf>
    <xf numFmtId="4" fontId="10" fillId="15" borderId="44" xfId="0" applyNumberFormat="1" applyFont="1" applyFill="1" applyBorder="1" applyAlignment="1">
      <alignment horizontal="center"/>
    </xf>
    <xf numFmtId="4" fontId="10" fillId="0" borderId="42" xfId="0" applyNumberFormat="1" applyFont="1" applyBorder="1" applyAlignment="1">
      <alignment horizontal="center"/>
    </xf>
    <xf numFmtId="4" fontId="10" fillId="0" borderId="0" xfId="0" applyNumberFormat="1" applyFont="1"/>
    <xf numFmtId="4" fontId="10" fillId="0" borderId="45" xfId="0" applyNumberFormat="1" applyFont="1" applyBorder="1"/>
    <xf numFmtId="4" fontId="10" fillId="0" borderId="44" xfId="0" applyNumberFormat="1" applyFont="1" applyBorder="1"/>
    <xf numFmtId="0" fontId="4" fillId="5" borderId="1" xfId="0" applyFont="1" applyFill="1" applyBorder="1" applyAlignment="1">
      <alignment vertical="center"/>
    </xf>
    <xf numFmtId="0" fontId="1" fillId="12" borderId="12" xfId="0" applyFont="1" applyFill="1" applyBorder="1" applyAlignment="1">
      <alignment vertical="center"/>
    </xf>
    <xf numFmtId="0" fontId="8" fillId="5" borderId="29" xfId="0" applyFont="1" applyFill="1" applyBorder="1" applyAlignment="1">
      <alignment horizontal="left" vertical="center"/>
    </xf>
    <xf numFmtId="43" fontId="1" fillId="16" borderId="5" xfId="0" applyNumberFormat="1" applyFont="1" applyFill="1" applyBorder="1" applyAlignment="1">
      <alignment horizontal="left" vertical="center"/>
    </xf>
    <xf numFmtId="0" fontId="1" fillId="5" borderId="33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left" vertical="center"/>
    </xf>
    <xf numFmtId="43" fontId="9" fillId="7" borderId="5" xfId="0" applyNumberFormat="1" applyFont="1" applyFill="1" applyBorder="1" applyAlignment="1">
      <alignment horizontal="left" vertical="center"/>
    </xf>
    <xf numFmtId="0" fontId="1" fillId="12" borderId="14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1" fillId="12" borderId="14" xfId="0" applyFont="1" applyFill="1" applyBorder="1" applyAlignment="1">
      <alignment horizontal="left" vertical="center" wrapText="1"/>
    </xf>
    <xf numFmtId="0" fontId="1" fillId="13" borderId="12" xfId="0" applyFont="1" applyFill="1" applyBorder="1" applyAlignment="1">
      <alignment horizontal="center" vertical="center"/>
    </xf>
    <xf numFmtId="0" fontId="37" fillId="5" borderId="14" xfId="0" applyFont="1" applyFill="1" applyBorder="1" applyAlignment="1">
      <alignment horizontal="left" vertical="center"/>
    </xf>
    <xf numFmtId="0" fontId="1" fillId="12" borderId="15" xfId="0" applyFont="1" applyFill="1" applyBorder="1" applyAlignment="1">
      <alignment vertical="center"/>
    </xf>
    <xf numFmtId="0" fontId="6" fillId="5" borderId="46" xfId="0" applyFont="1" applyFill="1" applyBorder="1" applyAlignment="1">
      <alignment horizontal="left" vertical="center"/>
    </xf>
    <xf numFmtId="0" fontId="6" fillId="5" borderId="4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1" fillId="13" borderId="21" xfId="0" applyFont="1" applyFill="1" applyBorder="1"/>
    <xf numFmtId="0" fontId="38" fillId="5" borderId="21" xfId="0" applyFont="1" applyFill="1" applyBorder="1" applyAlignment="1">
      <alignment horizontal="left" vertical="center" wrapText="1"/>
    </xf>
    <xf numFmtId="0" fontId="16" fillId="5" borderId="21" xfId="0" applyFont="1" applyFill="1" applyBorder="1" applyAlignment="1">
      <alignment horizontal="left" vertical="center" wrapText="1"/>
    </xf>
    <xf numFmtId="0" fontId="1" fillId="5" borderId="21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left" vertical="center"/>
    </xf>
    <xf numFmtId="0" fontId="1" fillId="6" borderId="21" xfId="0" applyFont="1" applyFill="1" applyBorder="1"/>
    <xf numFmtId="17" fontId="1" fillId="6" borderId="21" xfId="0" applyNumberFormat="1" applyFont="1" applyFill="1" applyBorder="1"/>
    <xf numFmtId="0" fontId="1" fillId="13" borderId="10" xfId="0" applyFont="1" applyFill="1" applyBorder="1"/>
    <xf numFmtId="0" fontId="39" fillId="5" borderId="10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6" borderId="10" xfId="0" applyFont="1" applyFill="1" applyBorder="1"/>
    <xf numFmtId="17" fontId="1" fillId="6" borderId="10" xfId="0" applyNumberFormat="1" applyFont="1" applyFill="1" applyBorder="1"/>
    <xf numFmtId="0" fontId="1" fillId="13" borderId="12" xfId="0" applyFont="1" applyFill="1" applyBorder="1" applyAlignment="1">
      <alignment horizontal="center"/>
    </xf>
    <xf numFmtId="0" fontId="22" fillId="5" borderId="12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 wrapText="1"/>
    </xf>
    <xf numFmtId="0" fontId="1" fillId="6" borderId="12" xfId="0" applyFont="1" applyFill="1" applyBorder="1"/>
    <xf numFmtId="17" fontId="1" fillId="6" borderId="12" xfId="0" applyNumberFormat="1" applyFont="1" applyFill="1" applyBorder="1"/>
    <xf numFmtId="43" fontId="1" fillId="6" borderId="12" xfId="0" applyNumberFormat="1" applyFont="1" applyFill="1" applyBorder="1"/>
    <xf numFmtId="165" fontId="22" fillId="5" borderId="12" xfId="0" applyNumberFormat="1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left" vertical="center"/>
    </xf>
    <xf numFmtId="0" fontId="22" fillId="5" borderId="12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vertical="center" wrapText="1"/>
    </xf>
    <xf numFmtId="0" fontId="40" fillId="5" borderId="12" xfId="0" applyFont="1" applyFill="1" applyBorder="1" applyAlignment="1">
      <alignment horizontal="left" vertical="center" wrapText="1"/>
    </xf>
    <xf numFmtId="0" fontId="11" fillId="5" borderId="12" xfId="0" applyFont="1" applyFill="1" applyBorder="1" applyAlignment="1">
      <alignment horizontal="center"/>
    </xf>
    <xf numFmtId="0" fontId="11" fillId="6" borderId="12" xfId="0" applyFont="1" applyFill="1" applyBorder="1"/>
    <xf numFmtId="0" fontId="11" fillId="5" borderId="12" xfId="0" applyFont="1" applyFill="1" applyBorder="1"/>
    <xf numFmtId="0" fontId="41" fillId="5" borderId="12" xfId="0" applyFont="1" applyFill="1" applyBorder="1" applyAlignment="1">
      <alignment vertical="center" wrapText="1"/>
    </xf>
    <xf numFmtId="0" fontId="22" fillId="5" borderId="12" xfId="0" applyFont="1" applyFill="1" applyBorder="1" applyAlignment="1">
      <alignment vertical="center"/>
    </xf>
    <xf numFmtId="0" fontId="42" fillId="5" borderId="12" xfId="0" applyFont="1" applyFill="1" applyBorder="1" applyAlignment="1">
      <alignment horizontal="left" vertical="center" wrapText="1"/>
    </xf>
    <xf numFmtId="0" fontId="11" fillId="0" borderId="48" xfId="0" applyFont="1" applyBorder="1"/>
    <xf numFmtId="0" fontId="11" fillId="5" borderId="48" xfId="0" applyFont="1" applyFill="1" applyBorder="1"/>
    <xf numFmtId="0" fontId="11" fillId="5" borderId="48" xfId="0" applyFont="1" applyFill="1" applyBorder="1" applyAlignment="1">
      <alignment horizontal="center"/>
    </xf>
    <xf numFmtId="0" fontId="11" fillId="6" borderId="48" xfId="0" applyFont="1" applyFill="1" applyBorder="1"/>
    <xf numFmtId="0" fontId="4" fillId="13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7" fontId="4" fillId="6" borderId="19" xfId="0" applyNumberFormat="1" applyFont="1" applyFill="1" applyBorder="1" applyAlignment="1">
      <alignment vertical="center"/>
    </xf>
    <xf numFmtId="0" fontId="1" fillId="13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5" xfId="0" applyFont="1" applyFill="1" applyBorder="1"/>
    <xf numFmtId="0" fontId="22" fillId="5" borderId="5" xfId="0" applyFont="1" applyFill="1" applyBorder="1" applyAlignment="1">
      <alignment vertical="center"/>
    </xf>
    <xf numFmtId="0" fontId="33" fillId="0" borderId="38" xfId="0" applyFont="1" applyBorder="1" applyAlignment="1">
      <alignment horizontal="center"/>
    </xf>
    <xf numFmtId="0" fontId="34" fillId="0" borderId="39" xfId="0" applyFont="1" applyBorder="1"/>
    <xf numFmtId="0" fontId="34" fillId="0" borderId="40" xfId="0" applyFont="1" applyBorder="1"/>
    <xf numFmtId="0" fontId="35" fillId="0" borderId="38" xfId="0" applyFont="1" applyBorder="1" applyAlignment="1">
      <alignment horizontal="center"/>
    </xf>
    <xf numFmtId="0" fontId="49" fillId="0" borderId="0" xfId="0" applyFont="1"/>
    <xf numFmtId="0" fontId="50" fillId="0" borderId="0" xfId="0" applyFont="1" applyAlignment="1">
      <alignment vertical="center"/>
    </xf>
    <xf numFmtId="0" fontId="49" fillId="0" borderId="15" xfId="0" applyFont="1" applyFill="1" applyBorder="1"/>
    <xf numFmtId="0" fontId="52" fillId="8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025"/>
  <sheetViews>
    <sheetView tabSelected="1" workbookViewId="0">
      <pane xSplit="5" ySplit="3" topLeftCell="W4" activePane="bottomRight" state="frozen"/>
      <selection pane="topRight" activeCell="F1" sqref="F1"/>
      <selection pane="bottomLeft" activeCell="A3" sqref="A3"/>
      <selection pane="bottomRight" activeCell="C3" sqref="C3"/>
    </sheetView>
  </sheetViews>
  <sheetFormatPr baseColWidth="10" defaultColWidth="14.5" defaultRowHeight="15" customHeight="1"/>
  <cols>
    <col min="1" max="1" width="1.83203125" customWidth="1"/>
    <col min="2" max="2" width="14.1640625" customWidth="1"/>
    <col min="3" max="3" width="94.6640625" customWidth="1"/>
    <col min="4" max="4" width="9.33203125" customWidth="1"/>
    <col min="5" max="5" width="18.1640625" customWidth="1"/>
    <col min="6" max="6" width="29.33203125" customWidth="1"/>
    <col min="7" max="23" width="19.83203125" customWidth="1"/>
    <col min="24" max="24" width="14" customWidth="1"/>
    <col min="25" max="26" width="19.83203125" customWidth="1"/>
    <col min="27" max="27" width="50.1640625" customWidth="1"/>
  </cols>
  <sheetData>
    <row r="2" spans="1:30" ht="37.5" customHeight="1">
      <c r="A2" s="1"/>
      <c r="B2" s="2" t="s">
        <v>0</v>
      </c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</row>
    <row r="3" spans="1:30" ht="62.25" customHeight="1">
      <c r="A3" s="5"/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1">
        <v>45107</v>
      </c>
      <c r="H3" s="11">
        <v>45138</v>
      </c>
      <c r="I3" s="11">
        <v>45169</v>
      </c>
      <c r="J3" s="11">
        <v>45199</v>
      </c>
      <c r="K3" s="11">
        <v>45230</v>
      </c>
      <c r="L3" s="11">
        <v>45260</v>
      </c>
      <c r="M3" s="11">
        <v>45283</v>
      </c>
      <c r="N3" s="11">
        <v>45314</v>
      </c>
      <c r="O3" s="11">
        <v>45345</v>
      </c>
      <c r="P3" s="11">
        <v>45374</v>
      </c>
      <c r="Q3" s="11">
        <v>45405</v>
      </c>
      <c r="R3" s="11">
        <v>45435</v>
      </c>
      <c r="S3" s="11">
        <v>45466</v>
      </c>
      <c r="T3" s="12">
        <v>45497</v>
      </c>
      <c r="U3" s="12">
        <v>45528</v>
      </c>
      <c r="V3" s="12">
        <v>45559</v>
      </c>
      <c r="W3" s="12">
        <v>45589</v>
      </c>
      <c r="X3" s="12">
        <v>45620</v>
      </c>
      <c r="Y3" s="12">
        <v>45650</v>
      </c>
      <c r="Z3" s="12">
        <v>45316</v>
      </c>
      <c r="AA3" s="13" t="s">
        <v>6</v>
      </c>
      <c r="AB3" s="319" t="s">
        <v>1424</v>
      </c>
      <c r="AC3" s="319" t="s">
        <v>1425</v>
      </c>
      <c r="AD3" s="319" t="s">
        <v>1426</v>
      </c>
    </row>
    <row r="4" spans="1:30" ht="24.75" customHeight="1">
      <c r="A4" s="14"/>
      <c r="B4" s="15"/>
      <c r="C4" s="16" t="s">
        <v>7</v>
      </c>
      <c r="D4" s="17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0"/>
    </row>
    <row r="5" spans="1:30" ht="24.75" customHeight="1">
      <c r="A5" s="1"/>
      <c r="B5" s="21" t="s">
        <v>8</v>
      </c>
      <c r="C5" s="22" t="s">
        <v>9</v>
      </c>
      <c r="D5" s="23">
        <v>1</v>
      </c>
      <c r="E5" s="24" t="s">
        <v>10</v>
      </c>
      <c r="F5" s="25"/>
      <c r="G5" s="25"/>
      <c r="H5" s="25"/>
      <c r="I5" s="25"/>
      <c r="J5" s="25"/>
      <c r="K5" s="25"/>
      <c r="L5" s="25"/>
      <c r="M5" s="25"/>
      <c r="N5" s="26">
        <v>6600</v>
      </c>
      <c r="O5" s="27">
        <v>6600</v>
      </c>
      <c r="P5" s="26">
        <v>6600</v>
      </c>
      <c r="Q5" s="26">
        <v>6600</v>
      </c>
      <c r="R5" s="26">
        <v>6600</v>
      </c>
      <c r="S5" s="26">
        <v>7300</v>
      </c>
      <c r="T5" s="26">
        <v>7300</v>
      </c>
      <c r="U5" s="26">
        <v>14000</v>
      </c>
      <c r="V5" s="26">
        <v>8500</v>
      </c>
      <c r="W5" s="26">
        <v>7000</v>
      </c>
      <c r="X5" s="26">
        <v>7000</v>
      </c>
      <c r="Y5" s="26">
        <f>21000/3</f>
        <v>7000</v>
      </c>
      <c r="Z5" s="26">
        <v>7500</v>
      </c>
      <c r="AA5" s="28"/>
      <c r="AB5" s="16" t="s">
        <v>7</v>
      </c>
    </row>
    <row r="6" spans="1:30" ht="24.75" customHeight="1">
      <c r="A6" s="1"/>
      <c r="B6" s="21" t="s">
        <v>11</v>
      </c>
      <c r="C6" s="22" t="s">
        <v>12</v>
      </c>
      <c r="D6" s="23">
        <v>1</v>
      </c>
      <c r="E6" s="24" t="s">
        <v>10</v>
      </c>
      <c r="F6" s="25"/>
      <c r="G6" s="25"/>
      <c r="H6" s="25"/>
      <c r="I6" s="25"/>
      <c r="J6" s="25"/>
      <c r="K6" s="25"/>
      <c r="L6" s="25"/>
      <c r="M6" s="25"/>
      <c r="N6" s="26"/>
      <c r="O6" s="27"/>
      <c r="P6" s="26"/>
      <c r="Q6" s="26"/>
      <c r="R6" s="26"/>
      <c r="S6" s="26"/>
      <c r="T6" s="26"/>
      <c r="U6" s="26"/>
      <c r="V6" s="26"/>
      <c r="W6" s="26">
        <v>20000</v>
      </c>
      <c r="X6" s="26">
        <v>22000</v>
      </c>
      <c r="Y6" s="26">
        <v>20000</v>
      </c>
      <c r="Z6" s="26">
        <v>23000</v>
      </c>
      <c r="AA6" s="28">
        <v>16000</v>
      </c>
      <c r="AB6" s="16" t="s">
        <v>7</v>
      </c>
    </row>
    <row r="7" spans="1:30" ht="24.75" customHeight="1">
      <c r="A7" s="1"/>
      <c r="B7" s="21" t="s">
        <v>13</v>
      </c>
      <c r="C7" s="22" t="s">
        <v>14</v>
      </c>
      <c r="D7" s="23">
        <v>1</v>
      </c>
      <c r="E7" s="24" t="s">
        <v>10</v>
      </c>
      <c r="F7" s="25"/>
      <c r="G7" s="25"/>
      <c r="H7" s="25"/>
      <c r="I7" s="25"/>
      <c r="J7" s="26">
        <v>2150</v>
      </c>
      <c r="K7" s="26"/>
      <c r="L7" s="26"/>
      <c r="M7" s="26"/>
      <c r="N7" s="26">
        <v>8500</v>
      </c>
      <c r="O7" s="26">
        <v>8500</v>
      </c>
      <c r="P7" s="26">
        <v>8500</v>
      </c>
      <c r="Q7" s="26">
        <v>8500</v>
      </c>
      <c r="R7" s="26">
        <v>8500</v>
      </c>
      <c r="S7" s="26">
        <v>8300</v>
      </c>
      <c r="T7" s="26">
        <v>8300</v>
      </c>
      <c r="U7" s="26">
        <v>15000</v>
      </c>
      <c r="V7" s="26">
        <v>7500</v>
      </c>
      <c r="W7" s="26">
        <v>7500</v>
      </c>
      <c r="X7" s="26">
        <v>8000</v>
      </c>
      <c r="Y7" s="26">
        <v>8500</v>
      </c>
      <c r="Z7" s="26">
        <v>8000</v>
      </c>
      <c r="AA7" s="28"/>
      <c r="AB7" s="16" t="s">
        <v>7</v>
      </c>
    </row>
    <row r="8" spans="1:30" ht="24.75" customHeight="1">
      <c r="A8" s="1"/>
      <c r="B8" s="21" t="s">
        <v>15</v>
      </c>
      <c r="C8" s="22" t="s">
        <v>16</v>
      </c>
      <c r="D8" s="23">
        <v>1</v>
      </c>
      <c r="E8" s="24" t="s">
        <v>10</v>
      </c>
      <c r="F8" s="25"/>
      <c r="G8" s="25"/>
      <c r="H8" s="25"/>
      <c r="I8" s="25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>
        <v>24000</v>
      </c>
      <c r="X8" s="26">
        <v>24000</v>
      </c>
      <c r="Y8" s="26">
        <v>24000</v>
      </c>
      <c r="Z8" s="26">
        <v>23000</v>
      </c>
      <c r="AA8" s="28" t="s">
        <v>17</v>
      </c>
      <c r="AB8" s="16" t="s">
        <v>7</v>
      </c>
    </row>
    <row r="9" spans="1:30" ht="24.75" customHeight="1">
      <c r="A9" s="1"/>
      <c r="B9" s="21" t="s">
        <v>18</v>
      </c>
      <c r="C9" s="22" t="s">
        <v>19</v>
      </c>
      <c r="D9" s="23">
        <v>1</v>
      </c>
      <c r="E9" s="24" t="s">
        <v>10</v>
      </c>
      <c r="F9" s="25"/>
      <c r="G9" s="25"/>
      <c r="H9" s="25"/>
      <c r="I9" s="25"/>
      <c r="J9" s="25"/>
      <c r="K9" s="25"/>
      <c r="L9" s="25"/>
      <c r="M9" s="25"/>
      <c r="N9" s="26">
        <v>18500</v>
      </c>
      <c r="O9" s="26">
        <v>18500</v>
      </c>
      <c r="P9" s="26">
        <v>18500</v>
      </c>
      <c r="Q9" s="26">
        <v>18500</v>
      </c>
      <c r="R9" s="26">
        <v>18500</v>
      </c>
      <c r="S9" s="26">
        <v>15000</v>
      </c>
      <c r="T9" s="26">
        <v>15000</v>
      </c>
      <c r="U9" s="26">
        <v>16000</v>
      </c>
      <c r="V9" s="26">
        <v>14000</v>
      </c>
      <c r="W9" s="26">
        <v>14000</v>
      </c>
      <c r="X9" s="26">
        <v>10000</v>
      </c>
      <c r="Y9" s="26">
        <v>11300</v>
      </c>
      <c r="Z9" s="26">
        <f>45000/3.25</f>
        <v>13846.153846153846</v>
      </c>
      <c r="AA9" s="28"/>
      <c r="AB9" s="16" t="s">
        <v>7</v>
      </c>
    </row>
    <row r="10" spans="1:30" ht="24.75" customHeight="1">
      <c r="A10" s="1"/>
      <c r="B10" s="21" t="s">
        <v>20</v>
      </c>
      <c r="C10" s="29" t="s">
        <v>21</v>
      </c>
      <c r="D10" s="23">
        <v>1</v>
      </c>
      <c r="E10" s="30" t="s">
        <v>22</v>
      </c>
      <c r="F10" s="31"/>
      <c r="G10" s="32"/>
      <c r="H10" s="32">
        <v>2149.9899999999998</v>
      </c>
      <c r="I10" s="32"/>
      <c r="J10" s="32">
        <v>2050</v>
      </c>
      <c r="K10" s="32"/>
      <c r="L10" s="32">
        <v>2050</v>
      </c>
      <c r="M10" s="31"/>
      <c r="N10" s="32">
        <f>2450/1.18</f>
        <v>2076.2711864406779</v>
      </c>
      <c r="O10" s="32">
        <f>2290/1.18</f>
        <v>1940.6779661016951</v>
      </c>
      <c r="P10" s="32">
        <f t="shared" ref="P10:S10" si="0">2072/1.18</f>
        <v>1755.9322033898306</v>
      </c>
      <c r="Q10" s="32">
        <f t="shared" si="0"/>
        <v>1755.9322033898306</v>
      </c>
      <c r="R10" s="32">
        <f t="shared" si="0"/>
        <v>1755.9322033898306</v>
      </c>
      <c r="S10" s="32">
        <f t="shared" si="0"/>
        <v>1755.9322033898306</v>
      </c>
      <c r="T10" s="32">
        <f>2050/1.18</f>
        <v>1737.2881355932204</v>
      </c>
      <c r="U10" s="32">
        <f>2000/1.18</f>
        <v>1694.9152542372883</v>
      </c>
      <c r="V10" s="32">
        <f>1900/1.18</f>
        <v>1610.1694915254238</v>
      </c>
      <c r="W10" s="32">
        <f>1950/1.18</f>
        <v>1652.542372881356</v>
      </c>
      <c r="X10" s="32">
        <f>1850/1.18</f>
        <v>1567.7966101694917</v>
      </c>
      <c r="Y10" s="32">
        <f>1900/1.18</f>
        <v>1610.1694915254238</v>
      </c>
      <c r="Z10" s="32">
        <f>1850/1.18</f>
        <v>1567.7966101694917</v>
      </c>
      <c r="AA10" s="33" t="s">
        <v>23</v>
      </c>
      <c r="AB10" s="16" t="s">
        <v>7</v>
      </c>
    </row>
    <row r="11" spans="1:30" ht="24.75" customHeight="1">
      <c r="A11" s="1"/>
      <c r="B11" s="21" t="s">
        <v>24</v>
      </c>
      <c r="C11" s="29" t="s">
        <v>25</v>
      </c>
      <c r="D11" s="23">
        <v>1</v>
      </c>
      <c r="E11" s="24" t="s">
        <v>26</v>
      </c>
      <c r="F11" s="32"/>
      <c r="G11" s="32"/>
      <c r="H11" s="32"/>
      <c r="I11" s="32">
        <v>37391.300000000003</v>
      </c>
      <c r="J11" s="32">
        <v>37391.300000000003</v>
      </c>
      <c r="K11" s="32"/>
      <c r="L11" s="32">
        <v>35652.17</v>
      </c>
      <c r="M11" s="32">
        <v>35652.17</v>
      </c>
      <c r="N11" s="32">
        <v>35652.18</v>
      </c>
      <c r="O11" s="32">
        <v>35652.18</v>
      </c>
      <c r="P11" s="32">
        <v>35652.18</v>
      </c>
      <c r="Q11" s="32">
        <v>35652.18</v>
      </c>
      <c r="R11" s="32">
        <v>35652.18</v>
      </c>
      <c r="S11" s="32">
        <v>35652.18</v>
      </c>
      <c r="T11" s="32">
        <v>35652.18</v>
      </c>
      <c r="U11" s="32">
        <f t="shared" ref="U11:V11" si="1">38000/1.18</f>
        <v>32203.389830508477</v>
      </c>
      <c r="V11" s="32">
        <f t="shared" si="1"/>
        <v>32203.389830508477</v>
      </c>
      <c r="W11" s="32"/>
      <c r="X11" s="32">
        <f t="shared" ref="X11:Y11" si="2">37000/1.18</f>
        <v>31355.932203389832</v>
      </c>
      <c r="Y11" s="32">
        <f t="shared" si="2"/>
        <v>31355.932203389832</v>
      </c>
      <c r="Z11" s="32"/>
      <c r="AA11" s="33">
        <v>772507361</v>
      </c>
      <c r="AB11" s="16" t="s">
        <v>7</v>
      </c>
    </row>
    <row r="12" spans="1:30" ht="24.75" customHeight="1">
      <c r="A12" s="1"/>
      <c r="B12" s="21" t="s">
        <v>27</v>
      </c>
      <c r="C12" s="29" t="s">
        <v>28</v>
      </c>
      <c r="D12" s="23">
        <v>1</v>
      </c>
      <c r="E12" s="24" t="s">
        <v>29</v>
      </c>
      <c r="F12" s="32"/>
      <c r="G12" s="32"/>
      <c r="H12" s="32"/>
      <c r="I12" s="32"/>
      <c r="J12" s="32"/>
      <c r="K12" s="32"/>
      <c r="L12" s="32"/>
      <c r="M12" s="32"/>
      <c r="N12" s="32">
        <f t="shared" ref="N12:S12" si="3">285/1.18</f>
        <v>241.52542372881356</v>
      </c>
      <c r="O12" s="32">
        <f t="shared" si="3"/>
        <v>241.52542372881356</v>
      </c>
      <c r="P12" s="32">
        <f t="shared" si="3"/>
        <v>241.52542372881356</v>
      </c>
      <c r="Q12" s="32">
        <f t="shared" si="3"/>
        <v>241.52542372881356</v>
      </c>
      <c r="R12" s="32">
        <f t="shared" si="3"/>
        <v>241.52542372881356</v>
      </c>
      <c r="S12" s="32">
        <f t="shared" si="3"/>
        <v>241.52542372881356</v>
      </c>
      <c r="T12" s="32">
        <f>250/1.18</f>
        <v>211.86440677966104</v>
      </c>
      <c r="U12" s="32">
        <f>240/1.18</f>
        <v>203.38983050847457</v>
      </c>
      <c r="V12" s="32">
        <f>230/1.18</f>
        <v>194.91525423728814</v>
      </c>
      <c r="W12" s="32">
        <f>270/1.18</f>
        <v>228.81355932203391</v>
      </c>
      <c r="X12" s="32">
        <f>280/1.18</f>
        <v>237.28813559322035</v>
      </c>
      <c r="Y12" s="32">
        <f>230/1.18</f>
        <v>194.91525423728814</v>
      </c>
      <c r="Z12" s="32">
        <f>220/1.18</f>
        <v>186.4406779661017</v>
      </c>
      <c r="AA12" s="33">
        <v>777327021</v>
      </c>
      <c r="AB12" s="16" t="s">
        <v>7</v>
      </c>
    </row>
    <row r="13" spans="1:30" ht="24.75" customHeight="1">
      <c r="A13" s="1"/>
      <c r="B13" s="21" t="s">
        <v>30</v>
      </c>
      <c r="C13" s="29" t="s">
        <v>31</v>
      </c>
      <c r="D13" s="23">
        <v>1</v>
      </c>
      <c r="E13" s="24" t="s">
        <v>29</v>
      </c>
      <c r="F13" s="32"/>
      <c r="G13" s="32"/>
      <c r="H13" s="32"/>
      <c r="I13" s="32"/>
      <c r="J13" s="32"/>
      <c r="K13" s="32"/>
      <c r="L13" s="32"/>
      <c r="M13" s="32"/>
      <c r="N13" s="32">
        <f t="shared" ref="N13:S13" si="4">2095/1.18</f>
        <v>1775.4237288135594</v>
      </c>
      <c r="O13" s="32">
        <f t="shared" si="4"/>
        <v>1775.4237288135594</v>
      </c>
      <c r="P13" s="32">
        <f t="shared" si="4"/>
        <v>1775.4237288135594</v>
      </c>
      <c r="Q13" s="32">
        <f t="shared" si="4"/>
        <v>1775.4237288135594</v>
      </c>
      <c r="R13" s="32">
        <f t="shared" si="4"/>
        <v>1775.4237288135594</v>
      </c>
      <c r="S13" s="32">
        <f t="shared" si="4"/>
        <v>1775.4237288135594</v>
      </c>
      <c r="T13" s="32">
        <f t="shared" ref="T13:V13" si="5">1000/1.18</f>
        <v>847.45762711864415</v>
      </c>
      <c r="U13" s="32">
        <f t="shared" si="5"/>
        <v>847.45762711864415</v>
      </c>
      <c r="V13" s="32">
        <f t="shared" si="5"/>
        <v>847.45762711864415</v>
      </c>
      <c r="W13" s="32">
        <f>1500/1.18</f>
        <v>1271.1864406779662</v>
      </c>
      <c r="X13" s="32">
        <f>1100/1.18</f>
        <v>932.20338983050851</v>
      </c>
      <c r="Y13" s="32">
        <f>1000/1.18</f>
        <v>847.45762711864415</v>
      </c>
      <c r="Z13" s="32">
        <f>1200/1.18</f>
        <v>1016.949152542373</v>
      </c>
      <c r="AA13" s="33"/>
      <c r="AB13" s="16" t="s">
        <v>7</v>
      </c>
    </row>
    <row r="14" spans="1:30" ht="24.75" customHeight="1">
      <c r="A14" s="1"/>
      <c r="B14" s="21" t="s">
        <v>32</v>
      </c>
      <c r="C14" s="29" t="s">
        <v>33</v>
      </c>
      <c r="D14" s="23">
        <v>1</v>
      </c>
      <c r="E14" s="24" t="s">
        <v>10</v>
      </c>
      <c r="F14" s="32"/>
      <c r="G14" s="32"/>
      <c r="H14" s="32"/>
      <c r="I14" s="32"/>
      <c r="J14" s="32"/>
      <c r="K14" s="32"/>
      <c r="L14" s="32"/>
      <c r="M14" s="32"/>
      <c r="N14" s="32">
        <v>10000</v>
      </c>
      <c r="O14" s="32">
        <v>10000</v>
      </c>
      <c r="P14" s="32">
        <v>10000</v>
      </c>
      <c r="Q14" s="32">
        <v>10000</v>
      </c>
      <c r="R14" s="32">
        <v>10000</v>
      </c>
      <c r="S14" s="32">
        <v>9000</v>
      </c>
      <c r="T14" s="32">
        <v>9000</v>
      </c>
      <c r="U14" s="32">
        <v>15000</v>
      </c>
      <c r="V14" s="32">
        <v>11000</v>
      </c>
      <c r="W14" s="32">
        <v>11000</v>
      </c>
      <c r="X14" s="32">
        <v>12000</v>
      </c>
      <c r="Y14" s="26">
        <v>11300</v>
      </c>
      <c r="Z14" s="32">
        <f>15750/1.5</f>
        <v>10500</v>
      </c>
      <c r="AA14" s="33" t="s">
        <v>34</v>
      </c>
      <c r="AB14" s="16" t="s">
        <v>7</v>
      </c>
    </row>
    <row r="15" spans="1:30" ht="24.75" customHeight="1">
      <c r="A15" s="1"/>
      <c r="B15" s="21" t="s">
        <v>35</v>
      </c>
      <c r="C15" s="29" t="s">
        <v>36</v>
      </c>
      <c r="D15" s="23">
        <v>1</v>
      </c>
      <c r="E15" s="24" t="s">
        <v>10</v>
      </c>
      <c r="F15" s="32"/>
      <c r="G15" s="32"/>
      <c r="H15" s="32">
        <v>28500</v>
      </c>
      <c r="I15" s="32"/>
      <c r="J15" s="32">
        <v>8500</v>
      </c>
      <c r="K15" s="32"/>
      <c r="L15" s="32"/>
      <c r="M15" s="32"/>
      <c r="N15" s="32">
        <v>20000</v>
      </c>
      <c r="O15" s="32">
        <v>20000</v>
      </c>
      <c r="P15" s="32">
        <v>20000</v>
      </c>
      <c r="Q15" s="32">
        <v>20000</v>
      </c>
      <c r="R15" s="32">
        <v>20000</v>
      </c>
      <c r="S15" s="32">
        <v>22000</v>
      </c>
      <c r="T15" s="32">
        <v>22000</v>
      </c>
      <c r="U15" s="32">
        <v>26000</v>
      </c>
      <c r="V15" s="32">
        <v>18000</v>
      </c>
      <c r="W15" s="32">
        <v>19000</v>
      </c>
      <c r="X15" s="32">
        <v>20000</v>
      </c>
      <c r="Y15" s="32">
        <v>20000</v>
      </c>
      <c r="Z15" s="32">
        <f>88000/4.2</f>
        <v>20952.38095238095</v>
      </c>
      <c r="AA15" s="33">
        <v>717192868</v>
      </c>
      <c r="AB15" s="16" t="s">
        <v>7</v>
      </c>
    </row>
    <row r="16" spans="1:30" ht="24.75" customHeight="1">
      <c r="A16" s="1"/>
      <c r="B16" s="21" t="s">
        <v>37</v>
      </c>
      <c r="C16" s="29" t="s">
        <v>38</v>
      </c>
      <c r="D16" s="23">
        <v>1</v>
      </c>
      <c r="E16" s="24" t="s">
        <v>10</v>
      </c>
      <c r="F16" s="32"/>
      <c r="G16" s="32"/>
      <c r="H16" s="32"/>
      <c r="I16" s="32"/>
      <c r="J16" s="32"/>
      <c r="K16" s="32">
        <v>22250</v>
      </c>
      <c r="L16" s="32">
        <v>22250</v>
      </c>
      <c r="M16" s="32"/>
      <c r="N16" s="32">
        <v>24400</v>
      </c>
      <c r="O16" s="32">
        <f>24400</f>
        <v>24400</v>
      </c>
      <c r="P16" s="32">
        <v>24400</v>
      </c>
      <c r="Q16" s="32">
        <v>24400</v>
      </c>
      <c r="R16" s="32">
        <v>24400</v>
      </c>
      <c r="S16" s="32">
        <v>25500</v>
      </c>
      <c r="T16" s="32">
        <v>25500</v>
      </c>
      <c r="U16" s="32">
        <v>26500</v>
      </c>
      <c r="V16" s="32">
        <v>26000</v>
      </c>
      <c r="W16" s="32">
        <v>18500</v>
      </c>
      <c r="X16" s="32">
        <v>18500</v>
      </c>
      <c r="Y16" s="32">
        <v>18500</v>
      </c>
      <c r="Z16" s="32">
        <f>72000/3.25</f>
        <v>22153.846153846152</v>
      </c>
      <c r="AA16" s="33"/>
      <c r="AB16" s="16" t="s">
        <v>7</v>
      </c>
      <c r="AC16" s="34">
        <v>22000</v>
      </c>
      <c r="AD16" s="34" t="s">
        <v>39</v>
      </c>
    </row>
    <row r="17" spans="1:30" ht="24.75" customHeight="1">
      <c r="A17" s="1"/>
      <c r="B17" s="21" t="s">
        <v>40</v>
      </c>
      <c r="C17" s="29" t="s">
        <v>41</v>
      </c>
      <c r="D17" s="23">
        <v>1</v>
      </c>
      <c r="E17" s="24" t="s">
        <v>10</v>
      </c>
      <c r="F17" s="32"/>
      <c r="G17" s="32"/>
      <c r="H17" s="32"/>
      <c r="I17" s="32"/>
      <c r="J17" s="32">
        <v>6750</v>
      </c>
      <c r="K17" s="32"/>
      <c r="L17" s="32"/>
      <c r="M17" s="32"/>
      <c r="N17" s="32">
        <v>11000</v>
      </c>
      <c r="O17" s="32">
        <v>11000</v>
      </c>
      <c r="P17" s="32">
        <v>11000</v>
      </c>
      <c r="Q17" s="32">
        <v>11000</v>
      </c>
      <c r="R17" s="32">
        <v>11000</v>
      </c>
      <c r="S17" s="32">
        <v>14000</v>
      </c>
      <c r="T17" s="32">
        <v>14000</v>
      </c>
      <c r="U17" s="32">
        <v>15000</v>
      </c>
      <c r="V17" s="32">
        <v>10600</v>
      </c>
      <c r="W17" s="32">
        <v>9500</v>
      </c>
      <c r="X17" s="32">
        <v>10000</v>
      </c>
      <c r="Y17" s="32">
        <v>11300</v>
      </c>
      <c r="Z17" s="26">
        <v>13000</v>
      </c>
      <c r="AA17" s="33">
        <v>13</v>
      </c>
      <c r="AB17" s="16" t="s">
        <v>7</v>
      </c>
      <c r="AC17" s="34">
        <v>9500</v>
      </c>
      <c r="AD17" s="34">
        <v>20</v>
      </c>
    </row>
    <row r="18" spans="1:30" ht="24.75" hidden="1" customHeight="1">
      <c r="A18" s="1"/>
      <c r="B18" s="21" t="s">
        <v>37</v>
      </c>
      <c r="C18" s="29" t="s">
        <v>42</v>
      </c>
      <c r="D18" s="23">
        <v>1</v>
      </c>
      <c r="E18" s="24" t="s">
        <v>43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 t="s">
        <v>44</v>
      </c>
    </row>
    <row r="19" spans="1:30" ht="24.75" customHeight="1">
      <c r="A19" s="1"/>
      <c r="B19" s="15"/>
      <c r="C19" s="16" t="s">
        <v>45</v>
      </c>
      <c r="D19" s="23"/>
      <c r="E19" s="2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  <c r="AC19" s="34">
        <v>11000</v>
      </c>
    </row>
    <row r="20" spans="1:30" ht="24.75" customHeight="1">
      <c r="A20" s="1"/>
      <c r="B20" s="21" t="s">
        <v>8</v>
      </c>
      <c r="C20" s="29" t="s">
        <v>46</v>
      </c>
      <c r="D20" s="23">
        <v>1</v>
      </c>
      <c r="E20" s="24" t="s">
        <v>43</v>
      </c>
      <c r="F20" s="32"/>
      <c r="G20" s="32"/>
      <c r="H20" s="32"/>
      <c r="I20" s="32"/>
      <c r="J20" s="32"/>
      <c r="K20" s="32">
        <v>24625</v>
      </c>
      <c r="L20" s="32">
        <v>24625</v>
      </c>
      <c r="M20" s="32">
        <v>24625</v>
      </c>
      <c r="N20" s="32">
        <v>24625</v>
      </c>
      <c r="O20" s="32">
        <v>24625</v>
      </c>
      <c r="P20" s="32">
        <v>24625</v>
      </c>
      <c r="Q20" s="32">
        <v>24625</v>
      </c>
      <c r="R20" s="32">
        <v>21500</v>
      </c>
      <c r="S20" s="32">
        <v>21500</v>
      </c>
      <c r="T20" s="32">
        <v>18500</v>
      </c>
      <c r="U20" s="32">
        <v>22300</v>
      </c>
      <c r="V20" s="32">
        <v>22100</v>
      </c>
      <c r="W20" s="32">
        <v>22200</v>
      </c>
      <c r="X20" s="32">
        <v>22200</v>
      </c>
      <c r="Y20" s="32">
        <v>22200</v>
      </c>
      <c r="Z20" s="32"/>
      <c r="AA20" s="33" t="s">
        <v>17</v>
      </c>
      <c r="AB20" s="16" t="s">
        <v>45</v>
      </c>
    </row>
    <row r="21" spans="1:30" ht="24.75" customHeight="1">
      <c r="A21" s="1"/>
      <c r="B21" s="21" t="s">
        <v>11</v>
      </c>
      <c r="C21" s="29" t="s">
        <v>47</v>
      </c>
      <c r="D21" s="23">
        <v>1</v>
      </c>
      <c r="E21" s="24" t="s">
        <v>43</v>
      </c>
      <c r="F21" s="32"/>
      <c r="G21" s="32"/>
      <c r="H21" s="32"/>
      <c r="I21" s="32"/>
      <c r="J21" s="32">
        <v>26000</v>
      </c>
      <c r="K21" s="32">
        <v>25575</v>
      </c>
      <c r="L21" s="32">
        <v>25575</v>
      </c>
      <c r="M21" s="32">
        <v>25575</v>
      </c>
      <c r="N21" s="32">
        <v>25575</v>
      </c>
      <c r="O21" s="32">
        <v>25575</v>
      </c>
      <c r="P21" s="32">
        <v>25575</v>
      </c>
      <c r="Q21" s="32">
        <v>25575</v>
      </c>
      <c r="R21" s="32">
        <v>22300</v>
      </c>
      <c r="S21" s="32">
        <v>22300</v>
      </c>
      <c r="T21" s="32">
        <v>19500</v>
      </c>
      <c r="U21" s="32">
        <v>23200</v>
      </c>
      <c r="V21" s="32">
        <v>22900</v>
      </c>
      <c r="W21" s="32">
        <v>22900</v>
      </c>
      <c r="X21" s="32">
        <v>22900</v>
      </c>
      <c r="Y21" s="32">
        <v>22900</v>
      </c>
      <c r="Z21" s="32"/>
      <c r="AA21" s="33"/>
      <c r="AB21" s="16" t="s">
        <v>45</v>
      </c>
    </row>
    <row r="22" spans="1:30" ht="24.75" customHeight="1">
      <c r="A22" s="1"/>
      <c r="B22" s="21" t="s">
        <v>13</v>
      </c>
      <c r="C22" s="29" t="s">
        <v>48</v>
      </c>
      <c r="D22" s="23">
        <v>1</v>
      </c>
      <c r="E22" s="24" t="s">
        <v>43</v>
      </c>
      <c r="F22" s="32"/>
      <c r="G22" s="32"/>
      <c r="H22" s="32"/>
      <c r="I22" s="32"/>
      <c r="J22" s="32">
        <v>28000</v>
      </c>
      <c r="K22" s="32">
        <v>26375</v>
      </c>
      <c r="L22" s="32">
        <v>26375</v>
      </c>
      <c r="M22" s="32">
        <v>26375</v>
      </c>
      <c r="N22" s="32">
        <v>26375</v>
      </c>
      <c r="O22" s="32">
        <v>26375</v>
      </c>
      <c r="P22" s="32">
        <v>26375</v>
      </c>
      <c r="Q22" s="32">
        <v>26375</v>
      </c>
      <c r="R22" s="32">
        <v>23000</v>
      </c>
      <c r="S22" s="32">
        <v>23000</v>
      </c>
      <c r="T22" s="32">
        <v>20700</v>
      </c>
      <c r="U22" s="32">
        <v>23700</v>
      </c>
      <c r="V22" s="32">
        <v>23700</v>
      </c>
      <c r="W22" s="32">
        <v>23500</v>
      </c>
      <c r="X22" s="32">
        <v>23500</v>
      </c>
      <c r="Y22" s="32">
        <v>23500</v>
      </c>
      <c r="Z22" s="32"/>
      <c r="AA22" s="33"/>
      <c r="AB22" s="16" t="s">
        <v>45</v>
      </c>
    </row>
    <row r="23" spans="1:30" ht="24.75" customHeight="1">
      <c r="A23" s="1"/>
      <c r="B23" s="21" t="s">
        <v>15</v>
      </c>
      <c r="C23" s="29" t="s">
        <v>49</v>
      </c>
      <c r="D23" s="23">
        <v>1</v>
      </c>
      <c r="E23" s="24" t="s">
        <v>43</v>
      </c>
      <c r="F23" s="32"/>
      <c r="G23" s="32"/>
      <c r="H23" s="32">
        <v>27900</v>
      </c>
      <c r="I23" s="32"/>
      <c r="J23" s="32"/>
      <c r="K23" s="32">
        <v>27325</v>
      </c>
      <c r="L23" s="32">
        <v>27325</v>
      </c>
      <c r="M23" s="32">
        <v>27325</v>
      </c>
      <c r="N23" s="32">
        <v>27325</v>
      </c>
      <c r="O23" s="32">
        <v>27325</v>
      </c>
      <c r="P23" s="32">
        <v>27325</v>
      </c>
      <c r="Q23" s="32">
        <v>27325</v>
      </c>
      <c r="R23" s="32">
        <v>24500</v>
      </c>
      <c r="S23" s="32">
        <v>24500</v>
      </c>
      <c r="T23" s="32">
        <v>22000</v>
      </c>
      <c r="U23" s="32">
        <v>24800</v>
      </c>
      <c r="V23" s="32">
        <v>24500</v>
      </c>
      <c r="W23" s="32">
        <v>25000</v>
      </c>
      <c r="X23" s="32">
        <v>25000</v>
      </c>
      <c r="Y23" s="32">
        <v>25000</v>
      </c>
      <c r="Z23" s="32"/>
      <c r="AA23" s="33"/>
      <c r="AB23" s="16" t="s">
        <v>45</v>
      </c>
    </row>
    <row r="24" spans="1:30" ht="24.75" customHeight="1">
      <c r="A24" s="1"/>
      <c r="B24" s="15"/>
      <c r="C24" s="16" t="s">
        <v>50</v>
      </c>
      <c r="D24" s="23"/>
      <c r="E24" s="24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0" ht="24.75" customHeight="1">
      <c r="A25" s="1"/>
      <c r="B25" s="21" t="s">
        <v>8</v>
      </c>
      <c r="C25" s="29" t="s">
        <v>51</v>
      </c>
      <c r="D25" s="23">
        <v>1</v>
      </c>
      <c r="E25" s="24" t="s">
        <v>52</v>
      </c>
      <c r="F25" s="32"/>
      <c r="G25" s="32"/>
      <c r="H25" s="32"/>
      <c r="I25" s="32"/>
      <c r="J25" s="32">
        <v>25</v>
      </c>
      <c r="K25" s="32"/>
      <c r="L25" s="32"/>
      <c r="M25" s="32"/>
      <c r="N25" s="32">
        <v>24</v>
      </c>
      <c r="O25" s="32">
        <v>23.5</v>
      </c>
      <c r="P25" s="32">
        <v>23.5</v>
      </c>
      <c r="Q25" s="32"/>
      <c r="R25" s="32"/>
      <c r="S25" s="32">
        <v>27.5</v>
      </c>
      <c r="T25" s="32">
        <v>27.5</v>
      </c>
      <c r="U25" s="32">
        <v>21</v>
      </c>
      <c r="V25" s="32">
        <f>21/1.18</f>
        <v>17.796610169491526</v>
      </c>
      <c r="W25" s="32">
        <f t="shared" ref="W25:Y25" si="6">22/1.18</f>
        <v>18.64406779661017</v>
      </c>
      <c r="X25" s="32">
        <f t="shared" si="6"/>
        <v>18.64406779661017</v>
      </c>
      <c r="Y25" s="32">
        <f t="shared" si="6"/>
        <v>18.64406779661017</v>
      </c>
      <c r="Z25" s="32">
        <f>24/1.18</f>
        <v>20.33898305084746</v>
      </c>
      <c r="AA25" s="33"/>
      <c r="AB25" s="16" t="s">
        <v>50</v>
      </c>
    </row>
    <row r="26" spans="1:30" ht="24.75" customHeight="1">
      <c r="A26" s="1"/>
      <c r="B26" s="21" t="s">
        <v>11</v>
      </c>
      <c r="C26" s="29" t="s">
        <v>53</v>
      </c>
      <c r="D26" s="23">
        <v>1</v>
      </c>
      <c r="E26" s="24" t="s">
        <v>52</v>
      </c>
      <c r="F26" s="32"/>
      <c r="G26" s="32"/>
      <c r="H26" s="32"/>
      <c r="I26" s="32"/>
      <c r="J26" s="32"/>
      <c r="K26" s="32"/>
      <c r="L26" s="32"/>
      <c r="M26" s="32"/>
      <c r="N26" s="32"/>
      <c r="O26" s="32">
        <v>27.5</v>
      </c>
      <c r="P26" s="32">
        <v>27.5</v>
      </c>
      <c r="Q26" s="32"/>
      <c r="R26" s="32"/>
      <c r="S26" s="32">
        <v>45</v>
      </c>
      <c r="T26" s="32">
        <v>45</v>
      </c>
      <c r="U26" s="32">
        <v>44</v>
      </c>
      <c r="V26" s="32">
        <f>44/1.18</f>
        <v>37.288135593220339</v>
      </c>
      <c r="W26" s="32">
        <f>39/1.18</f>
        <v>33.050847457627121</v>
      </c>
      <c r="X26" s="32">
        <f t="shared" ref="X26:Y26" si="7">42/1.18</f>
        <v>35.593220338983052</v>
      </c>
      <c r="Y26" s="32">
        <f t="shared" si="7"/>
        <v>35.593220338983052</v>
      </c>
      <c r="Z26" s="32">
        <f>44/1.18</f>
        <v>37.288135593220339</v>
      </c>
      <c r="AA26" s="33"/>
      <c r="AB26" s="16" t="s">
        <v>50</v>
      </c>
    </row>
    <row r="27" spans="1:30" ht="24.75" customHeight="1">
      <c r="A27" s="1"/>
      <c r="B27" s="21" t="s">
        <v>13</v>
      </c>
      <c r="C27" s="29" t="s">
        <v>54</v>
      </c>
      <c r="D27" s="35">
        <v>1</v>
      </c>
      <c r="E27" s="36" t="s">
        <v>52</v>
      </c>
      <c r="F27" s="32"/>
      <c r="G27" s="32"/>
      <c r="H27" s="32"/>
      <c r="I27" s="32"/>
      <c r="J27" s="32">
        <v>110</v>
      </c>
      <c r="K27" s="32"/>
      <c r="L27" s="32"/>
      <c r="M27" s="32"/>
      <c r="N27" s="32">
        <f t="shared" ref="N27:S27" si="8">143/1.18</f>
        <v>121.1864406779661</v>
      </c>
      <c r="O27" s="32">
        <f t="shared" si="8"/>
        <v>121.1864406779661</v>
      </c>
      <c r="P27" s="32">
        <f t="shared" si="8"/>
        <v>121.1864406779661</v>
      </c>
      <c r="Q27" s="32">
        <f t="shared" si="8"/>
        <v>121.1864406779661</v>
      </c>
      <c r="R27" s="32">
        <f t="shared" si="8"/>
        <v>121.1864406779661</v>
      </c>
      <c r="S27" s="32">
        <f t="shared" si="8"/>
        <v>121.1864406779661</v>
      </c>
      <c r="T27" s="32">
        <f t="shared" ref="T27:Z27" si="9">141.18/1.18</f>
        <v>119.64406779661019</v>
      </c>
      <c r="U27" s="32">
        <f t="shared" si="9"/>
        <v>119.64406779661019</v>
      </c>
      <c r="V27" s="32">
        <f t="shared" si="9"/>
        <v>119.64406779661019</v>
      </c>
      <c r="W27" s="32">
        <f t="shared" si="9"/>
        <v>119.64406779661019</v>
      </c>
      <c r="X27" s="32">
        <f t="shared" si="9"/>
        <v>119.64406779661019</v>
      </c>
      <c r="Y27" s="32">
        <f t="shared" si="9"/>
        <v>119.64406779661019</v>
      </c>
      <c r="Z27" s="32">
        <f t="shared" si="9"/>
        <v>119.64406779661019</v>
      </c>
      <c r="AA27" s="33" t="s">
        <v>55</v>
      </c>
      <c r="AB27" s="16" t="s">
        <v>50</v>
      </c>
    </row>
    <row r="28" spans="1:30" ht="24.75" customHeight="1">
      <c r="A28" s="1"/>
      <c r="B28" s="21" t="s">
        <v>15</v>
      </c>
      <c r="C28" s="29" t="s">
        <v>56</v>
      </c>
      <c r="D28" s="35">
        <v>1</v>
      </c>
      <c r="E28" s="36" t="s">
        <v>52</v>
      </c>
      <c r="F28" s="32"/>
      <c r="G28" s="32"/>
      <c r="H28" s="32"/>
      <c r="I28" s="32"/>
      <c r="J28" s="32">
        <v>169</v>
      </c>
      <c r="K28" s="32"/>
      <c r="L28" s="32"/>
      <c r="M28" s="32"/>
      <c r="N28" s="32">
        <f t="shared" ref="N28:S28" si="10">194/1.18</f>
        <v>164.40677966101697</v>
      </c>
      <c r="O28" s="32">
        <f t="shared" si="10"/>
        <v>164.40677966101697</v>
      </c>
      <c r="P28" s="32">
        <f t="shared" si="10"/>
        <v>164.40677966101697</v>
      </c>
      <c r="Q28" s="32">
        <f t="shared" si="10"/>
        <v>164.40677966101697</v>
      </c>
      <c r="R28" s="32">
        <f t="shared" si="10"/>
        <v>164.40677966101697</v>
      </c>
      <c r="S28" s="32">
        <f t="shared" si="10"/>
        <v>164.40677966101697</v>
      </c>
      <c r="T28" s="32">
        <f t="shared" ref="T28:Z28" si="11">192.14/1.18</f>
        <v>162.83050847457628</v>
      </c>
      <c r="U28" s="32">
        <f t="shared" si="11"/>
        <v>162.83050847457628</v>
      </c>
      <c r="V28" s="32">
        <f t="shared" si="11"/>
        <v>162.83050847457628</v>
      </c>
      <c r="W28" s="32">
        <f t="shared" si="11"/>
        <v>162.83050847457628</v>
      </c>
      <c r="X28" s="32">
        <f t="shared" si="11"/>
        <v>162.83050847457628</v>
      </c>
      <c r="Y28" s="32">
        <f t="shared" si="11"/>
        <v>162.83050847457628</v>
      </c>
      <c r="Z28" s="32">
        <f t="shared" si="11"/>
        <v>162.83050847457628</v>
      </c>
      <c r="AA28" s="33" t="s">
        <v>55</v>
      </c>
      <c r="AB28" s="16" t="s">
        <v>50</v>
      </c>
    </row>
    <row r="29" spans="1:30" ht="24.75" customHeight="1">
      <c r="A29" s="1"/>
      <c r="B29" s="21" t="s">
        <v>18</v>
      </c>
      <c r="C29" s="29" t="s">
        <v>57</v>
      </c>
      <c r="D29" s="35">
        <v>1</v>
      </c>
      <c r="E29" s="36" t="s">
        <v>52</v>
      </c>
      <c r="F29" s="32"/>
      <c r="G29" s="32"/>
      <c r="H29" s="32"/>
      <c r="I29" s="32"/>
      <c r="J29" s="32">
        <v>238</v>
      </c>
      <c r="K29" s="32"/>
      <c r="L29" s="32"/>
      <c r="M29" s="32"/>
      <c r="N29" s="32">
        <f t="shared" ref="N29:S29" si="12">255/1.18</f>
        <v>216.10169491525426</v>
      </c>
      <c r="O29" s="32">
        <f t="shared" si="12"/>
        <v>216.10169491525426</v>
      </c>
      <c r="P29" s="32">
        <f t="shared" si="12"/>
        <v>216.10169491525426</v>
      </c>
      <c r="Q29" s="32">
        <f t="shared" si="12"/>
        <v>216.10169491525426</v>
      </c>
      <c r="R29" s="32">
        <f t="shared" si="12"/>
        <v>216.10169491525426</v>
      </c>
      <c r="S29" s="32">
        <f t="shared" si="12"/>
        <v>216.10169491525426</v>
      </c>
      <c r="T29" s="32">
        <f t="shared" ref="T29:Z29" si="13">252.43/1.18</f>
        <v>213.92372881355934</v>
      </c>
      <c r="U29" s="32">
        <f t="shared" si="13"/>
        <v>213.92372881355934</v>
      </c>
      <c r="V29" s="32">
        <f t="shared" si="13"/>
        <v>213.92372881355934</v>
      </c>
      <c r="W29" s="32">
        <f t="shared" si="13"/>
        <v>213.92372881355934</v>
      </c>
      <c r="X29" s="32">
        <f t="shared" si="13"/>
        <v>213.92372881355934</v>
      </c>
      <c r="Y29" s="32">
        <f t="shared" si="13"/>
        <v>213.92372881355934</v>
      </c>
      <c r="Z29" s="32">
        <f t="shared" si="13"/>
        <v>213.92372881355934</v>
      </c>
      <c r="AA29" s="33" t="s">
        <v>55</v>
      </c>
      <c r="AB29" s="16" t="s">
        <v>50</v>
      </c>
    </row>
    <row r="30" spans="1:30" ht="24.75" customHeight="1">
      <c r="A30" s="1"/>
      <c r="B30" s="21" t="s">
        <v>20</v>
      </c>
      <c r="C30" s="29" t="s">
        <v>58</v>
      </c>
      <c r="D30" s="35">
        <v>1</v>
      </c>
      <c r="E30" s="36" t="s">
        <v>52</v>
      </c>
      <c r="F30" s="32"/>
      <c r="G30" s="32"/>
      <c r="H30" s="32"/>
      <c r="I30" s="32"/>
      <c r="J30" s="32">
        <v>157</v>
      </c>
      <c r="K30" s="32"/>
      <c r="L30" s="32"/>
      <c r="M30" s="32"/>
      <c r="N30" s="32">
        <f t="shared" ref="N30:S30" si="14">169/1.18</f>
        <v>143.22033898305085</v>
      </c>
      <c r="O30" s="32">
        <f t="shared" si="14"/>
        <v>143.22033898305085</v>
      </c>
      <c r="P30" s="32">
        <f t="shared" si="14"/>
        <v>143.22033898305085</v>
      </c>
      <c r="Q30" s="32">
        <f t="shared" si="14"/>
        <v>143.22033898305085</v>
      </c>
      <c r="R30" s="32">
        <f t="shared" si="14"/>
        <v>143.22033898305085</v>
      </c>
      <c r="S30" s="32">
        <f t="shared" si="14"/>
        <v>143.22033898305085</v>
      </c>
      <c r="T30" s="32">
        <f t="shared" ref="T30:U30" si="15">166.77/1.18</f>
        <v>141.33050847457628</v>
      </c>
      <c r="U30" s="32">
        <f t="shared" si="15"/>
        <v>141.33050847457628</v>
      </c>
      <c r="V30" s="32">
        <f t="shared" ref="V30:Z30" si="16">166.76/1.18</f>
        <v>141.32203389830508</v>
      </c>
      <c r="W30" s="32">
        <f t="shared" si="16"/>
        <v>141.32203389830508</v>
      </c>
      <c r="X30" s="32">
        <f t="shared" si="16"/>
        <v>141.32203389830508</v>
      </c>
      <c r="Y30" s="32">
        <f t="shared" si="16"/>
        <v>141.32203389830508</v>
      </c>
      <c r="Z30" s="32">
        <f t="shared" si="16"/>
        <v>141.32203389830508</v>
      </c>
      <c r="AA30" s="33" t="s">
        <v>55</v>
      </c>
      <c r="AB30" s="16" t="s">
        <v>50</v>
      </c>
    </row>
    <row r="31" spans="1:30" ht="24.75" customHeight="1">
      <c r="A31" s="1"/>
      <c r="B31" s="21" t="s">
        <v>24</v>
      </c>
      <c r="C31" s="29" t="s">
        <v>59</v>
      </c>
      <c r="D31" s="35">
        <v>1</v>
      </c>
      <c r="E31" s="36" t="s">
        <v>52</v>
      </c>
      <c r="F31" s="32"/>
      <c r="G31" s="32"/>
      <c r="H31" s="32"/>
      <c r="I31" s="32"/>
      <c r="J31" s="32">
        <v>232</v>
      </c>
      <c r="K31" s="32"/>
      <c r="L31" s="32"/>
      <c r="M31" s="32"/>
      <c r="N31" s="32">
        <f t="shared" ref="N31:S31" si="17">245/1.18</f>
        <v>207.62711864406782</v>
      </c>
      <c r="O31" s="32">
        <f t="shared" si="17"/>
        <v>207.62711864406782</v>
      </c>
      <c r="P31" s="32">
        <f t="shared" si="17"/>
        <v>207.62711864406782</v>
      </c>
      <c r="Q31" s="32">
        <f t="shared" si="17"/>
        <v>207.62711864406782</v>
      </c>
      <c r="R31" s="32">
        <f t="shared" si="17"/>
        <v>207.62711864406782</v>
      </c>
      <c r="S31" s="32">
        <f t="shared" si="17"/>
        <v>207.62711864406782</v>
      </c>
      <c r="T31" s="32">
        <f t="shared" ref="T31:Z31" si="18">241.16/1.18</f>
        <v>204.37288135593221</v>
      </c>
      <c r="U31" s="32">
        <f t="shared" si="18"/>
        <v>204.37288135593221</v>
      </c>
      <c r="V31" s="32">
        <f t="shared" si="18"/>
        <v>204.37288135593221</v>
      </c>
      <c r="W31" s="32">
        <f t="shared" si="18"/>
        <v>204.37288135593221</v>
      </c>
      <c r="X31" s="32">
        <f t="shared" si="18"/>
        <v>204.37288135593221</v>
      </c>
      <c r="Y31" s="32">
        <f t="shared" si="18"/>
        <v>204.37288135593221</v>
      </c>
      <c r="Z31" s="32">
        <f t="shared" si="18"/>
        <v>204.37288135593221</v>
      </c>
      <c r="AA31" s="33" t="s">
        <v>55</v>
      </c>
      <c r="AB31" s="16" t="s">
        <v>50</v>
      </c>
    </row>
    <row r="32" spans="1:30" ht="24.75" customHeight="1">
      <c r="A32" s="1"/>
      <c r="B32" s="21" t="s">
        <v>27</v>
      </c>
      <c r="C32" s="29" t="s">
        <v>60</v>
      </c>
      <c r="D32" s="35">
        <v>1</v>
      </c>
      <c r="E32" s="36" t="s">
        <v>52</v>
      </c>
      <c r="F32" s="32"/>
      <c r="G32" s="32"/>
      <c r="H32" s="32"/>
      <c r="I32" s="32"/>
      <c r="J32" s="32">
        <v>309</v>
      </c>
      <c r="K32" s="32"/>
      <c r="L32" s="32"/>
      <c r="M32" s="32"/>
      <c r="N32" s="32">
        <f t="shared" ref="N32:S32" si="19">315/1.18</f>
        <v>266.94915254237287</v>
      </c>
      <c r="O32" s="32">
        <f t="shared" si="19"/>
        <v>266.94915254237287</v>
      </c>
      <c r="P32" s="32">
        <f t="shared" si="19"/>
        <v>266.94915254237287</v>
      </c>
      <c r="Q32" s="32">
        <f t="shared" si="19"/>
        <v>266.94915254237287</v>
      </c>
      <c r="R32" s="32">
        <f t="shared" si="19"/>
        <v>266.94915254237287</v>
      </c>
      <c r="S32" s="32">
        <f t="shared" si="19"/>
        <v>266.94915254237287</v>
      </c>
      <c r="T32" s="32">
        <f t="shared" ref="T32:Z32" si="20">309.16/1.18</f>
        <v>262.00000000000006</v>
      </c>
      <c r="U32" s="32">
        <f t="shared" si="20"/>
        <v>262.00000000000006</v>
      </c>
      <c r="V32" s="32">
        <f t="shared" si="20"/>
        <v>262.00000000000006</v>
      </c>
      <c r="W32" s="32">
        <f t="shared" si="20"/>
        <v>262.00000000000006</v>
      </c>
      <c r="X32" s="32">
        <f t="shared" si="20"/>
        <v>262.00000000000006</v>
      </c>
      <c r="Y32" s="32">
        <f t="shared" si="20"/>
        <v>262.00000000000006</v>
      </c>
      <c r="Z32" s="32">
        <f t="shared" si="20"/>
        <v>262.00000000000006</v>
      </c>
      <c r="AA32" s="33" t="s">
        <v>55</v>
      </c>
      <c r="AB32" s="16" t="s">
        <v>50</v>
      </c>
    </row>
    <row r="33" spans="1:29" ht="24.75" customHeight="1">
      <c r="A33" s="1"/>
      <c r="B33" s="21" t="s">
        <v>30</v>
      </c>
      <c r="C33" s="29" t="s">
        <v>61</v>
      </c>
      <c r="D33" s="35">
        <v>1</v>
      </c>
      <c r="E33" s="36" t="s">
        <v>52</v>
      </c>
      <c r="F33" s="32"/>
      <c r="G33" s="32"/>
      <c r="H33" s="32"/>
      <c r="I33" s="32"/>
      <c r="J33" s="32">
        <v>325</v>
      </c>
      <c r="K33" s="32"/>
      <c r="L33" s="32"/>
      <c r="M33" s="32"/>
      <c r="N33" s="32">
        <v>325</v>
      </c>
      <c r="O33" s="32">
        <v>325</v>
      </c>
      <c r="P33" s="32">
        <v>325</v>
      </c>
      <c r="Q33" s="32"/>
      <c r="R33" s="32"/>
      <c r="S33" s="32">
        <f t="shared" ref="S33:Z33" si="21">325/1.18</f>
        <v>275.42372881355936</v>
      </c>
      <c r="T33" s="32">
        <f t="shared" si="21"/>
        <v>275.42372881355936</v>
      </c>
      <c r="U33" s="32">
        <f t="shared" si="21"/>
        <v>275.42372881355936</v>
      </c>
      <c r="V33" s="32">
        <f t="shared" si="21"/>
        <v>275.42372881355936</v>
      </c>
      <c r="W33" s="32">
        <f t="shared" si="21"/>
        <v>275.42372881355936</v>
      </c>
      <c r="X33" s="32">
        <f t="shared" si="21"/>
        <v>275.42372881355936</v>
      </c>
      <c r="Y33" s="32">
        <f t="shared" si="21"/>
        <v>275.42372881355936</v>
      </c>
      <c r="Z33" s="32">
        <f t="shared" si="21"/>
        <v>275.42372881355936</v>
      </c>
      <c r="AA33" s="33" t="s">
        <v>62</v>
      </c>
      <c r="AB33" s="16" t="s">
        <v>50</v>
      </c>
    </row>
    <row r="34" spans="1:29" ht="24.75" customHeight="1">
      <c r="A34" s="1"/>
      <c r="B34" s="21" t="s">
        <v>32</v>
      </c>
      <c r="C34" s="29" t="s">
        <v>63</v>
      </c>
      <c r="D34" s="35">
        <v>1</v>
      </c>
      <c r="E34" s="36" t="s">
        <v>52</v>
      </c>
      <c r="F34" s="32"/>
      <c r="G34" s="32"/>
      <c r="H34" s="32"/>
      <c r="I34" s="32"/>
      <c r="J34" s="32">
        <v>490</v>
      </c>
      <c r="K34" s="32"/>
      <c r="L34" s="32"/>
      <c r="M34" s="32"/>
      <c r="N34" s="32">
        <v>488</v>
      </c>
      <c r="O34" s="32">
        <v>488</v>
      </c>
      <c r="P34" s="32">
        <v>488</v>
      </c>
      <c r="Q34" s="32"/>
      <c r="R34" s="32"/>
      <c r="S34" s="32">
        <f t="shared" ref="S34:Z34" si="22">490/1.18</f>
        <v>415.25423728813564</v>
      </c>
      <c r="T34" s="32">
        <f t="shared" si="22"/>
        <v>415.25423728813564</v>
      </c>
      <c r="U34" s="32">
        <f t="shared" si="22"/>
        <v>415.25423728813564</v>
      </c>
      <c r="V34" s="32">
        <f t="shared" si="22"/>
        <v>415.25423728813564</v>
      </c>
      <c r="W34" s="32">
        <f t="shared" si="22"/>
        <v>415.25423728813564</v>
      </c>
      <c r="X34" s="32">
        <f t="shared" si="22"/>
        <v>415.25423728813564</v>
      </c>
      <c r="Y34" s="32">
        <f t="shared" si="22"/>
        <v>415.25423728813564</v>
      </c>
      <c r="Z34" s="32">
        <f t="shared" si="22"/>
        <v>415.25423728813564</v>
      </c>
      <c r="AA34" s="33" t="s">
        <v>62</v>
      </c>
      <c r="AB34" s="16" t="s">
        <v>50</v>
      </c>
    </row>
    <row r="35" spans="1:29" ht="24.75" customHeight="1">
      <c r="A35" s="1"/>
      <c r="B35" s="21" t="s">
        <v>35</v>
      </c>
      <c r="C35" s="29" t="s">
        <v>64</v>
      </c>
      <c r="D35" s="35">
        <v>1</v>
      </c>
      <c r="E35" s="36" t="s">
        <v>52</v>
      </c>
      <c r="F35" s="32"/>
      <c r="G35" s="32"/>
      <c r="H35" s="32"/>
      <c r="I35" s="32"/>
      <c r="J35" s="32">
        <v>652</v>
      </c>
      <c r="K35" s="32"/>
      <c r="L35" s="32"/>
      <c r="M35" s="32"/>
      <c r="N35" s="32">
        <v>652</v>
      </c>
      <c r="O35" s="32">
        <v>652</v>
      </c>
      <c r="P35" s="32">
        <v>652</v>
      </c>
      <c r="Q35" s="32"/>
      <c r="R35" s="32"/>
      <c r="S35" s="32">
        <f t="shared" ref="S35:Z35" si="23">625/1.18</f>
        <v>529.66101694915255</v>
      </c>
      <c r="T35" s="32">
        <f t="shared" si="23"/>
        <v>529.66101694915255</v>
      </c>
      <c r="U35" s="32">
        <f t="shared" si="23"/>
        <v>529.66101694915255</v>
      </c>
      <c r="V35" s="32">
        <f t="shared" si="23"/>
        <v>529.66101694915255</v>
      </c>
      <c r="W35" s="32">
        <f t="shared" si="23"/>
        <v>529.66101694915255</v>
      </c>
      <c r="X35" s="32">
        <f t="shared" si="23"/>
        <v>529.66101694915255</v>
      </c>
      <c r="Y35" s="32">
        <f t="shared" si="23"/>
        <v>529.66101694915255</v>
      </c>
      <c r="Z35" s="32">
        <f t="shared" si="23"/>
        <v>529.66101694915255</v>
      </c>
      <c r="AA35" s="33" t="s">
        <v>62</v>
      </c>
      <c r="AB35" s="16" t="s">
        <v>50</v>
      </c>
    </row>
    <row r="36" spans="1:29" ht="24.75" customHeight="1">
      <c r="A36" s="1"/>
      <c r="B36" s="21" t="s">
        <v>37</v>
      </c>
      <c r="C36" s="29" t="s">
        <v>65</v>
      </c>
      <c r="D36" s="35">
        <v>1</v>
      </c>
      <c r="E36" s="36" t="s">
        <v>52</v>
      </c>
      <c r="F36" s="32"/>
      <c r="G36" s="32"/>
      <c r="H36" s="32"/>
      <c r="I36" s="32"/>
      <c r="J36" s="32"/>
      <c r="K36" s="32"/>
      <c r="L36" s="32"/>
      <c r="M36" s="32"/>
      <c r="N36" s="32">
        <v>289</v>
      </c>
      <c r="O36" s="32">
        <v>289</v>
      </c>
      <c r="P36" s="32">
        <v>289</v>
      </c>
      <c r="Q36" s="32"/>
      <c r="R36" s="32"/>
      <c r="S36" s="32">
        <f t="shared" ref="S36:Z36" si="24">290/1.18</f>
        <v>245.76271186440678</v>
      </c>
      <c r="T36" s="32">
        <f t="shared" si="24"/>
        <v>245.76271186440678</v>
      </c>
      <c r="U36" s="32">
        <f t="shared" si="24"/>
        <v>245.76271186440678</v>
      </c>
      <c r="V36" s="32">
        <f t="shared" si="24"/>
        <v>245.76271186440678</v>
      </c>
      <c r="W36" s="32">
        <f t="shared" si="24"/>
        <v>245.76271186440678</v>
      </c>
      <c r="X36" s="32">
        <f t="shared" si="24"/>
        <v>245.76271186440678</v>
      </c>
      <c r="Y36" s="32">
        <f t="shared" si="24"/>
        <v>245.76271186440678</v>
      </c>
      <c r="Z36" s="32">
        <f t="shared" si="24"/>
        <v>245.76271186440678</v>
      </c>
      <c r="AA36" s="28" t="s">
        <v>62</v>
      </c>
      <c r="AB36" s="16" t="s">
        <v>50</v>
      </c>
    </row>
    <row r="37" spans="1:29" ht="24.75" customHeight="1">
      <c r="A37" s="1"/>
      <c r="B37" s="21" t="s">
        <v>40</v>
      </c>
      <c r="C37" s="29" t="s">
        <v>66</v>
      </c>
      <c r="D37" s="35">
        <v>1</v>
      </c>
      <c r="E37" s="36" t="s">
        <v>52</v>
      </c>
      <c r="F37" s="32"/>
      <c r="G37" s="32"/>
      <c r="H37" s="32"/>
      <c r="I37" s="32"/>
      <c r="J37" s="32"/>
      <c r="K37" s="32"/>
      <c r="L37" s="32"/>
      <c r="M37" s="32"/>
      <c r="N37" s="32">
        <v>435</v>
      </c>
      <c r="O37" s="32">
        <v>435</v>
      </c>
      <c r="P37" s="32">
        <v>435</v>
      </c>
      <c r="Q37" s="32"/>
      <c r="R37" s="32"/>
      <c r="S37" s="32">
        <f t="shared" ref="S37:Z37" si="25">435/1.18</f>
        <v>368.64406779661022</v>
      </c>
      <c r="T37" s="32">
        <f t="shared" si="25"/>
        <v>368.64406779661022</v>
      </c>
      <c r="U37" s="32">
        <f t="shared" si="25"/>
        <v>368.64406779661022</v>
      </c>
      <c r="V37" s="32">
        <f t="shared" si="25"/>
        <v>368.64406779661022</v>
      </c>
      <c r="W37" s="32">
        <f t="shared" si="25"/>
        <v>368.64406779661022</v>
      </c>
      <c r="X37" s="32">
        <f t="shared" si="25"/>
        <v>368.64406779661022</v>
      </c>
      <c r="Y37" s="32">
        <f t="shared" si="25"/>
        <v>368.64406779661022</v>
      </c>
      <c r="Z37" s="32">
        <f t="shared" si="25"/>
        <v>368.64406779661022</v>
      </c>
      <c r="AA37" s="28" t="s">
        <v>62</v>
      </c>
      <c r="AB37" s="16" t="s">
        <v>50</v>
      </c>
    </row>
    <row r="38" spans="1:29" ht="24.75" customHeight="1">
      <c r="A38" s="1"/>
      <c r="B38" s="21" t="s">
        <v>67</v>
      </c>
      <c r="C38" s="29" t="s">
        <v>68</v>
      </c>
      <c r="D38" s="35">
        <v>1</v>
      </c>
      <c r="E38" s="36" t="s">
        <v>69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>
        <f t="shared" ref="S38:U38" si="26">83.35/1.15</f>
        <v>72.478260869565219</v>
      </c>
      <c r="T38" s="32">
        <f t="shared" si="26"/>
        <v>72.478260869565219</v>
      </c>
      <c r="U38" s="32">
        <f t="shared" si="26"/>
        <v>72.478260869565219</v>
      </c>
      <c r="V38" s="32">
        <f t="shared" ref="V38:Z38" si="27">67.3/1.18</f>
        <v>57.033898305084747</v>
      </c>
      <c r="W38" s="32">
        <f t="shared" si="27"/>
        <v>57.033898305084747</v>
      </c>
      <c r="X38" s="32">
        <f t="shared" si="27"/>
        <v>57.033898305084747</v>
      </c>
      <c r="Y38" s="32">
        <f t="shared" si="27"/>
        <v>57.033898305084747</v>
      </c>
      <c r="Z38" s="32">
        <f t="shared" si="27"/>
        <v>57.033898305084747</v>
      </c>
      <c r="AA38" s="37" t="s">
        <v>70</v>
      </c>
      <c r="AB38" s="16" t="s">
        <v>50</v>
      </c>
    </row>
    <row r="39" spans="1:29" ht="24.75" customHeight="1">
      <c r="A39" s="1"/>
      <c r="B39" s="21" t="s">
        <v>71</v>
      </c>
      <c r="C39" s="29" t="s">
        <v>72</v>
      </c>
      <c r="D39" s="35">
        <v>1</v>
      </c>
      <c r="E39" s="36" t="s">
        <v>69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>
        <f t="shared" ref="S39:U39" si="28">71.81/1.15</f>
        <v>62.443478260869576</v>
      </c>
      <c r="T39" s="32">
        <f t="shared" si="28"/>
        <v>62.443478260869576</v>
      </c>
      <c r="U39" s="32">
        <f t="shared" si="28"/>
        <v>62.443478260869576</v>
      </c>
      <c r="V39" s="32">
        <f t="shared" ref="V39:Z39" si="29">57.87/1.18</f>
        <v>49.042372881355931</v>
      </c>
      <c r="W39" s="32">
        <f t="shared" si="29"/>
        <v>49.042372881355931</v>
      </c>
      <c r="X39" s="32">
        <f t="shared" si="29"/>
        <v>49.042372881355931</v>
      </c>
      <c r="Y39" s="32">
        <f t="shared" si="29"/>
        <v>49.042372881355931</v>
      </c>
      <c r="Z39" s="32">
        <f t="shared" si="29"/>
        <v>49.042372881355931</v>
      </c>
      <c r="AA39" s="37" t="s">
        <v>70</v>
      </c>
      <c r="AB39" s="16" t="s">
        <v>50</v>
      </c>
    </row>
    <row r="40" spans="1:29" ht="24.75" customHeight="1">
      <c r="A40" s="1"/>
      <c r="B40" s="21" t="s">
        <v>73</v>
      </c>
      <c r="C40" s="29" t="s">
        <v>74</v>
      </c>
      <c r="D40" s="35">
        <v>1</v>
      </c>
      <c r="E40" s="36" t="s">
        <v>69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>
        <f t="shared" ref="S40:U40" si="30">57/1.15</f>
        <v>49.565217391304351</v>
      </c>
      <c r="T40" s="32">
        <f t="shared" si="30"/>
        <v>49.565217391304351</v>
      </c>
      <c r="U40" s="32">
        <f t="shared" si="30"/>
        <v>49.565217391304351</v>
      </c>
      <c r="V40" s="32">
        <f t="shared" ref="V40:Z40" si="31">54.95/1.18</f>
        <v>46.567796610169495</v>
      </c>
      <c r="W40" s="32">
        <f t="shared" si="31"/>
        <v>46.567796610169495</v>
      </c>
      <c r="X40" s="32">
        <f t="shared" si="31"/>
        <v>46.567796610169495</v>
      </c>
      <c r="Y40" s="32">
        <f t="shared" si="31"/>
        <v>46.567796610169495</v>
      </c>
      <c r="Z40" s="32">
        <f t="shared" si="31"/>
        <v>46.567796610169495</v>
      </c>
      <c r="AA40" s="37" t="s">
        <v>70</v>
      </c>
      <c r="AB40" s="16" t="s">
        <v>50</v>
      </c>
    </row>
    <row r="41" spans="1:29" ht="24.75" customHeight="1">
      <c r="A41" s="1"/>
      <c r="B41" s="15"/>
      <c r="C41" s="16" t="s">
        <v>75</v>
      </c>
      <c r="D41" s="23"/>
      <c r="E41" s="24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1:29" ht="24.75" customHeight="1">
      <c r="A42" s="1"/>
      <c r="B42" s="15"/>
      <c r="C42" s="38" t="s">
        <v>76</v>
      </c>
      <c r="D42" s="23"/>
      <c r="E42" s="24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3"/>
    </row>
    <row r="43" spans="1:29" ht="24.75" customHeight="1">
      <c r="A43" s="1"/>
      <c r="B43" s="21" t="s">
        <v>8</v>
      </c>
      <c r="C43" s="29" t="s">
        <v>77</v>
      </c>
      <c r="D43" s="23">
        <v>1</v>
      </c>
      <c r="E43" s="24" t="s">
        <v>78</v>
      </c>
      <c r="F43" s="32"/>
      <c r="G43" s="32"/>
      <c r="H43" s="32"/>
      <c r="I43" s="32"/>
      <c r="J43" s="32"/>
      <c r="K43" s="32"/>
      <c r="L43" s="32"/>
      <c r="M43" s="32"/>
      <c r="N43" s="32">
        <v>90</v>
      </c>
      <c r="O43" s="32">
        <v>90</v>
      </c>
      <c r="P43" s="32">
        <v>90</v>
      </c>
      <c r="Q43" s="32"/>
      <c r="R43" s="32"/>
      <c r="S43" s="32">
        <f t="shared" ref="S43:T43" si="32">150/1.18</f>
        <v>127.11864406779662</v>
      </c>
      <c r="T43" s="32">
        <f t="shared" si="32"/>
        <v>127.11864406779662</v>
      </c>
      <c r="U43" s="32">
        <f>(150/1.18)+5%</f>
        <v>127.16864406779662</v>
      </c>
      <c r="V43" s="32">
        <f t="shared" ref="V43:Y43" si="33">150/1.18</f>
        <v>127.11864406779662</v>
      </c>
      <c r="W43" s="32">
        <f t="shared" si="33"/>
        <v>127.11864406779662</v>
      </c>
      <c r="X43" s="32">
        <f t="shared" si="33"/>
        <v>127.11864406779662</v>
      </c>
      <c r="Y43" s="32">
        <f t="shared" si="33"/>
        <v>127.11864406779662</v>
      </c>
      <c r="Z43" s="32"/>
      <c r="AA43" s="33"/>
      <c r="AB43" s="16" t="s">
        <v>75</v>
      </c>
      <c r="AC43" s="38" t="s">
        <v>76</v>
      </c>
    </row>
    <row r="44" spans="1:29" ht="24.75" customHeight="1">
      <c r="A44" s="1"/>
      <c r="B44" s="21" t="s">
        <v>11</v>
      </c>
      <c r="C44" s="29" t="s">
        <v>79</v>
      </c>
      <c r="D44" s="23">
        <v>1</v>
      </c>
      <c r="E44" s="24" t="s">
        <v>78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>
        <f t="shared" ref="S44:T44" si="34">200/1.18</f>
        <v>169.49152542372883</v>
      </c>
      <c r="T44" s="32">
        <f t="shared" si="34"/>
        <v>169.49152542372883</v>
      </c>
      <c r="U44" s="32">
        <f>(200/1.18)+5%</f>
        <v>169.54152542372884</v>
      </c>
      <c r="V44" s="32">
        <f t="shared" ref="V44:Y44" si="35">75/1.18</f>
        <v>63.559322033898312</v>
      </c>
      <c r="W44" s="32">
        <f t="shared" si="35"/>
        <v>63.559322033898312</v>
      </c>
      <c r="X44" s="32">
        <f t="shared" si="35"/>
        <v>63.559322033898312</v>
      </c>
      <c r="Y44" s="32">
        <f t="shared" si="35"/>
        <v>63.559322033898312</v>
      </c>
      <c r="Z44" s="32"/>
      <c r="AA44" s="33"/>
      <c r="AB44" s="16" t="s">
        <v>75</v>
      </c>
      <c r="AC44" s="38" t="s">
        <v>76</v>
      </c>
    </row>
    <row r="45" spans="1:29" ht="24.75" customHeight="1">
      <c r="A45" s="1"/>
      <c r="B45" s="21" t="s">
        <v>13</v>
      </c>
      <c r="C45" s="29" t="s">
        <v>80</v>
      </c>
      <c r="D45" s="23">
        <v>1</v>
      </c>
      <c r="E45" s="24" t="s">
        <v>78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>
        <f t="shared" ref="S45:T45" si="36">250/1.18</f>
        <v>211.86440677966104</v>
      </c>
      <c r="T45" s="32">
        <f t="shared" si="36"/>
        <v>211.86440677966104</v>
      </c>
      <c r="U45" s="32">
        <f>250/1.18+5%</f>
        <v>211.91440677966105</v>
      </c>
      <c r="V45" s="32">
        <f t="shared" ref="V45:Y45" si="37">125/1.18</f>
        <v>105.93220338983052</v>
      </c>
      <c r="W45" s="32">
        <f t="shared" si="37"/>
        <v>105.93220338983052</v>
      </c>
      <c r="X45" s="32">
        <f t="shared" si="37"/>
        <v>105.93220338983052</v>
      </c>
      <c r="Y45" s="32">
        <f t="shared" si="37"/>
        <v>105.93220338983052</v>
      </c>
      <c r="Z45" s="32"/>
      <c r="AA45" s="33"/>
      <c r="AB45" s="16" t="s">
        <v>75</v>
      </c>
      <c r="AC45" s="38" t="s">
        <v>76</v>
      </c>
    </row>
    <row r="46" spans="1:29" ht="24.75" customHeight="1">
      <c r="A46" s="1"/>
      <c r="B46" s="21" t="s">
        <v>15</v>
      </c>
      <c r="C46" s="29" t="s">
        <v>81</v>
      </c>
      <c r="D46" s="23">
        <v>1</v>
      </c>
      <c r="E46" s="24" t="s">
        <v>78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>
        <f t="shared" ref="S46:T46" si="38">200/1.18</f>
        <v>169.49152542372883</v>
      </c>
      <c r="T46" s="32">
        <f t="shared" si="38"/>
        <v>169.49152542372883</v>
      </c>
      <c r="U46" s="32">
        <f>(200/1.18)+5%</f>
        <v>169.54152542372884</v>
      </c>
      <c r="V46" s="32">
        <f t="shared" ref="V46:Y46" si="39">125/1.18</f>
        <v>105.93220338983052</v>
      </c>
      <c r="W46" s="32">
        <f t="shared" si="39"/>
        <v>105.93220338983052</v>
      </c>
      <c r="X46" s="32">
        <f t="shared" si="39"/>
        <v>105.93220338983052</v>
      </c>
      <c r="Y46" s="32">
        <f t="shared" si="39"/>
        <v>105.93220338983052</v>
      </c>
      <c r="Z46" s="32"/>
      <c r="AA46" s="33"/>
      <c r="AB46" s="16" t="s">
        <v>75</v>
      </c>
      <c r="AC46" s="38" t="s">
        <v>76</v>
      </c>
    </row>
    <row r="47" spans="1:29" ht="24.75" customHeight="1">
      <c r="A47" s="1"/>
      <c r="B47" s="21" t="s">
        <v>18</v>
      </c>
      <c r="C47" s="29" t="s">
        <v>82</v>
      </c>
      <c r="D47" s="23">
        <v>1</v>
      </c>
      <c r="E47" s="24" t="s">
        <v>78</v>
      </c>
      <c r="F47" s="32"/>
      <c r="G47" s="32"/>
      <c r="H47" s="32"/>
      <c r="I47" s="32"/>
      <c r="J47" s="32">
        <v>35</v>
      </c>
      <c r="K47" s="32"/>
      <c r="L47" s="32"/>
      <c r="M47" s="32"/>
      <c r="N47" s="32">
        <v>180</v>
      </c>
      <c r="O47" s="32">
        <v>180</v>
      </c>
      <c r="P47" s="32">
        <v>180</v>
      </c>
      <c r="Q47" s="32"/>
      <c r="R47" s="32"/>
      <c r="S47" s="32">
        <f t="shared" ref="S47:T47" si="40">250/1.18</f>
        <v>211.86440677966104</v>
      </c>
      <c r="T47" s="32">
        <f t="shared" si="40"/>
        <v>211.86440677966104</v>
      </c>
      <c r="U47" s="32">
        <f>250/1.18+5%</f>
        <v>211.91440677966105</v>
      </c>
      <c r="V47" s="32">
        <f t="shared" ref="V47:Y47" si="41">175/1.18</f>
        <v>148.30508474576271</v>
      </c>
      <c r="W47" s="32">
        <f t="shared" si="41"/>
        <v>148.30508474576271</v>
      </c>
      <c r="X47" s="32">
        <f t="shared" si="41"/>
        <v>148.30508474576271</v>
      </c>
      <c r="Y47" s="32">
        <f t="shared" si="41"/>
        <v>148.30508474576271</v>
      </c>
      <c r="Z47" s="32"/>
      <c r="AA47" s="33"/>
      <c r="AB47" s="16" t="s">
        <v>75</v>
      </c>
      <c r="AC47" s="38" t="s">
        <v>76</v>
      </c>
    </row>
    <row r="48" spans="1:29" ht="24.75" customHeight="1">
      <c r="A48" s="1"/>
      <c r="B48" s="21" t="s">
        <v>20</v>
      </c>
      <c r="C48" s="29" t="s">
        <v>83</v>
      </c>
      <c r="D48" s="23">
        <v>1</v>
      </c>
      <c r="E48" s="24" t="s">
        <v>78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>
        <f t="shared" ref="S48:T48" si="42">300/1.18</f>
        <v>254.23728813559325</v>
      </c>
      <c r="T48" s="32">
        <f t="shared" si="42"/>
        <v>254.23728813559325</v>
      </c>
      <c r="U48" s="32">
        <f t="shared" ref="U48:U49" si="43">300/1.18+5%</f>
        <v>254.28728813559326</v>
      </c>
      <c r="V48" s="32">
        <f t="shared" ref="V48:Y48" si="44">175/1.18</f>
        <v>148.30508474576271</v>
      </c>
      <c r="W48" s="32">
        <f t="shared" si="44"/>
        <v>148.30508474576271</v>
      </c>
      <c r="X48" s="32">
        <f t="shared" si="44"/>
        <v>148.30508474576271</v>
      </c>
      <c r="Y48" s="32">
        <f t="shared" si="44"/>
        <v>148.30508474576271</v>
      </c>
      <c r="Z48" s="32"/>
      <c r="AA48" s="33"/>
      <c r="AB48" s="16" t="s">
        <v>75</v>
      </c>
      <c r="AC48" s="38" t="s">
        <v>76</v>
      </c>
    </row>
    <row r="49" spans="1:29" ht="24.75" customHeight="1">
      <c r="A49" s="1"/>
      <c r="B49" s="21" t="s">
        <v>24</v>
      </c>
      <c r="C49" s="29" t="s">
        <v>84</v>
      </c>
      <c r="D49" s="23">
        <v>1</v>
      </c>
      <c r="E49" s="24" t="s">
        <v>78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>
        <f t="shared" ref="S49:T49" si="45">300/1.18</f>
        <v>254.23728813559325</v>
      </c>
      <c r="T49" s="32">
        <f t="shared" si="45"/>
        <v>254.23728813559325</v>
      </c>
      <c r="U49" s="32">
        <f t="shared" si="43"/>
        <v>254.28728813559326</v>
      </c>
      <c r="V49" s="32">
        <f t="shared" ref="V49:Y49" si="46">250/1.18</f>
        <v>211.86440677966104</v>
      </c>
      <c r="W49" s="32">
        <f t="shared" si="46"/>
        <v>211.86440677966104</v>
      </c>
      <c r="X49" s="32">
        <f t="shared" si="46"/>
        <v>211.86440677966104</v>
      </c>
      <c r="Y49" s="32">
        <f t="shared" si="46"/>
        <v>211.86440677966104</v>
      </c>
      <c r="Z49" s="32"/>
      <c r="AA49" s="33"/>
      <c r="AB49" s="16" t="s">
        <v>75</v>
      </c>
      <c r="AC49" s="38" t="s">
        <v>76</v>
      </c>
    </row>
    <row r="50" spans="1:29" ht="24.75" customHeight="1">
      <c r="A50" s="1"/>
      <c r="B50" s="21" t="s">
        <v>27</v>
      </c>
      <c r="C50" s="29" t="s">
        <v>85</v>
      </c>
      <c r="D50" s="23">
        <v>1</v>
      </c>
      <c r="E50" s="24" t="s">
        <v>78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>
        <f t="shared" ref="S50:T50" si="47">400/1.18</f>
        <v>338.98305084745766</v>
      </c>
      <c r="T50" s="32">
        <f t="shared" si="47"/>
        <v>338.98305084745766</v>
      </c>
      <c r="U50" s="32">
        <f>400/1.18+5%</f>
        <v>339.03305084745767</v>
      </c>
      <c r="V50" s="32">
        <f t="shared" ref="V50:Y50" si="48">325/1.18</f>
        <v>275.42372881355936</v>
      </c>
      <c r="W50" s="32">
        <f t="shared" si="48"/>
        <v>275.42372881355936</v>
      </c>
      <c r="X50" s="32">
        <f t="shared" si="48"/>
        <v>275.42372881355936</v>
      </c>
      <c r="Y50" s="32">
        <f t="shared" si="48"/>
        <v>275.42372881355936</v>
      </c>
      <c r="Z50" s="32"/>
      <c r="AA50" s="33"/>
      <c r="AB50" s="16" t="s">
        <v>75</v>
      </c>
      <c r="AC50" s="38" t="s">
        <v>76</v>
      </c>
    </row>
    <row r="51" spans="1:29" ht="24.75" customHeight="1">
      <c r="A51" s="1"/>
      <c r="B51" s="21" t="s">
        <v>30</v>
      </c>
      <c r="C51" s="29" t="s">
        <v>86</v>
      </c>
      <c r="D51" s="23">
        <v>1</v>
      </c>
      <c r="E51" s="24" t="s">
        <v>78</v>
      </c>
      <c r="F51" s="32"/>
      <c r="G51" s="32"/>
      <c r="H51" s="32"/>
      <c r="I51" s="32"/>
      <c r="J51" s="32">
        <v>80</v>
      </c>
      <c r="K51" s="32"/>
      <c r="L51" s="32"/>
      <c r="M51" s="32"/>
      <c r="N51" s="32">
        <v>250</v>
      </c>
      <c r="O51" s="32">
        <v>250</v>
      </c>
      <c r="P51" s="32">
        <v>250</v>
      </c>
      <c r="Q51" s="32"/>
      <c r="R51" s="32"/>
      <c r="S51" s="32">
        <f t="shared" ref="S51:T51" si="49">500/1.18</f>
        <v>423.72881355932208</v>
      </c>
      <c r="T51" s="32">
        <f t="shared" si="49"/>
        <v>423.72881355932208</v>
      </c>
      <c r="U51" s="32">
        <f>500/1.18+5%</f>
        <v>423.77881355932209</v>
      </c>
      <c r="V51" s="32">
        <f t="shared" ref="V51:Y51" si="50">425/1.18</f>
        <v>360.16949152542372</v>
      </c>
      <c r="W51" s="32">
        <f t="shared" si="50"/>
        <v>360.16949152542372</v>
      </c>
      <c r="X51" s="32">
        <f t="shared" si="50"/>
        <v>360.16949152542372</v>
      </c>
      <c r="Y51" s="32">
        <f t="shared" si="50"/>
        <v>360.16949152542372</v>
      </c>
      <c r="Z51" s="32"/>
      <c r="AA51" s="33" t="s">
        <v>87</v>
      </c>
      <c r="AB51" s="16" t="s">
        <v>75</v>
      </c>
      <c r="AC51" s="38" t="s">
        <v>76</v>
      </c>
    </row>
    <row r="52" spans="1:29" ht="24.75" customHeight="1">
      <c r="A52" s="1"/>
      <c r="B52" s="21" t="s">
        <v>32</v>
      </c>
      <c r="C52" s="29" t="s">
        <v>88</v>
      </c>
      <c r="D52" s="23">
        <v>1</v>
      </c>
      <c r="E52" s="24" t="s">
        <v>89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>
        <f t="shared" ref="W52:X52" si="51">3750/1.18</f>
        <v>3177.9661016949153</v>
      </c>
      <c r="X52" s="32">
        <f t="shared" si="51"/>
        <v>3177.9661016949153</v>
      </c>
      <c r="Y52" s="32">
        <f>3300/1.18</f>
        <v>2796.6101694915255</v>
      </c>
      <c r="Z52" s="32">
        <f>3250/1.18</f>
        <v>2754.2372881355932</v>
      </c>
      <c r="AA52" s="33"/>
      <c r="AB52" s="16" t="s">
        <v>75</v>
      </c>
      <c r="AC52" s="38" t="s">
        <v>76</v>
      </c>
    </row>
    <row r="53" spans="1:29" ht="24.75" customHeight="1">
      <c r="A53" s="1"/>
      <c r="B53" s="21" t="s">
        <v>35</v>
      </c>
      <c r="C53" s="29" t="s">
        <v>90</v>
      </c>
      <c r="D53" s="23">
        <v>1</v>
      </c>
      <c r="E53" s="24" t="s">
        <v>89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>
        <f t="shared" ref="W53:X53" si="52">4400/1.18</f>
        <v>3728.8135593220341</v>
      </c>
      <c r="X53" s="32">
        <f t="shared" si="52"/>
        <v>3728.8135593220341</v>
      </c>
      <c r="Y53" s="32">
        <f>5200/1.18</f>
        <v>4406.7796610169498</v>
      </c>
      <c r="Z53" s="32">
        <f>3750/1.18</f>
        <v>3177.9661016949153</v>
      </c>
      <c r="AA53" s="33"/>
      <c r="AB53" s="16" t="s">
        <v>75</v>
      </c>
      <c r="AC53" s="38" t="s">
        <v>76</v>
      </c>
    </row>
    <row r="54" spans="1:29" ht="24.75" customHeight="1">
      <c r="A54" s="1"/>
      <c r="B54" s="21" t="s">
        <v>37</v>
      </c>
      <c r="C54" s="29" t="s">
        <v>91</v>
      </c>
      <c r="D54" s="23">
        <v>1</v>
      </c>
      <c r="E54" s="24" t="s">
        <v>52</v>
      </c>
      <c r="F54" s="32"/>
      <c r="G54" s="32"/>
      <c r="H54" s="32"/>
      <c r="I54" s="32"/>
      <c r="J54" s="32"/>
      <c r="K54" s="32"/>
      <c r="L54" s="32"/>
      <c r="M54" s="32"/>
      <c r="N54" s="32">
        <v>6500</v>
      </c>
      <c r="O54" s="32">
        <v>6500</v>
      </c>
      <c r="P54" s="32">
        <v>6500</v>
      </c>
      <c r="Q54" s="32"/>
      <c r="R54" s="32"/>
      <c r="S54" s="32">
        <f t="shared" ref="S54:T54" si="53">8635/1.18</f>
        <v>7317.7966101694919</v>
      </c>
      <c r="T54" s="32">
        <f t="shared" si="53"/>
        <v>7317.7966101694919</v>
      </c>
      <c r="U54" s="32">
        <f>4650/1.18</f>
        <v>3940.6779661016953</v>
      </c>
      <c r="V54" s="32">
        <f>5200/1.18</f>
        <v>4406.7796610169498</v>
      </c>
      <c r="W54" s="32">
        <f t="shared" ref="W54:X54" si="54">4400/1.18</f>
        <v>3728.8135593220341</v>
      </c>
      <c r="X54" s="32">
        <f t="shared" si="54"/>
        <v>3728.8135593220341</v>
      </c>
      <c r="Y54" s="32">
        <f>5377/1.18</f>
        <v>4556.7796610169498</v>
      </c>
      <c r="Z54" s="32">
        <f>4800/1.18</f>
        <v>4067.7966101694919</v>
      </c>
      <c r="AA54" s="33"/>
      <c r="AB54" s="16" t="s">
        <v>75</v>
      </c>
      <c r="AC54" s="38" t="s">
        <v>76</v>
      </c>
    </row>
    <row r="55" spans="1:29" ht="24.75" customHeight="1">
      <c r="A55" s="1"/>
      <c r="B55" s="21" t="s">
        <v>40</v>
      </c>
      <c r="C55" s="29" t="s">
        <v>92</v>
      </c>
      <c r="D55" s="23">
        <v>1</v>
      </c>
      <c r="E55" s="24" t="s">
        <v>52</v>
      </c>
      <c r="F55" s="31"/>
      <c r="G55" s="32"/>
      <c r="H55" s="39"/>
      <c r="I55" s="31"/>
      <c r="J55" s="32">
        <v>7500</v>
      </c>
      <c r="K55" s="31"/>
      <c r="L55" s="31"/>
      <c r="M55" s="31"/>
      <c r="N55" s="32">
        <f t="shared" ref="N55:P55" si="55">7000*108%</f>
        <v>7560.0000000000009</v>
      </c>
      <c r="O55" s="32">
        <f t="shared" si="55"/>
        <v>7560.0000000000009</v>
      </c>
      <c r="P55" s="32">
        <f t="shared" si="55"/>
        <v>7560.0000000000009</v>
      </c>
      <c r="Q55" s="32"/>
      <c r="R55" s="32"/>
      <c r="S55" s="32">
        <f t="shared" ref="S55:T55" si="56">10300/1.18</f>
        <v>8728.8135593220341</v>
      </c>
      <c r="T55" s="32">
        <f t="shared" si="56"/>
        <v>8728.8135593220341</v>
      </c>
      <c r="U55" s="32">
        <f>5650/1.18</f>
        <v>4788.1355932203396</v>
      </c>
      <c r="V55" s="32">
        <f>5700/1.18</f>
        <v>4830.5084745762715</v>
      </c>
      <c r="W55" s="32">
        <f t="shared" ref="W55:X55" si="57">5300/1.18</f>
        <v>4491.5254237288136</v>
      </c>
      <c r="X55" s="32">
        <f t="shared" si="57"/>
        <v>4491.5254237288136</v>
      </c>
      <c r="Y55" s="32">
        <f>5158/1.18</f>
        <v>4371.1864406779659</v>
      </c>
      <c r="Z55" s="32">
        <f>5650/1.18</f>
        <v>4788.1355932203396</v>
      </c>
      <c r="AA55" s="33"/>
      <c r="AB55" s="16" t="s">
        <v>75</v>
      </c>
      <c r="AC55" s="38" t="s">
        <v>76</v>
      </c>
    </row>
    <row r="56" spans="1:29" ht="24.75" customHeight="1">
      <c r="A56" s="1"/>
      <c r="B56" s="21" t="s">
        <v>67</v>
      </c>
      <c r="C56" s="29" t="s">
        <v>93</v>
      </c>
      <c r="D56" s="23">
        <v>1</v>
      </c>
      <c r="E56" s="24" t="s">
        <v>52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>
        <f t="shared" ref="P56:Q56" si="58">5250/1.18</f>
        <v>4449.1525423728817</v>
      </c>
      <c r="Q56" s="32">
        <f t="shared" si="58"/>
        <v>4449.1525423728817</v>
      </c>
      <c r="R56" s="32"/>
      <c r="S56" s="32">
        <f t="shared" ref="S56:T56" si="59">5250/1.18</f>
        <v>4449.1525423728817</v>
      </c>
      <c r="T56" s="32">
        <f t="shared" si="59"/>
        <v>4449.1525423728817</v>
      </c>
      <c r="U56" s="40">
        <f t="shared" ref="U56:V56" si="60">5500/1.18</f>
        <v>4661.016949152543</v>
      </c>
      <c r="V56" s="40">
        <f t="shared" si="60"/>
        <v>4661.016949152543</v>
      </c>
      <c r="W56" s="40">
        <f t="shared" ref="W56:X56" si="61">5910/1.18</f>
        <v>5008.4745762711864</v>
      </c>
      <c r="X56" s="40">
        <f t="shared" si="61"/>
        <v>5008.4745762711864</v>
      </c>
      <c r="Y56" s="41">
        <f>5762/1.18</f>
        <v>4883.0508474576272</v>
      </c>
      <c r="Z56" s="41">
        <f>6300/1.18</f>
        <v>5338.9830508474579</v>
      </c>
      <c r="AA56" s="33"/>
      <c r="AB56" s="16" t="s">
        <v>75</v>
      </c>
      <c r="AC56" s="38" t="s">
        <v>76</v>
      </c>
    </row>
    <row r="57" spans="1:29" ht="24.75" customHeight="1">
      <c r="A57" s="1"/>
      <c r="B57" s="21" t="s">
        <v>71</v>
      </c>
      <c r="C57" s="29" t="s">
        <v>94</v>
      </c>
      <c r="D57" s="23">
        <v>1</v>
      </c>
      <c r="E57" s="24" t="s">
        <v>52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>
        <f t="shared" ref="P57:Q57" si="62">6250/1.18</f>
        <v>5296.610169491526</v>
      </c>
      <c r="Q57" s="32">
        <f t="shared" si="62"/>
        <v>5296.610169491526</v>
      </c>
      <c r="R57" s="32"/>
      <c r="S57" s="32">
        <f t="shared" ref="S57:T57" si="63">6250/1.18</f>
        <v>5296.610169491526</v>
      </c>
      <c r="T57" s="32">
        <f t="shared" si="63"/>
        <v>5296.610169491526</v>
      </c>
      <c r="U57" s="40">
        <f t="shared" ref="U57:V57" si="64">6650/1.18</f>
        <v>5635.593220338983</v>
      </c>
      <c r="V57" s="40">
        <f t="shared" si="64"/>
        <v>5635.593220338983</v>
      </c>
      <c r="W57" s="40">
        <f t="shared" ref="W57:X57" si="65">7035/1.18</f>
        <v>5961.8644067796613</v>
      </c>
      <c r="X57" s="40">
        <f t="shared" si="65"/>
        <v>5961.8644067796613</v>
      </c>
      <c r="Y57" s="41">
        <f>6581/1.18</f>
        <v>5577.1186440677966</v>
      </c>
      <c r="Z57" s="41">
        <f>7800/1.18</f>
        <v>6610.1694915254238</v>
      </c>
      <c r="AA57" s="33"/>
      <c r="AB57" s="16" t="s">
        <v>75</v>
      </c>
      <c r="AC57" s="38" t="s">
        <v>76</v>
      </c>
    </row>
    <row r="58" spans="1:29" ht="24.75" customHeight="1">
      <c r="A58" s="1"/>
      <c r="B58" s="21" t="s">
        <v>73</v>
      </c>
      <c r="C58" s="29" t="s">
        <v>95</v>
      </c>
      <c r="D58" s="23">
        <v>1</v>
      </c>
      <c r="E58" s="24" t="s">
        <v>52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>
        <f t="shared" ref="P58:Q58" si="66">7250/1.18</f>
        <v>6144.0677966101703</v>
      </c>
      <c r="Q58" s="32">
        <f t="shared" si="66"/>
        <v>6144.0677966101703</v>
      </c>
      <c r="R58" s="32"/>
      <c r="S58" s="32">
        <f t="shared" ref="S58:T58" si="67">7250/1.18</f>
        <v>6144.0677966101703</v>
      </c>
      <c r="T58" s="32">
        <f t="shared" si="67"/>
        <v>6144.0677966101703</v>
      </c>
      <c r="U58" s="40">
        <f t="shared" ref="U58:V58" si="68">7750/1.18</f>
        <v>6567.7966101694919</v>
      </c>
      <c r="V58" s="40">
        <f t="shared" si="68"/>
        <v>6567.7966101694919</v>
      </c>
      <c r="W58" s="40">
        <f t="shared" ref="W58:X58" si="69">8015/1.18</f>
        <v>6792.3728813559328</v>
      </c>
      <c r="X58" s="40">
        <f t="shared" si="69"/>
        <v>6792.3728813559328</v>
      </c>
      <c r="Y58" s="41">
        <f>8550/1.18</f>
        <v>7245.7627118644068</v>
      </c>
      <c r="Z58" s="41">
        <f>8850/1.18</f>
        <v>7500</v>
      </c>
      <c r="AA58" s="33"/>
      <c r="AB58" s="16" t="s">
        <v>75</v>
      </c>
      <c r="AC58" s="38" t="s">
        <v>76</v>
      </c>
    </row>
    <row r="59" spans="1:29" ht="24.75" customHeight="1">
      <c r="A59" s="1"/>
      <c r="B59" s="21"/>
      <c r="C59" s="38" t="s">
        <v>96</v>
      </c>
      <c r="D59" s="23"/>
      <c r="E59" s="24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3"/>
      <c r="AB59" s="16" t="s">
        <v>75</v>
      </c>
    </row>
    <row r="60" spans="1:29" ht="24.75" customHeight="1">
      <c r="A60" s="1"/>
      <c r="B60" s="21" t="s">
        <v>8</v>
      </c>
      <c r="C60" s="29" t="s">
        <v>97</v>
      </c>
      <c r="D60" s="23">
        <v>1</v>
      </c>
      <c r="E60" s="24" t="s">
        <v>98</v>
      </c>
      <c r="F60" s="32"/>
      <c r="G60" s="32"/>
      <c r="H60" s="32"/>
      <c r="I60" s="32"/>
      <c r="J60" s="32"/>
      <c r="K60" s="32"/>
      <c r="L60" s="32"/>
      <c r="M60" s="32"/>
      <c r="N60" s="32">
        <f t="shared" ref="N60:S60" si="70">200*108%</f>
        <v>216</v>
      </c>
      <c r="O60" s="32">
        <f t="shared" si="70"/>
        <v>216</v>
      </c>
      <c r="P60" s="32">
        <f t="shared" si="70"/>
        <v>216</v>
      </c>
      <c r="Q60" s="32">
        <f t="shared" si="70"/>
        <v>216</v>
      </c>
      <c r="R60" s="32">
        <f t="shared" si="70"/>
        <v>216</v>
      </c>
      <c r="S60" s="32">
        <f t="shared" si="70"/>
        <v>216</v>
      </c>
      <c r="T60" s="32">
        <v>190</v>
      </c>
      <c r="U60" s="32">
        <f>185/1.18</f>
        <v>156.77966101694915</v>
      </c>
      <c r="V60" s="32">
        <f t="shared" ref="V60:X60" si="71">200/1.18</f>
        <v>169.49152542372883</v>
      </c>
      <c r="W60" s="32">
        <f t="shared" si="71"/>
        <v>169.49152542372883</v>
      </c>
      <c r="X60" s="32">
        <f t="shared" si="71"/>
        <v>169.49152542372883</v>
      </c>
      <c r="Y60" s="32">
        <f t="shared" ref="Y60:Y62" si="72">X60-10</f>
        <v>159.49152542372883</v>
      </c>
      <c r="Z60" s="32"/>
      <c r="AA60" s="33" t="s">
        <v>99</v>
      </c>
      <c r="AB60" s="16" t="s">
        <v>75</v>
      </c>
      <c r="AC60" s="38" t="s">
        <v>96</v>
      </c>
    </row>
    <row r="61" spans="1:29" ht="24.75" customHeight="1">
      <c r="A61" s="1"/>
      <c r="B61" s="21" t="s">
        <v>11</v>
      </c>
      <c r="C61" s="29" t="s">
        <v>100</v>
      </c>
      <c r="D61" s="23">
        <v>1</v>
      </c>
      <c r="E61" s="24" t="s">
        <v>98</v>
      </c>
      <c r="F61" s="32"/>
      <c r="G61" s="32"/>
      <c r="H61" s="32"/>
      <c r="I61" s="32"/>
      <c r="J61" s="32"/>
      <c r="K61" s="32"/>
      <c r="L61" s="32"/>
      <c r="M61" s="32"/>
      <c r="N61" s="32">
        <f t="shared" ref="N61:S61" si="73">1450*108%</f>
        <v>1566</v>
      </c>
      <c r="O61" s="32">
        <f t="shared" si="73"/>
        <v>1566</v>
      </c>
      <c r="P61" s="32">
        <f t="shared" si="73"/>
        <v>1566</v>
      </c>
      <c r="Q61" s="32">
        <f t="shared" si="73"/>
        <v>1566</v>
      </c>
      <c r="R61" s="32">
        <f t="shared" si="73"/>
        <v>1566</v>
      </c>
      <c r="S61" s="32">
        <f t="shared" si="73"/>
        <v>1566</v>
      </c>
      <c r="T61" s="32">
        <v>230</v>
      </c>
      <c r="U61" s="32">
        <f t="shared" ref="U61:X61" si="74">1300/1.18</f>
        <v>1101.6949152542375</v>
      </c>
      <c r="V61" s="32">
        <f t="shared" si="74"/>
        <v>1101.6949152542375</v>
      </c>
      <c r="W61" s="32">
        <f t="shared" si="74"/>
        <v>1101.6949152542375</v>
      </c>
      <c r="X61" s="32">
        <f t="shared" si="74"/>
        <v>1101.6949152542375</v>
      </c>
      <c r="Y61" s="32">
        <f t="shared" si="72"/>
        <v>1091.6949152542375</v>
      </c>
      <c r="Z61" s="32"/>
      <c r="AA61" s="33" t="s">
        <v>99</v>
      </c>
      <c r="AB61" s="16" t="s">
        <v>75</v>
      </c>
      <c r="AC61" s="38" t="s">
        <v>96</v>
      </c>
    </row>
    <row r="62" spans="1:29" ht="24.75" customHeight="1">
      <c r="A62" s="1"/>
      <c r="B62" s="21" t="s">
        <v>13</v>
      </c>
      <c r="C62" s="29" t="s">
        <v>101</v>
      </c>
      <c r="D62" s="23">
        <v>1</v>
      </c>
      <c r="E62" s="24" t="s">
        <v>98</v>
      </c>
      <c r="F62" s="32"/>
      <c r="G62" s="32"/>
      <c r="H62" s="32"/>
      <c r="I62" s="32"/>
      <c r="J62" s="32"/>
      <c r="K62" s="32"/>
      <c r="L62" s="32"/>
      <c r="M62" s="32"/>
      <c r="N62" s="32">
        <f t="shared" ref="N62:S62" si="75">970*108%</f>
        <v>1047.6000000000001</v>
      </c>
      <c r="O62" s="32">
        <f t="shared" si="75"/>
        <v>1047.6000000000001</v>
      </c>
      <c r="P62" s="32">
        <f t="shared" si="75"/>
        <v>1047.6000000000001</v>
      </c>
      <c r="Q62" s="32">
        <f t="shared" si="75"/>
        <v>1047.6000000000001</v>
      </c>
      <c r="R62" s="32">
        <f t="shared" si="75"/>
        <v>1047.6000000000001</v>
      </c>
      <c r="S62" s="32">
        <f t="shared" si="75"/>
        <v>1047.6000000000001</v>
      </c>
      <c r="T62" s="32">
        <v>152</v>
      </c>
      <c r="U62" s="32">
        <f t="shared" ref="U62:X62" si="76">720/1.18</f>
        <v>610.16949152542372</v>
      </c>
      <c r="V62" s="32">
        <f t="shared" si="76"/>
        <v>610.16949152542372</v>
      </c>
      <c r="W62" s="32">
        <f t="shared" si="76"/>
        <v>610.16949152542372</v>
      </c>
      <c r="X62" s="32">
        <f t="shared" si="76"/>
        <v>610.16949152542372</v>
      </c>
      <c r="Y62" s="32">
        <f t="shared" si="72"/>
        <v>600.16949152542372</v>
      </c>
      <c r="Z62" s="32"/>
      <c r="AA62" s="33" t="s">
        <v>99</v>
      </c>
      <c r="AB62" s="16" t="s">
        <v>75</v>
      </c>
      <c r="AC62" s="38" t="s">
        <v>96</v>
      </c>
    </row>
    <row r="63" spans="1:29" ht="24.75" customHeight="1">
      <c r="A63" s="1"/>
      <c r="B63" s="21" t="s">
        <v>15</v>
      </c>
      <c r="C63" s="29" t="s">
        <v>102</v>
      </c>
      <c r="D63" s="23">
        <v>1</v>
      </c>
      <c r="E63" s="24" t="s">
        <v>98</v>
      </c>
      <c r="F63" s="32"/>
      <c r="G63" s="32"/>
      <c r="H63" s="32"/>
      <c r="I63" s="32"/>
      <c r="J63" s="32"/>
      <c r="K63" s="32"/>
      <c r="L63" s="32"/>
      <c r="M63" s="32"/>
      <c r="N63" s="32">
        <f t="shared" ref="N63:S63" si="77">290*108%</f>
        <v>313.20000000000005</v>
      </c>
      <c r="O63" s="32">
        <f t="shared" si="77"/>
        <v>313.20000000000005</v>
      </c>
      <c r="P63" s="32">
        <f t="shared" si="77"/>
        <v>313.20000000000005</v>
      </c>
      <c r="Q63" s="32">
        <f t="shared" si="77"/>
        <v>313.20000000000005</v>
      </c>
      <c r="R63" s="32">
        <f t="shared" si="77"/>
        <v>313.20000000000005</v>
      </c>
      <c r="S63" s="32">
        <f t="shared" si="77"/>
        <v>313.20000000000005</v>
      </c>
      <c r="T63" s="32">
        <v>250</v>
      </c>
      <c r="U63" s="32">
        <f t="shared" ref="U63:Y63" si="78">200/1.18</f>
        <v>169.49152542372883</v>
      </c>
      <c r="V63" s="32">
        <f t="shared" si="78"/>
        <v>169.49152542372883</v>
      </c>
      <c r="W63" s="32">
        <f t="shared" si="78"/>
        <v>169.49152542372883</v>
      </c>
      <c r="X63" s="32">
        <f t="shared" si="78"/>
        <v>169.49152542372883</v>
      </c>
      <c r="Y63" s="32">
        <f t="shared" si="78"/>
        <v>169.49152542372883</v>
      </c>
      <c r="Z63" s="32"/>
      <c r="AA63" s="33" t="s">
        <v>99</v>
      </c>
      <c r="AB63" s="16" t="s">
        <v>75</v>
      </c>
      <c r="AC63" s="38" t="s">
        <v>96</v>
      </c>
    </row>
    <row r="64" spans="1:29" ht="24.75" customHeight="1">
      <c r="A64" s="1"/>
      <c r="B64" s="21" t="s">
        <v>18</v>
      </c>
      <c r="C64" s="29" t="s">
        <v>103</v>
      </c>
      <c r="D64" s="23">
        <v>1</v>
      </c>
      <c r="E64" s="24" t="s">
        <v>98</v>
      </c>
      <c r="F64" s="32"/>
      <c r="G64" s="32"/>
      <c r="H64" s="32"/>
      <c r="I64" s="32"/>
      <c r="J64" s="32"/>
      <c r="K64" s="32"/>
      <c r="L64" s="32"/>
      <c r="M64" s="32"/>
      <c r="N64" s="32">
        <v>33</v>
      </c>
      <c r="O64" s="32">
        <v>33</v>
      </c>
      <c r="P64" s="32">
        <v>33</v>
      </c>
      <c r="Q64" s="32">
        <v>33</v>
      </c>
      <c r="R64" s="32">
        <v>33</v>
      </c>
      <c r="S64" s="32">
        <v>33</v>
      </c>
      <c r="T64" s="32">
        <v>55</v>
      </c>
      <c r="U64" s="32">
        <f>46/1.18</f>
        <v>38.983050847457626</v>
      </c>
      <c r="V64" s="32">
        <f t="shared" ref="V64:Y64" si="79">50/1.18</f>
        <v>42.372881355932208</v>
      </c>
      <c r="W64" s="32">
        <f t="shared" si="79"/>
        <v>42.372881355932208</v>
      </c>
      <c r="X64" s="32">
        <f t="shared" si="79"/>
        <v>42.372881355932208</v>
      </c>
      <c r="Y64" s="32">
        <f t="shared" si="79"/>
        <v>42.372881355932208</v>
      </c>
      <c r="Z64" s="32"/>
      <c r="AA64" s="33" t="s">
        <v>99</v>
      </c>
      <c r="AB64" s="16" t="s">
        <v>75</v>
      </c>
      <c r="AC64" s="38" t="s">
        <v>96</v>
      </c>
    </row>
    <row r="65" spans="1:29" ht="24.75" customHeight="1">
      <c r="A65" s="1"/>
      <c r="B65" s="21" t="s">
        <v>20</v>
      </c>
      <c r="C65" s="29" t="s">
        <v>104</v>
      </c>
      <c r="D65" s="23">
        <v>1</v>
      </c>
      <c r="E65" s="24" t="s">
        <v>98</v>
      </c>
      <c r="F65" s="32"/>
      <c r="G65" s="32"/>
      <c r="H65" s="32"/>
      <c r="I65" s="32"/>
      <c r="J65" s="32"/>
      <c r="K65" s="32"/>
      <c r="L65" s="32"/>
      <c r="M65" s="32"/>
      <c r="N65" s="32">
        <v>9</v>
      </c>
      <c r="O65" s="32">
        <v>9</v>
      </c>
      <c r="P65" s="32">
        <v>9</v>
      </c>
      <c r="Q65" s="32">
        <v>9</v>
      </c>
      <c r="R65" s="32">
        <v>9</v>
      </c>
      <c r="S65" s="32">
        <v>9</v>
      </c>
      <c r="T65" s="32">
        <v>30</v>
      </c>
      <c r="U65" s="32">
        <f t="shared" ref="U65:Y65" si="80">20/1.18</f>
        <v>16.949152542372882</v>
      </c>
      <c r="V65" s="32">
        <f t="shared" si="80"/>
        <v>16.949152542372882</v>
      </c>
      <c r="W65" s="32">
        <f t="shared" si="80"/>
        <v>16.949152542372882</v>
      </c>
      <c r="X65" s="32">
        <f t="shared" si="80"/>
        <v>16.949152542372882</v>
      </c>
      <c r="Y65" s="32">
        <f t="shared" si="80"/>
        <v>16.949152542372882</v>
      </c>
      <c r="Z65" s="32"/>
      <c r="AA65" s="33" t="s">
        <v>99</v>
      </c>
      <c r="AB65" s="16" t="s">
        <v>75</v>
      </c>
      <c r="AC65" s="38" t="s">
        <v>96</v>
      </c>
    </row>
    <row r="66" spans="1:29" ht="24.75" customHeight="1">
      <c r="A66" s="1"/>
      <c r="B66" s="21" t="s">
        <v>24</v>
      </c>
      <c r="C66" s="29" t="s">
        <v>105</v>
      </c>
      <c r="D66" s="23">
        <v>1</v>
      </c>
      <c r="E66" s="24" t="s">
        <v>98</v>
      </c>
      <c r="F66" s="32"/>
      <c r="G66" s="32"/>
      <c r="H66" s="32"/>
      <c r="I66" s="32"/>
      <c r="J66" s="32"/>
      <c r="K66" s="32"/>
      <c r="L66" s="32"/>
      <c r="M66" s="32"/>
      <c r="N66" s="32">
        <v>65</v>
      </c>
      <c r="O66" s="32">
        <v>65</v>
      </c>
      <c r="P66" s="32">
        <v>65</v>
      </c>
      <c r="Q66" s="32">
        <v>65</v>
      </c>
      <c r="R66" s="32">
        <v>65</v>
      </c>
      <c r="S66" s="32">
        <v>65</v>
      </c>
      <c r="T66" s="32">
        <v>80</v>
      </c>
      <c r="U66" s="32">
        <f t="shared" ref="U66:Y66" si="81">95/1.18</f>
        <v>80.508474576271198</v>
      </c>
      <c r="V66" s="32">
        <f t="shared" si="81"/>
        <v>80.508474576271198</v>
      </c>
      <c r="W66" s="32">
        <f t="shared" si="81"/>
        <v>80.508474576271198</v>
      </c>
      <c r="X66" s="32">
        <f t="shared" si="81"/>
        <v>80.508474576271198</v>
      </c>
      <c r="Y66" s="32">
        <f t="shared" si="81"/>
        <v>80.508474576271198</v>
      </c>
      <c r="Z66" s="32"/>
      <c r="AA66" s="33" t="s">
        <v>99</v>
      </c>
      <c r="AB66" s="16" t="s">
        <v>75</v>
      </c>
      <c r="AC66" s="38" t="s">
        <v>96</v>
      </c>
    </row>
    <row r="67" spans="1:29" ht="24.75" customHeight="1">
      <c r="A67" s="1"/>
      <c r="B67" s="21"/>
      <c r="C67" s="42" t="s">
        <v>106</v>
      </c>
      <c r="D67" s="23">
        <v>1</v>
      </c>
      <c r="E67" s="24" t="s">
        <v>98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3"/>
      <c r="AB67" s="16" t="s">
        <v>75</v>
      </c>
      <c r="AC67" s="38" t="s">
        <v>96</v>
      </c>
    </row>
    <row r="68" spans="1:29" ht="24.75" customHeight="1">
      <c r="A68" s="1"/>
      <c r="B68" s="21" t="s">
        <v>8</v>
      </c>
      <c r="C68" s="29" t="s">
        <v>107</v>
      </c>
      <c r="D68" s="23">
        <v>1</v>
      </c>
      <c r="E68" s="24" t="s">
        <v>98</v>
      </c>
      <c r="F68" s="32"/>
      <c r="G68" s="32"/>
      <c r="H68" s="32"/>
      <c r="I68" s="32"/>
      <c r="J68" s="32"/>
      <c r="K68" s="32"/>
      <c r="L68" s="32"/>
      <c r="M68" s="32"/>
      <c r="N68" s="32"/>
      <c r="O68" s="32">
        <f t="shared" ref="O68:S68" si="82">225/1.18</f>
        <v>190.67796610169492</v>
      </c>
      <c r="P68" s="32">
        <f t="shared" si="82"/>
        <v>190.67796610169492</v>
      </c>
      <c r="Q68" s="32">
        <f t="shared" si="82"/>
        <v>190.67796610169492</v>
      </c>
      <c r="R68" s="32">
        <f t="shared" si="82"/>
        <v>190.67796610169492</v>
      </c>
      <c r="S68" s="32">
        <f t="shared" si="82"/>
        <v>190.67796610169492</v>
      </c>
      <c r="T68" s="32">
        <f>20/1.18</f>
        <v>16.949152542372882</v>
      </c>
      <c r="U68" s="32">
        <f>100/1.18</f>
        <v>84.745762711864415</v>
      </c>
      <c r="V68" s="32">
        <f t="shared" ref="V68:Y68" si="83">35/1.18</f>
        <v>29.661016949152543</v>
      </c>
      <c r="W68" s="32">
        <f t="shared" si="83"/>
        <v>29.661016949152543</v>
      </c>
      <c r="X68" s="32">
        <f t="shared" si="83"/>
        <v>29.661016949152543</v>
      </c>
      <c r="Y68" s="32">
        <f t="shared" si="83"/>
        <v>29.661016949152543</v>
      </c>
      <c r="Z68" s="32"/>
      <c r="AA68" s="33" t="s">
        <v>99</v>
      </c>
      <c r="AB68" s="16" t="s">
        <v>75</v>
      </c>
      <c r="AC68" s="38" t="s">
        <v>96</v>
      </c>
    </row>
    <row r="69" spans="1:29" ht="24.75" customHeight="1">
      <c r="A69" s="1"/>
      <c r="B69" s="21" t="s">
        <v>11</v>
      </c>
      <c r="C69" s="29" t="s">
        <v>108</v>
      </c>
      <c r="D69" s="23">
        <v>1</v>
      </c>
      <c r="E69" s="24" t="s">
        <v>98</v>
      </c>
      <c r="F69" s="32"/>
      <c r="G69" s="32"/>
      <c r="H69" s="32"/>
      <c r="I69" s="32"/>
      <c r="J69" s="32"/>
      <c r="K69" s="32"/>
      <c r="L69" s="32"/>
      <c r="M69" s="32"/>
      <c r="N69" s="32"/>
      <c r="O69" s="32">
        <f t="shared" ref="O69:S69" si="84">450/1.18</f>
        <v>381.35593220338984</v>
      </c>
      <c r="P69" s="32">
        <f t="shared" si="84"/>
        <v>381.35593220338984</v>
      </c>
      <c r="Q69" s="32">
        <f t="shared" si="84"/>
        <v>381.35593220338984</v>
      </c>
      <c r="R69" s="32">
        <f t="shared" si="84"/>
        <v>381.35593220338984</v>
      </c>
      <c r="S69" s="32">
        <f t="shared" si="84"/>
        <v>381.35593220338984</v>
      </c>
      <c r="T69" s="32">
        <f>60/1.18</f>
        <v>50.847457627118644</v>
      </c>
      <c r="U69" s="32">
        <f>180/1.18</f>
        <v>152.54237288135593</v>
      </c>
      <c r="V69" s="32"/>
      <c r="W69" s="32"/>
      <c r="X69" s="32"/>
      <c r="Y69" s="32"/>
      <c r="Z69" s="32"/>
      <c r="AA69" s="33"/>
      <c r="AB69" s="16" t="s">
        <v>75</v>
      </c>
      <c r="AC69" s="38" t="s">
        <v>96</v>
      </c>
    </row>
    <row r="70" spans="1:29" ht="24.75" customHeight="1">
      <c r="A70" s="1"/>
      <c r="B70" s="21" t="s">
        <v>13</v>
      </c>
      <c r="C70" s="29" t="s">
        <v>109</v>
      </c>
      <c r="D70" s="23">
        <v>1</v>
      </c>
      <c r="E70" s="24" t="s">
        <v>98</v>
      </c>
      <c r="F70" s="32"/>
      <c r="G70" s="32"/>
      <c r="H70" s="32"/>
      <c r="I70" s="32"/>
      <c r="J70" s="32"/>
      <c r="K70" s="32"/>
      <c r="L70" s="32"/>
      <c r="M70" s="32"/>
      <c r="N70" s="32"/>
      <c r="O70" s="32">
        <f t="shared" ref="O70:S70" si="85">500/1.18</f>
        <v>423.72881355932208</v>
      </c>
      <c r="P70" s="32">
        <f t="shared" si="85"/>
        <v>423.72881355932208</v>
      </c>
      <c r="Q70" s="32">
        <f t="shared" si="85"/>
        <v>423.72881355932208</v>
      </c>
      <c r="R70" s="32">
        <f t="shared" si="85"/>
        <v>423.72881355932208</v>
      </c>
      <c r="S70" s="32">
        <f t="shared" si="85"/>
        <v>423.72881355932208</v>
      </c>
      <c r="T70" s="32">
        <v>800</v>
      </c>
      <c r="U70" s="32">
        <f>500/1.18</f>
        <v>423.72881355932208</v>
      </c>
      <c r="V70" s="32">
        <f t="shared" ref="V70:Y70" si="86">450/1.18</f>
        <v>381.35593220338984</v>
      </c>
      <c r="W70" s="32">
        <f t="shared" si="86"/>
        <v>381.35593220338984</v>
      </c>
      <c r="X70" s="32">
        <f t="shared" si="86"/>
        <v>381.35593220338984</v>
      </c>
      <c r="Y70" s="32">
        <f t="shared" si="86"/>
        <v>381.35593220338984</v>
      </c>
      <c r="Z70" s="32"/>
      <c r="AA70" s="33" t="s">
        <v>99</v>
      </c>
      <c r="AB70" s="16" t="s">
        <v>75</v>
      </c>
      <c r="AC70" s="38" t="s">
        <v>96</v>
      </c>
    </row>
    <row r="71" spans="1:29" ht="24.75" customHeight="1">
      <c r="A71" s="1"/>
      <c r="B71" s="21" t="s">
        <v>15</v>
      </c>
      <c r="C71" s="29" t="s">
        <v>110</v>
      </c>
      <c r="D71" s="23">
        <v>1</v>
      </c>
      <c r="E71" s="24" t="s">
        <v>98</v>
      </c>
      <c r="F71" s="32"/>
      <c r="G71" s="32"/>
      <c r="H71" s="32"/>
      <c r="I71" s="32"/>
      <c r="J71" s="32"/>
      <c r="K71" s="32"/>
      <c r="L71" s="32"/>
      <c r="M71" s="32"/>
      <c r="N71" s="32"/>
      <c r="O71" s="32">
        <f t="shared" ref="O71:S71" si="87">1150/1.18</f>
        <v>974.57627118644075</v>
      </c>
      <c r="P71" s="32">
        <f t="shared" si="87"/>
        <v>974.57627118644075</v>
      </c>
      <c r="Q71" s="32">
        <f t="shared" si="87"/>
        <v>974.57627118644075</v>
      </c>
      <c r="R71" s="32">
        <f t="shared" si="87"/>
        <v>974.57627118644075</v>
      </c>
      <c r="S71" s="32">
        <f t="shared" si="87"/>
        <v>974.57627118644075</v>
      </c>
      <c r="T71" s="32">
        <f>1500/1.18</f>
        <v>1271.1864406779662</v>
      </c>
      <c r="U71" s="32">
        <f>700/1.18</f>
        <v>593.22033898305085</v>
      </c>
      <c r="V71" s="32">
        <f t="shared" ref="V71:Y71" si="88">650/1.18</f>
        <v>550.84745762711873</v>
      </c>
      <c r="W71" s="32">
        <f t="shared" si="88"/>
        <v>550.84745762711873</v>
      </c>
      <c r="X71" s="32">
        <f t="shared" si="88"/>
        <v>550.84745762711873</v>
      </c>
      <c r="Y71" s="32">
        <f t="shared" si="88"/>
        <v>550.84745762711873</v>
      </c>
      <c r="Z71" s="32"/>
      <c r="AA71" s="33" t="s">
        <v>99</v>
      </c>
      <c r="AB71" s="16" t="s">
        <v>75</v>
      </c>
      <c r="AC71" s="38" t="s">
        <v>96</v>
      </c>
    </row>
    <row r="72" spans="1:29" ht="24.75" customHeight="1">
      <c r="A72" s="1"/>
      <c r="B72" s="21" t="s">
        <v>18</v>
      </c>
      <c r="C72" s="29" t="s">
        <v>111</v>
      </c>
      <c r="D72" s="23">
        <v>1</v>
      </c>
      <c r="E72" s="24" t="s">
        <v>98</v>
      </c>
      <c r="F72" s="32"/>
      <c r="G72" s="32"/>
      <c r="H72" s="32"/>
      <c r="I72" s="32"/>
      <c r="J72" s="32"/>
      <c r="K72" s="32"/>
      <c r="L72" s="32"/>
      <c r="M72" s="32"/>
      <c r="N72" s="32"/>
      <c r="O72" s="32">
        <f t="shared" ref="O72:S72" si="89">1350/1.18</f>
        <v>1144.0677966101696</v>
      </c>
      <c r="P72" s="32">
        <f t="shared" si="89"/>
        <v>1144.0677966101696</v>
      </c>
      <c r="Q72" s="32">
        <f t="shared" si="89"/>
        <v>1144.0677966101696</v>
      </c>
      <c r="R72" s="32">
        <f t="shared" si="89"/>
        <v>1144.0677966101696</v>
      </c>
      <c r="S72" s="32">
        <f t="shared" si="89"/>
        <v>1144.0677966101696</v>
      </c>
      <c r="T72" s="32">
        <f>2000/1.18</f>
        <v>1694.9152542372883</v>
      </c>
      <c r="U72" s="32">
        <f>750/1.18</f>
        <v>635.59322033898309</v>
      </c>
      <c r="V72" s="32">
        <f t="shared" ref="V72:Y72" si="90">850/1.18</f>
        <v>720.33898305084745</v>
      </c>
      <c r="W72" s="32">
        <f t="shared" si="90"/>
        <v>720.33898305084745</v>
      </c>
      <c r="X72" s="32">
        <f t="shared" si="90"/>
        <v>720.33898305084745</v>
      </c>
      <c r="Y72" s="32">
        <f t="shared" si="90"/>
        <v>720.33898305084745</v>
      </c>
      <c r="Z72" s="32"/>
      <c r="AA72" s="33" t="s">
        <v>99</v>
      </c>
      <c r="AB72" s="16" t="s">
        <v>75</v>
      </c>
      <c r="AC72" s="38" t="s">
        <v>96</v>
      </c>
    </row>
    <row r="73" spans="1:29" ht="24.75" customHeight="1">
      <c r="A73" s="1"/>
      <c r="B73" s="21" t="s">
        <v>20</v>
      </c>
      <c r="C73" s="29" t="s">
        <v>112</v>
      </c>
      <c r="D73" s="23">
        <v>1</v>
      </c>
      <c r="E73" s="24" t="s">
        <v>98</v>
      </c>
      <c r="F73" s="32"/>
      <c r="G73" s="32"/>
      <c r="H73" s="32"/>
      <c r="I73" s="32"/>
      <c r="J73" s="32"/>
      <c r="K73" s="32"/>
      <c r="L73" s="32"/>
      <c r="M73" s="32"/>
      <c r="N73" s="32"/>
      <c r="O73" s="32">
        <f t="shared" ref="O73:S73" si="91">2800/1.18</f>
        <v>2372.8813559322034</v>
      </c>
      <c r="P73" s="32">
        <f t="shared" si="91"/>
        <v>2372.8813559322034</v>
      </c>
      <c r="Q73" s="32">
        <f t="shared" si="91"/>
        <v>2372.8813559322034</v>
      </c>
      <c r="R73" s="32">
        <f t="shared" si="91"/>
        <v>2372.8813559322034</v>
      </c>
      <c r="S73" s="32">
        <f t="shared" si="91"/>
        <v>2372.8813559322034</v>
      </c>
      <c r="T73" s="32">
        <f>2500/1.18</f>
        <v>2118.6440677966102</v>
      </c>
      <c r="U73" s="32">
        <f>1200/1.18</f>
        <v>1016.949152542373</v>
      </c>
      <c r="V73" s="32">
        <f t="shared" ref="V73:Y73" si="92">1000/1.18</f>
        <v>847.45762711864415</v>
      </c>
      <c r="W73" s="32">
        <f t="shared" si="92"/>
        <v>847.45762711864415</v>
      </c>
      <c r="X73" s="32">
        <f t="shared" si="92"/>
        <v>847.45762711864415</v>
      </c>
      <c r="Y73" s="32">
        <f t="shared" si="92"/>
        <v>847.45762711864415</v>
      </c>
      <c r="Z73" s="32"/>
      <c r="AA73" s="33" t="s">
        <v>99</v>
      </c>
      <c r="AB73" s="16" t="s">
        <v>75</v>
      </c>
      <c r="AC73" s="38" t="s">
        <v>96</v>
      </c>
    </row>
    <row r="74" spans="1:29" ht="24.75" customHeight="1">
      <c r="A74" s="1"/>
      <c r="B74" s="21" t="s">
        <v>24</v>
      </c>
      <c r="C74" s="29" t="s">
        <v>113</v>
      </c>
      <c r="D74" s="23">
        <v>1</v>
      </c>
      <c r="E74" s="24" t="s">
        <v>98</v>
      </c>
      <c r="F74" s="32"/>
      <c r="G74" s="32"/>
      <c r="H74" s="32"/>
      <c r="I74" s="32"/>
      <c r="J74" s="32"/>
      <c r="K74" s="32"/>
      <c r="L74" s="32"/>
      <c r="M74" s="32"/>
      <c r="N74" s="32"/>
      <c r="O74" s="32">
        <f t="shared" ref="O74:S74" si="93">1200/1.18</f>
        <v>1016.949152542373</v>
      </c>
      <c r="P74" s="32">
        <f t="shared" si="93"/>
        <v>1016.949152542373</v>
      </c>
      <c r="Q74" s="32">
        <f t="shared" si="93"/>
        <v>1016.949152542373</v>
      </c>
      <c r="R74" s="32">
        <f t="shared" si="93"/>
        <v>1016.949152542373</v>
      </c>
      <c r="S74" s="32">
        <f t="shared" si="93"/>
        <v>1016.949152542373</v>
      </c>
      <c r="T74" s="32">
        <f>1000/1.18</f>
        <v>847.45762711864415</v>
      </c>
      <c r="U74" s="32">
        <f t="shared" ref="U74:Y74" si="94">700/1.18</f>
        <v>593.22033898305085</v>
      </c>
      <c r="V74" s="32">
        <f t="shared" si="94"/>
        <v>593.22033898305085</v>
      </c>
      <c r="W74" s="32">
        <f t="shared" si="94"/>
        <v>593.22033898305085</v>
      </c>
      <c r="X74" s="32">
        <f t="shared" si="94"/>
        <v>593.22033898305085</v>
      </c>
      <c r="Y74" s="32">
        <f t="shared" si="94"/>
        <v>593.22033898305085</v>
      </c>
      <c r="Z74" s="32"/>
      <c r="AA74" s="33" t="s">
        <v>99</v>
      </c>
      <c r="AB74" s="16" t="s">
        <v>75</v>
      </c>
      <c r="AC74" s="38" t="s">
        <v>96</v>
      </c>
    </row>
    <row r="75" spans="1:29" ht="24.75" customHeight="1">
      <c r="A75" s="1"/>
      <c r="B75" s="21" t="s">
        <v>27</v>
      </c>
      <c r="C75" s="29" t="s">
        <v>114</v>
      </c>
      <c r="D75" s="23">
        <v>1</v>
      </c>
      <c r="E75" s="24" t="s">
        <v>98</v>
      </c>
      <c r="F75" s="32"/>
      <c r="G75" s="32"/>
      <c r="H75" s="32"/>
      <c r="I75" s="32"/>
      <c r="J75" s="32"/>
      <c r="K75" s="32"/>
      <c r="L75" s="32"/>
      <c r="M75" s="32"/>
      <c r="N75" s="32"/>
      <c r="O75" s="32">
        <f t="shared" ref="O75:S75" si="95">1800/1.18</f>
        <v>1525.4237288135594</v>
      </c>
      <c r="P75" s="32">
        <f t="shared" si="95"/>
        <v>1525.4237288135594</v>
      </c>
      <c r="Q75" s="32">
        <f t="shared" si="95"/>
        <v>1525.4237288135594</v>
      </c>
      <c r="R75" s="32">
        <f t="shared" si="95"/>
        <v>1525.4237288135594</v>
      </c>
      <c r="S75" s="32">
        <f t="shared" si="95"/>
        <v>1525.4237288135594</v>
      </c>
      <c r="T75" s="32">
        <f>1500/1.18</f>
        <v>1271.1864406779662</v>
      </c>
      <c r="U75" s="32">
        <f>900/1.18</f>
        <v>762.71186440677968</v>
      </c>
      <c r="V75" s="32">
        <f t="shared" ref="V75:Y75" si="96">1100/1.18</f>
        <v>932.20338983050851</v>
      </c>
      <c r="W75" s="32">
        <f t="shared" si="96"/>
        <v>932.20338983050851</v>
      </c>
      <c r="X75" s="32">
        <f t="shared" si="96"/>
        <v>932.20338983050851</v>
      </c>
      <c r="Y75" s="32">
        <f t="shared" si="96"/>
        <v>932.20338983050851</v>
      </c>
      <c r="Z75" s="32"/>
      <c r="AA75" s="33" t="s">
        <v>99</v>
      </c>
      <c r="AB75" s="16" t="s">
        <v>75</v>
      </c>
      <c r="AC75" s="38" t="s">
        <v>96</v>
      </c>
    </row>
    <row r="76" spans="1:29" ht="24.75" customHeight="1">
      <c r="A76" s="1"/>
      <c r="B76" s="21" t="s">
        <v>30</v>
      </c>
      <c r="C76" s="29" t="s">
        <v>115</v>
      </c>
      <c r="D76" s="23">
        <v>1</v>
      </c>
      <c r="E76" s="24" t="s">
        <v>98</v>
      </c>
      <c r="F76" s="32"/>
      <c r="G76" s="32"/>
      <c r="H76" s="32"/>
      <c r="I76" s="32"/>
      <c r="J76" s="32"/>
      <c r="K76" s="32"/>
      <c r="L76" s="32"/>
      <c r="M76" s="32"/>
      <c r="N76" s="32"/>
      <c r="O76" s="32">
        <f t="shared" ref="O76:S76" si="97">2800/1.18</f>
        <v>2372.8813559322034</v>
      </c>
      <c r="P76" s="32">
        <f t="shared" si="97"/>
        <v>2372.8813559322034</v>
      </c>
      <c r="Q76" s="32">
        <f t="shared" si="97"/>
        <v>2372.8813559322034</v>
      </c>
      <c r="R76" s="32">
        <f t="shared" si="97"/>
        <v>2372.8813559322034</v>
      </c>
      <c r="S76" s="32">
        <f t="shared" si="97"/>
        <v>2372.8813559322034</v>
      </c>
      <c r="T76" s="32">
        <f>3600/1.18</f>
        <v>3050.8474576271187</v>
      </c>
      <c r="U76" s="32">
        <f>1100/1.18</f>
        <v>932.20338983050851</v>
      </c>
      <c r="V76" s="32">
        <f t="shared" ref="V76:Y76" si="98">1500/1.18</f>
        <v>1271.1864406779662</v>
      </c>
      <c r="W76" s="32">
        <f t="shared" si="98"/>
        <v>1271.1864406779662</v>
      </c>
      <c r="X76" s="32">
        <f t="shared" si="98"/>
        <v>1271.1864406779662</v>
      </c>
      <c r="Y76" s="32">
        <f t="shared" si="98"/>
        <v>1271.1864406779662</v>
      </c>
      <c r="Z76" s="32"/>
      <c r="AA76" s="33" t="s">
        <v>99</v>
      </c>
      <c r="AB76" s="16" t="s">
        <v>75</v>
      </c>
      <c r="AC76" s="38" t="s">
        <v>96</v>
      </c>
    </row>
    <row r="77" spans="1:29" ht="24.75" customHeight="1">
      <c r="A77" s="1"/>
      <c r="B77" s="21"/>
      <c r="C77" s="42" t="s">
        <v>116</v>
      </c>
      <c r="D77" s="23"/>
      <c r="E77" s="24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3"/>
      <c r="AB77" s="16" t="s">
        <v>75</v>
      </c>
      <c r="AC77" s="38" t="s">
        <v>96</v>
      </c>
    </row>
    <row r="78" spans="1:29" ht="24.75" customHeight="1">
      <c r="A78" s="1"/>
      <c r="B78" s="21" t="s">
        <v>8</v>
      </c>
      <c r="C78" s="29" t="s">
        <v>107</v>
      </c>
      <c r="D78" s="23">
        <v>1</v>
      </c>
      <c r="E78" s="24" t="s">
        <v>98</v>
      </c>
      <c r="F78" s="32"/>
      <c r="G78" s="32"/>
      <c r="H78" s="32"/>
      <c r="I78" s="32"/>
      <c r="J78" s="32"/>
      <c r="K78" s="32"/>
      <c r="L78" s="32"/>
      <c r="M78" s="32"/>
      <c r="N78" s="32"/>
      <c r="O78" s="32">
        <f t="shared" ref="O78:S78" si="99">95/1.18</f>
        <v>80.508474576271198</v>
      </c>
      <c r="P78" s="32">
        <f t="shared" si="99"/>
        <v>80.508474576271198</v>
      </c>
      <c r="Q78" s="32">
        <f t="shared" si="99"/>
        <v>80.508474576271198</v>
      </c>
      <c r="R78" s="32">
        <f t="shared" si="99"/>
        <v>80.508474576271198</v>
      </c>
      <c r="S78" s="32">
        <f t="shared" si="99"/>
        <v>80.508474576271198</v>
      </c>
      <c r="T78" s="32">
        <f>120/1.18</f>
        <v>101.69491525423729</v>
      </c>
      <c r="U78" s="32">
        <f t="shared" ref="U78:X78" si="100">100/1.18</f>
        <v>84.745762711864415</v>
      </c>
      <c r="V78" s="32">
        <f t="shared" si="100"/>
        <v>84.745762711864415</v>
      </c>
      <c r="W78" s="32">
        <f t="shared" si="100"/>
        <v>84.745762711864415</v>
      </c>
      <c r="X78" s="32">
        <f t="shared" si="100"/>
        <v>84.745762711864415</v>
      </c>
      <c r="Y78" s="32">
        <f t="shared" ref="Y78:Y88" si="101">X78-5</f>
        <v>79.745762711864415</v>
      </c>
      <c r="Z78" s="32"/>
      <c r="AA78" s="33" t="s">
        <v>99</v>
      </c>
      <c r="AB78" s="16" t="s">
        <v>75</v>
      </c>
      <c r="AC78" s="38" t="s">
        <v>96</v>
      </c>
    </row>
    <row r="79" spans="1:29" ht="24.75" customHeight="1">
      <c r="A79" s="1"/>
      <c r="B79" s="21" t="s">
        <v>11</v>
      </c>
      <c r="C79" s="29" t="s">
        <v>117</v>
      </c>
      <c r="D79" s="23">
        <v>1</v>
      </c>
      <c r="E79" s="24" t="s">
        <v>98</v>
      </c>
      <c r="F79" s="32"/>
      <c r="G79" s="32"/>
      <c r="H79" s="32"/>
      <c r="I79" s="32"/>
      <c r="J79" s="32"/>
      <c r="K79" s="32"/>
      <c r="L79" s="32"/>
      <c r="M79" s="32"/>
      <c r="N79" s="32"/>
      <c r="O79" s="32">
        <f t="shared" ref="O79:S79" si="102">180/1.18</f>
        <v>152.54237288135593</v>
      </c>
      <c r="P79" s="32">
        <f t="shared" si="102"/>
        <v>152.54237288135593</v>
      </c>
      <c r="Q79" s="32">
        <f t="shared" si="102"/>
        <v>152.54237288135593</v>
      </c>
      <c r="R79" s="32">
        <f t="shared" si="102"/>
        <v>152.54237288135593</v>
      </c>
      <c r="S79" s="32">
        <f t="shared" si="102"/>
        <v>152.54237288135593</v>
      </c>
      <c r="T79" s="32">
        <f>225/1.18</f>
        <v>190.67796610169492</v>
      </c>
      <c r="U79" s="32">
        <f>180/1.18</f>
        <v>152.54237288135593</v>
      </c>
      <c r="V79" s="32">
        <f t="shared" ref="V79:X79" si="103">200/1.18</f>
        <v>169.49152542372883</v>
      </c>
      <c r="W79" s="32">
        <f t="shared" si="103"/>
        <v>169.49152542372883</v>
      </c>
      <c r="X79" s="32">
        <f t="shared" si="103"/>
        <v>169.49152542372883</v>
      </c>
      <c r="Y79" s="32">
        <f t="shared" si="101"/>
        <v>164.49152542372883</v>
      </c>
      <c r="Z79" s="32"/>
      <c r="AA79" s="33" t="s">
        <v>99</v>
      </c>
      <c r="AB79" s="16" t="s">
        <v>75</v>
      </c>
      <c r="AC79" s="38" t="s">
        <v>96</v>
      </c>
    </row>
    <row r="80" spans="1:29" ht="24.75" customHeight="1">
      <c r="A80" s="1"/>
      <c r="B80" s="21" t="s">
        <v>13</v>
      </c>
      <c r="C80" s="29" t="s">
        <v>118</v>
      </c>
      <c r="D80" s="23">
        <v>1</v>
      </c>
      <c r="E80" s="24" t="s">
        <v>98</v>
      </c>
      <c r="F80" s="32"/>
      <c r="G80" s="32"/>
      <c r="H80" s="32"/>
      <c r="I80" s="32"/>
      <c r="J80" s="32"/>
      <c r="K80" s="32"/>
      <c r="L80" s="32"/>
      <c r="M80" s="32"/>
      <c r="N80" s="32"/>
      <c r="O80" s="32">
        <f t="shared" ref="O80:S80" si="104">425/1.18</f>
        <v>360.16949152542372</v>
      </c>
      <c r="P80" s="32">
        <f t="shared" si="104"/>
        <v>360.16949152542372</v>
      </c>
      <c r="Q80" s="32">
        <f t="shared" si="104"/>
        <v>360.16949152542372</v>
      </c>
      <c r="R80" s="32">
        <f t="shared" si="104"/>
        <v>360.16949152542372</v>
      </c>
      <c r="S80" s="32">
        <f t="shared" si="104"/>
        <v>360.16949152542372</v>
      </c>
      <c r="T80" s="32">
        <f>475/1.18</f>
        <v>402.54237288135596</v>
      </c>
      <c r="U80" s="32">
        <f>500/1.18</f>
        <v>423.72881355932208</v>
      </c>
      <c r="V80" s="32">
        <f t="shared" ref="V80:X80" si="105">420/1.18</f>
        <v>355.93220338983053</v>
      </c>
      <c r="W80" s="32">
        <f t="shared" si="105"/>
        <v>355.93220338983053</v>
      </c>
      <c r="X80" s="32">
        <f t="shared" si="105"/>
        <v>355.93220338983053</v>
      </c>
      <c r="Y80" s="32">
        <f t="shared" si="101"/>
        <v>350.93220338983053</v>
      </c>
      <c r="Z80" s="32"/>
      <c r="AA80" s="33" t="s">
        <v>99</v>
      </c>
      <c r="AB80" s="16" t="s">
        <v>75</v>
      </c>
      <c r="AC80" s="38" t="s">
        <v>96</v>
      </c>
    </row>
    <row r="81" spans="1:29" ht="24.75" customHeight="1">
      <c r="A81" s="1"/>
      <c r="B81" s="21" t="s">
        <v>15</v>
      </c>
      <c r="C81" s="29" t="s">
        <v>110</v>
      </c>
      <c r="D81" s="23">
        <v>1</v>
      </c>
      <c r="E81" s="24" t="s">
        <v>98</v>
      </c>
      <c r="F81" s="32"/>
      <c r="G81" s="32"/>
      <c r="H81" s="32"/>
      <c r="I81" s="32"/>
      <c r="J81" s="32"/>
      <c r="K81" s="32"/>
      <c r="L81" s="32"/>
      <c r="M81" s="32"/>
      <c r="N81" s="32"/>
      <c r="O81" s="32">
        <f t="shared" ref="O81:S81" si="106">700/1.18</f>
        <v>593.22033898305085</v>
      </c>
      <c r="P81" s="32">
        <f t="shared" si="106"/>
        <v>593.22033898305085</v>
      </c>
      <c r="Q81" s="32">
        <f t="shared" si="106"/>
        <v>593.22033898305085</v>
      </c>
      <c r="R81" s="32">
        <f t="shared" si="106"/>
        <v>593.22033898305085</v>
      </c>
      <c r="S81" s="32">
        <f t="shared" si="106"/>
        <v>593.22033898305085</v>
      </c>
      <c r="T81" s="32">
        <f>650/1.18</f>
        <v>550.84745762711873</v>
      </c>
      <c r="U81" s="32">
        <f>700/1.18</f>
        <v>593.22033898305085</v>
      </c>
      <c r="V81" s="32">
        <f t="shared" ref="V81:X81" si="107">675/1.18</f>
        <v>572.03389830508479</v>
      </c>
      <c r="W81" s="32">
        <f t="shared" si="107"/>
        <v>572.03389830508479</v>
      </c>
      <c r="X81" s="32">
        <f t="shared" si="107"/>
        <v>572.03389830508479</v>
      </c>
      <c r="Y81" s="32">
        <f t="shared" si="101"/>
        <v>567.03389830508479</v>
      </c>
      <c r="Z81" s="32"/>
      <c r="AA81" s="33" t="s">
        <v>99</v>
      </c>
      <c r="AB81" s="16" t="s">
        <v>75</v>
      </c>
      <c r="AC81" s="38" t="s">
        <v>96</v>
      </c>
    </row>
    <row r="82" spans="1:29" ht="24.75" customHeight="1">
      <c r="A82" s="1"/>
      <c r="B82" s="21" t="s">
        <v>18</v>
      </c>
      <c r="C82" s="29" t="s">
        <v>111</v>
      </c>
      <c r="D82" s="23">
        <v>1</v>
      </c>
      <c r="E82" s="24" t="s">
        <v>98</v>
      </c>
      <c r="F82" s="32"/>
      <c r="G82" s="32"/>
      <c r="H82" s="32"/>
      <c r="I82" s="32"/>
      <c r="J82" s="32"/>
      <c r="K82" s="32"/>
      <c r="L82" s="32"/>
      <c r="M82" s="32"/>
      <c r="N82" s="32"/>
      <c r="O82" s="32">
        <f t="shared" ref="O82:U82" si="108">750/1.18</f>
        <v>635.59322033898309</v>
      </c>
      <c r="P82" s="32">
        <f t="shared" si="108"/>
        <v>635.59322033898309</v>
      </c>
      <c r="Q82" s="32">
        <f t="shared" si="108"/>
        <v>635.59322033898309</v>
      </c>
      <c r="R82" s="32">
        <f t="shared" si="108"/>
        <v>635.59322033898309</v>
      </c>
      <c r="S82" s="32">
        <f t="shared" si="108"/>
        <v>635.59322033898309</v>
      </c>
      <c r="T82" s="32">
        <f t="shared" si="108"/>
        <v>635.59322033898309</v>
      </c>
      <c r="U82" s="32">
        <f t="shared" si="108"/>
        <v>635.59322033898309</v>
      </c>
      <c r="V82" s="32">
        <f t="shared" ref="V82:X82" si="109">730/1.18</f>
        <v>618.64406779661022</v>
      </c>
      <c r="W82" s="32">
        <f t="shared" si="109"/>
        <v>618.64406779661022</v>
      </c>
      <c r="X82" s="32">
        <f t="shared" si="109"/>
        <v>618.64406779661022</v>
      </c>
      <c r="Y82" s="32">
        <f t="shared" si="101"/>
        <v>613.64406779661022</v>
      </c>
      <c r="Z82" s="32"/>
      <c r="AA82" s="33" t="s">
        <v>99</v>
      </c>
      <c r="AB82" s="16" t="s">
        <v>75</v>
      </c>
      <c r="AC82" s="38" t="s">
        <v>96</v>
      </c>
    </row>
    <row r="83" spans="1:29" ht="24.75" customHeight="1">
      <c r="A83" s="1"/>
      <c r="B83" s="21" t="s">
        <v>20</v>
      </c>
      <c r="C83" s="29" t="s">
        <v>112</v>
      </c>
      <c r="D83" s="23">
        <v>1</v>
      </c>
      <c r="E83" s="24" t="s">
        <v>98</v>
      </c>
      <c r="F83" s="32"/>
      <c r="G83" s="32"/>
      <c r="H83" s="32"/>
      <c r="I83" s="32"/>
      <c r="J83" s="32"/>
      <c r="K83" s="32"/>
      <c r="L83" s="32"/>
      <c r="M83" s="32"/>
      <c r="N83" s="32"/>
      <c r="O83" s="32">
        <f t="shared" ref="O83:S83" si="110">1850/1.18</f>
        <v>1567.7966101694917</v>
      </c>
      <c r="P83" s="32">
        <f t="shared" si="110"/>
        <v>1567.7966101694917</v>
      </c>
      <c r="Q83" s="32">
        <f t="shared" si="110"/>
        <v>1567.7966101694917</v>
      </c>
      <c r="R83" s="32">
        <f t="shared" si="110"/>
        <v>1567.7966101694917</v>
      </c>
      <c r="S83" s="32">
        <f t="shared" si="110"/>
        <v>1567.7966101694917</v>
      </c>
      <c r="T83" s="32">
        <f t="shared" ref="T83:U83" si="111">1200/1.18</f>
        <v>1016.949152542373</v>
      </c>
      <c r="U83" s="32">
        <f t="shared" si="111"/>
        <v>1016.949152542373</v>
      </c>
      <c r="V83" s="32">
        <f t="shared" ref="V83:X83" si="112">1100/1.18</f>
        <v>932.20338983050851</v>
      </c>
      <c r="W83" s="32">
        <f t="shared" si="112"/>
        <v>932.20338983050851</v>
      </c>
      <c r="X83" s="32">
        <f t="shared" si="112"/>
        <v>932.20338983050851</v>
      </c>
      <c r="Y83" s="32">
        <f t="shared" si="101"/>
        <v>927.20338983050851</v>
      </c>
      <c r="Z83" s="32"/>
      <c r="AA83" s="33" t="s">
        <v>99</v>
      </c>
      <c r="AB83" s="16" t="s">
        <v>75</v>
      </c>
      <c r="AC83" s="38" t="s">
        <v>96</v>
      </c>
    </row>
    <row r="84" spans="1:29" ht="24.75" customHeight="1">
      <c r="A84" s="1"/>
      <c r="B84" s="21" t="s">
        <v>24</v>
      </c>
      <c r="C84" s="29" t="s">
        <v>113</v>
      </c>
      <c r="D84" s="23">
        <v>1</v>
      </c>
      <c r="E84" s="24" t="s">
        <v>98</v>
      </c>
      <c r="F84" s="32"/>
      <c r="G84" s="32"/>
      <c r="H84" s="32"/>
      <c r="I84" s="32"/>
      <c r="J84" s="32"/>
      <c r="K84" s="32"/>
      <c r="L84" s="32"/>
      <c r="M84" s="32"/>
      <c r="N84" s="32"/>
      <c r="O84" s="32">
        <f t="shared" ref="O84:S84" si="113">725/1.18</f>
        <v>614.40677966101703</v>
      </c>
      <c r="P84" s="32">
        <f t="shared" si="113"/>
        <v>614.40677966101703</v>
      </c>
      <c r="Q84" s="32">
        <f t="shared" si="113"/>
        <v>614.40677966101703</v>
      </c>
      <c r="R84" s="32">
        <f t="shared" si="113"/>
        <v>614.40677966101703</v>
      </c>
      <c r="S84" s="32">
        <f t="shared" si="113"/>
        <v>614.40677966101703</v>
      </c>
      <c r="T84" s="32">
        <f>750/1.18</f>
        <v>635.59322033898309</v>
      </c>
      <c r="U84" s="32">
        <f>700/1.18</f>
        <v>593.22033898305085</v>
      </c>
      <c r="V84" s="32">
        <f t="shared" ref="V84:X84" si="114">750/1.18</f>
        <v>635.59322033898309</v>
      </c>
      <c r="W84" s="32">
        <f t="shared" si="114"/>
        <v>635.59322033898309</v>
      </c>
      <c r="X84" s="32">
        <f t="shared" si="114"/>
        <v>635.59322033898309</v>
      </c>
      <c r="Y84" s="32">
        <f t="shared" si="101"/>
        <v>630.59322033898309</v>
      </c>
      <c r="Z84" s="32"/>
      <c r="AA84" s="33" t="s">
        <v>99</v>
      </c>
      <c r="AB84" s="16" t="s">
        <v>75</v>
      </c>
      <c r="AC84" s="38" t="s">
        <v>96</v>
      </c>
    </row>
    <row r="85" spans="1:29" ht="24.75" customHeight="1">
      <c r="A85" s="1"/>
      <c r="B85" s="21" t="s">
        <v>27</v>
      </c>
      <c r="C85" s="29" t="s">
        <v>114</v>
      </c>
      <c r="D85" s="23">
        <v>1</v>
      </c>
      <c r="E85" s="24" t="s">
        <v>98</v>
      </c>
      <c r="F85" s="32"/>
      <c r="G85" s="32"/>
      <c r="H85" s="32"/>
      <c r="I85" s="32"/>
      <c r="J85" s="32"/>
      <c r="K85" s="32"/>
      <c r="L85" s="32"/>
      <c r="M85" s="32"/>
      <c r="N85" s="32"/>
      <c r="O85" s="32">
        <f t="shared" ref="O85:S85" si="115">1100/1.18</f>
        <v>932.20338983050851</v>
      </c>
      <c r="P85" s="32">
        <f t="shared" si="115"/>
        <v>932.20338983050851</v>
      </c>
      <c r="Q85" s="32">
        <f t="shared" si="115"/>
        <v>932.20338983050851</v>
      </c>
      <c r="R85" s="32">
        <f t="shared" si="115"/>
        <v>932.20338983050851</v>
      </c>
      <c r="S85" s="32">
        <f t="shared" si="115"/>
        <v>932.20338983050851</v>
      </c>
      <c r="T85" s="32">
        <f>1050/1.18</f>
        <v>889.83050847457628</v>
      </c>
      <c r="U85" s="32">
        <f>900/1.18</f>
        <v>762.71186440677968</v>
      </c>
      <c r="V85" s="32">
        <f t="shared" ref="V85:X85" si="116">1050/1.18</f>
        <v>889.83050847457628</v>
      </c>
      <c r="W85" s="32">
        <f t="shared" si="116"/>
        <v>889.83050847457628</v>
      </c>
      <c r="X85" s="32">
        <f t="shared" si="116"/>
        <v>889.83050847457628</v>
      </c>
      <c r="Y85" s="32">
        <f t="shared" si="101"/>
        <v>884.83050847457628</v>
      </c>
      <c r="Z85" s="32"/>
      <c r="AA85" s="33" t="s">
        <v>99</v>
      </c>
      <c r="AB85" s="16" t="s">
        <v>75</v>
      </c>
      <c r="AC85" s="38" t="s">
        <v>96</v>
      </c>
    </row>
    <row r="86" spans="1:29" ht="24.75" customHeight="1">
      <c r="A86" s="1"/>
      <c r="B86" s="21" t="s">
        <v>30</v>
      </c>
      <c r="C86" s="29" t="s">
        <v>115</v>
      </c>
      <c r="D86" s="23">
        <v>1</v>
      </c>
      <c r="E86" s="24" t="s">
        <v>98</v>
      </c>
      <c r="F86" s="32"/>
      <c r="G86" s="32"/>
      <c r="H86" s="32"/>
      <c r="I86" s="32"/>
      <c r="J86" s="32"/>
      <c r="K86" s="32"/>
      <c r="L86" s="32"/>
      <c r="M86" s="32"/>
      <c r="N86" s="32"/>
      <c r="O86" s="32">
        <f t="shared" ref="O86:S86" si="117">1300/1.18</f>
        <v>1101.6949152542375</v>
      </c>
      <c r="P86" s="32">
        <f t="shared" si="117"/>
        <v>1101.6949152542375</v>
      </c>
      <c r="Q86" s="32">
        <f t="shared" si="117"/>
        <v>1101.6949152542375</v>
      </c>
      <c r="R86" s="32">
        <f t="shared" si="117"/>
        <v>1101.6949152542375</v>
      </c>
      <c r="S86" s="32">
        <f t="shared" si="117"/>
        <v>1101.6949152542375</v>
      </c>
      <c r="T86" s="32">
        <f>1500/1.18</f>
        <v>1271.1864406779662</v>
      </c>
      <c r="U86" s="32">
        <f>1100/1.18</f>
        <v>932.20338983050851</v>
      </c>
      <c r="V86" s="32">
        <f t="shared" ref="V86:X86" si="118">1300/1.18</f>
        <v>1101.6949152542375</v>
      </c>
      <c r="W86" s="32">
        <f t="shared" si="118"/>
        <v>1101.6949152542375</v>
      </c>
      <c r="X86" s="32">
        <f t="shared" si="118"/>
        <v>1101.6949152542375</v>
      </c>
      <c r="Y86" s="32">
        <f t="shared" si="101"/>
        <v>1096.6949152542375</v>
      </c>
      <c r="Z86" s="32"/>
      <c r="AA86" s="33" t="s">
        <v>99</v>
      </c>
      <c r="AB86" s="16" t="s">
        <v>75</v>
      </c>
      <c r="AC86" s="38" t="s">
        <v>96</v>
      </c>
    </row>
    <row r="87" spans="1:29" ht="24.75" customHeight="1">
      <c r="A87" s="1"/>
      <c r="B87" s="21" t="s">
        <v>32</v>
      </c>
      <c r="C87" s="29" t="s">
        <v>119</v>
      </c>
      <c r="D87" s="23">
        <v>1</v>
      </c>
      <c r="E87" s="24" t="s">
        <v>98</v>
      </c>
      <c r="F87" s="32"/>
      <c r="G87" s="32"/>
      <c r="H87" s="32"/>
      <c r="I87" s="32"/>
      <c r="J87" s="32"/>
      <c r="K87" s="32"/>
      <c r="L87" s="32"/>
      <c r="M87" s="32"/>
      <c r="N87" s="32"/>
      <c r="O87" s="32">
        <f t="shared" ref="O87:S87" si="119">1850/1.18</f>
        <v>1567.7966101694917</v>
      </c>
      <c r="P87" s="32">
        <f t="shared" si="119"/>
        <v>1567.7966101694917</v>
      </c>
      <c r="Q87" s="32">
        <f t="shared" si="119"/>
        <v>1567.7966101694917</v>
      </c>
      <c r="R87" s="32">
        <f t="shared" si="119"/>
        <v>1567.7966101694917</v>
      </c>
      <c r="S87" s="32">
        <f t="shared" si="119"/>
        <v>1567.7966101694917</v>
      </c>
      <c r="T87" s="32">
        <f>1900/1.18</f>
        <v>1610.1694915254238</v>
      </c>
      <c r="U87" s="32">
        <f>2250/1.18</f>
        <v>1906.7796610169491</v>
      </c>
      <c r="V87" s="32">
        <f t="shared" ref="V87:X87" si="120">2000/1.18</f>
        <v>1694.9152542372883</v>
      </c>
      <c r="W87" s="32">
        <f t="shared" si="120"/>
        <v>1694.9152542372883</v>
      </c>
      <c r="X87" s="32">
        <f t="shared" si="120"/>
        <v>1694.9152542372883</v>
      </c>
      <c r="Y87" s="32">
        <f t="shared" si="101"/>
        <v>1689.9152542372883</v>
      </c>
      <c r="Z87" s="32"/>
      <c r="AA87" s="33" t="s">
        <v>99</v>
      </c>
      <c r="AB87" s="16" t="s">
        <v>75</v>
      </c>
      <c r="AC87" s="38" t="s">
        <v>96</v>
      </c>
    </row>
    <row r="88" spans="1:29" ht="24.75" customHeight="1">
      <c r="A88" s="1"/>
      <c r="B88" s="21" t="s">
        <v>35</v>
      </c>
      <c r="C88" s="29" t="s">
        <v>120</v>
      </c>
      <c r="D88" s="23">
        <v>1</v>
      </c>
      <c r="E88" s="24" t="s">
        <v>98</v>
      </c>
      <c r="F88" s="32"/>
      <c r="G88" s="32"/>
      <c r="H88" s="32"/>
      <c r="I88" s="32"/>
      <c r="J88" s="32"/>
      <c r="K88" s="32"/>
      <c r="L88" s="32"/>
      <c r="M88" s="32"/>
      <c r="N88" s="32"/>
      <c r="O88" s="32">
        <f t="shared" ref="O88:S88" si="121">2900/1.18</f>
        <v>2457.6271186440681</v>
      </c>
      <c r="P88" s="32">
        <f t="shared" si="121"/>
        <v>2457.6271186440681</v>
      </c>
      <c r="Q88" s="32">
        <f t="shared" si="121"/>
        <v>2457.6271186440681</v>
      </c>
      <c r="R88" s="32">
        <f t="shared" si="121"/>
        <v>2457.6271186440681</v>
      </c>
      <c r="S88" s="32">
        <f t="shared" si="121"/>
        <v>2457.6271186440681</v>
      </c>
      <c r="T88" s="32">
        <f>2300/1.18</f>
        <v>1949.1525423728815</v>
      </c>
      <c r="U88" s="32">
        <f t="shared" ref="U88:X88" si="122">2500/1.18</f>
        <v>2118.6440677966102</v>
      </c>
      <c r="V88" s="32">
        <f t="shared" si="122"/>
        <v>2118.6440677966102</v>
      </c>
      <c r="W88" s="32">
        <f t="shared" si="122"/>
        <v>2118.6440677966102</v>
      </c>
      <c r="X88" s="32">
        <f t="shared" si="122"/>
        <v>2118.6440677966102</v>
      </c>
      <c r="Y88" s="32">
        <f t="shared" si="101"/>
        <v>2113.6440677966102</v>
      </c>
      <c r="Z88" s="32"/>
      <c r="AA88" s="33" t="s">
        <v>99</v>
      </c>
      <c r="AB88" s="16" t="s">
        <v>75</v>
      </c>
      <c r="AC88" s="38" t="s">
        <v>96</v>
      </c>
    </row>
    <row r="89" spans="1:29" ht="24.75" customHeight="1">
      <c r="A89" s="1"/>
      <c r="B89" s="15"/>
      <c r="C89" s="16" t="s">
        <v>121</v>
      </c>
      <c r="D89" s="23"/>
      <c r="E89" s="24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3"/>
    </row>
    <row r="90" spans="1:29" ht="24.75" customHeight="1">
      <c r="A90" s="1"/>
      <c r="B90" s="15"/>
      <c r="C90" s="38" t="s">
        <v>122</v>
      </c>
      <c r="D90" s="23"/>
      <c r="E90" s="24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3"/>
    </row>
    <row r="91" spans="1:29" ht="24.75" customHeight="1">
      <c r="A91" s="1"/>
      <c r="B91" s="21" t="s">
        <v>8</v>
      </c>
      <c r="C91" s="29" t="s">
        <v>123</v>
      </c>
      <c r="D91" s="23">
        <v>1</v>
      </c>
      <c r="E91" s="24" t="s">
        <v>26</v>
      </c>
      <c r="F91" s="32"/>
      <c r="G91" s="32"/>
      <c r="H91" s="32"/>
      <c r="I91" s="32"/>
      <c r="J91" s="32">
        <v>280000</v>
      </c>
      <c r="K91" s="32"/>
      <c r="L91" s="32">
        <v>239796.42</v>
      </c>
      <c r="M91" s="32"/>
      <c r="N91" s="32">
        <v>245000</v>
      </c>
      <c r="O91" s="32">
        <v>240002.57</v>
      </c>
      <c r="P91" s="32">
        <v>240002.57</v>
      </c>
      <c r="Q91" s="32">
        <v>240002.57</v>
      </c>
      <c r="R91" s="32">
        <v>240002.57</v>
      </c>
      <c r="S91" s="32">
        <v>239000</v>
      </c>
      <c r="T91" s="32">
        <v>239000</v>
      </c>
      <c r="U91" s="32">
        <f t="shared" ref="U91:Y91" si="123">307000/1.18</f>
        <v>260169.49152542374</v>
      </c>
      <c r="V91" s="32">
        <f t="shared" si="123"/>
        <v>260169.49152542374</v>
      </c>
      <c r="W91" s="32">
        <f t="shared" si="123"/>
        <v>260169.49152542374</v>
      </c>
      <c r="X91" s="32">
        <f t="shared" si="123"/>
        <v>260169.49152542374</v>
      </c>
      <c r="Y91" s="32">
        <f t="shared" si="123"/>
        <v>260169.49152542374</v>
      </c>
      <c r="Z91" s="32"/>
      <c r="AA91" s="33" t="s">
        <v>124</v>
      </c>
      <c r="AB91" s="16" t="s">
        <v>121</v>
      </c>
      <c r="AC91" s="38" t="s">
        <v>122</v>
      </c>
    </row>
    <row r="92" spans="1:29" ht="24.75" customHeight="1">
      <c r="A92" s="1"/>
      <c r="B92" s="21" t="s">
        <v>11</v>
      </c>
      <c r="C92" s="29" t="s">
        <v>125</v>
      </c>
      <c r="D92" s="23">
        <v>1</v>
      </c>
      <c r="E92" s="24" t="s">
        <v>26</v>
      </c>
      <c r="F92" s="32"/>
      <c r="G92" s="32"/>
      <c r="H92" s="32"/>
      <c r="I92" s="32"/>
      <c r="J92" s="32">
        <v>280000</v>
      </c>
      <c r="K92" s="32"/>
      <c r="L92" s="32">
        <v>239796.42</v>
      </c>
      <c r="M92" s="32"/>
      <c r="N92" s="32">
        <v>245000</v>
      </c>
      <c r="O92" s="32">
        <v>240002.57</v>
      </c>
      <c r="P92" s="32">
        <v>240002.57</v>
      </c>
      <c r="Q92" s="32">
        <v>240002.57</v>
      </c>
      <c r="R92" s="32">
        <v>240002.57</v>
      </c>
      <c r="S92" s="32">
        <v>239000</v>
      </c>
      <c r="T92" s="32">
        <v>239000</v>
      </c>
      <c r="U92" s="32">
        <f t="shared" ref="U92:Y92" si="124">307000/1.18</f>
        <v>260169.49152542374</v>
      </c>
      <c r="V92" s="32">
        <f t="shared" si="124"/>
        <v>260169.49152542374</v>
      </c>
      <c r="W92" s="32">
        <f t="shared" si="124"/>
        <v>260169.49152542374</v>
      </c>
      <c r="X92" s="32">
        <f t="shared" si="124"/>
        <v>260169.49152542374</v>
      </c>
      <c r="Y92" s="32">
        <f t="shared" si="124"/>
        <v>260169.49152542374</v>
      </c>
      <c r="Z92" s="32"/>
      <c r="AA92" s="33" t="s">
        <v>124</v>
      </c>
      <c r="AB92" s="16" t="s">
        <v>121</v>
      </c>
      <c r="AC92" s="38" t="s">
        <v>122</v>
      </c>
    </row>
    <row r="93" spans="1:29" ht="24.75" customHeight="1">
      <c r="A93" s="1"/>
      <c r="B93" s="21" t="s">
        <v>13</v>
      </c>
      <c r="C93" s="29" t="s">
        <v>126</v>
      </c>
      <c r="D93" s="23">
        <v>1</v>
      </c>
      <c r="E93" s="24" t="s">
        <v>26</v>
      </c>
      <c r="F93" s="32"/>
      <c r="G93" s="32"/>
      <c r="H93" s="32"/>
      <c r="I93" s="32"/>
      <c r="J93" s="32">
        <v>280000</v>
      </c>
      <c r="K93" s="32"/>
      <c r="L93" s="32">
        <v>239796.42</v>
      </c>
      <c r="M93" s="32"/>
      <c r="N93" s="32">
        <v>245000</v>
      </c>
      <c r="O93" s="32">
        <v>240002.57</v>
      </c>
      <c r="P93" s="32">
        <v>240002.57</v>
      </c>
      <c r="Q93" s="32">
        <v>240002.57</v>
      </c>
      <c r="R93" s="32">
        <v>240002.57</v>
      </c>
      <c r="S93" s="32">
        <v>239000</v>
      </c>
      <c r="T93" s="32">
        <v>239000</v>
      </c>
      <c r="U93" s="32">
        <f t="shared" ref="U93:Y93" si="125">307000/1.18</f>
        <v>260169.49152542374</v>
      </c>
      <c r="V93" s="32">
        <f t="shared" si="125"/>
        <v>260169.49152542374</v>
      </c>
      <c r="W93" s="32">
        <f t="shared" si="125"/>
        <v>260169.49152542374</v>
      </c>
      <c r="X93" s="32">
        <f t="shared" si="125"/>
        <v>260169.49152542374</v>
      </c>
      <c r="Y93" s="32">
        <f t="shared" si="125"/>
        <v>260169.49152542374</v>
      </c>
      <c r="Z93" s="32"/>
      <c r="AA93" s="33" t="s">
        <v>124</v>
      </c>
      <c r="AB93" s="16" t="s">
        <v>121</v>
      </c>
      <c r="AC93" s="38" t="s">
        <v>122</v>
      </c>
    </row>
    <row r="94" spans="1:29" ht="24.75" customHeight="1">
      <c r="A94" s="1"/>
      <c r="B94" s="21" t="s">
        <v>15</v>
      </c>
      <c r="C94" s="29" t="s">
        <v>127</v>
      </c>
      <c r="D94" s="23">
        <v>1</v>
      </c>
      <c r="E94" s="24" t="s">
        <v>26</v>
      </c>
      <c r="F94" s="32"/>
      <c r="G94" s="32"/>
      <c r="H94" s="32"/>
      <c r="I94" s="32"/>
      <c r="J94" s="32">
        <v>280000</v>
      </c>
      <c r="K94" s="32"/>
      <c r="L94" s="32">
        <v>239796.42</v>
      </c>
      <c r="M94" s="32"/>
      <c r="N94" s="32">
        <v>245000</v>
      </c>
      <c r="O94" s="32">
        <v>240002.57</v>
      </c>
      <c r="P94" s="32">
        <v>240002.57</v>
      </c>
      <c r="Q94" s="32">
        <v>240002.57</v>
      </c>
      <c r="R94" s="32">
        <v>240002.57</v>
      </c>
      <c r="S94" s="32">
        <v>239000</v>
      </c>
      <c r="T94" s="32">
        <v>239000</v>
      </c>
      <c r="U94" s="32">
        <f t="shared" ref="U94:Y94" si="126">307000/1.18</f>
        <v>260169.49152542374</v>
      </c>
      <c r="V94" s="32">
        <f t="shared" si="126"/>
        <v>260169.49152542374</v>
      </c>
      <c r="W94" s="32">
        <f t="shared" si="126"/>
        <v>260169.49152542374</v>
      </c>
      <c r="X94" s="32">
        <f t="shared" si="126"/>
        <v>260169.49152542374</v>
      </c>
      <c r="Y94" s="32">
        <f t="shared" si="126"/>
        <v>260169.49152542374</v>
      </c>
      <c r="Z94" s="32"/>
      <c r="AA94" s="33" t="s">
        <v>124</v>
      </c>
      <c r="AB94" s="16" t="s">
        <v>121</v>
      </c>
      <c r="AC94" s="38" t="s">
        <v>122</v>
      </c>
    </row>
    <row r="95" spans="1:29" ht="24.75" customHeight="1">
      <c r="A95" s="1"/>
      <c r="B95" s="21" t="s">
        <v>18</v>
      </c>
      <c r="C95" s="29" t="s">
        <v>128</v>
      </c>
      <c r="D95" s="23">
        <v>1</v>
      </c>
      <c r="E95" s="24" t="s">
        <v>26</v>
      </c>
      <c r="F95" s="32"/>
      <c r="G95" s="32"/>
      <c r="H95" s="32"/>
      <c r="I95" s="32"/>
      <c r="J95" s="32">
        <v>280000</v>
      </c>
      <c r="K95" s="32"/>
      <c r="L95" s="32">
        <v>239796.42</v>
      </c>
      <c r="M95" s="32"/>
      <c r="N95" s="32">
        <v>245000</v>
      </c>
      <c r="O95" s="32">
        <v>240002.57</v>
      </c>
      <c r="P95" s="32">
        <v>240002.57</v>
      </c>
      <c r="Q95" s="32">
        <v>240002.57</v>
      </c>
      <c r="R95" s="32">
        <v>240002.57</v>
      </c>
      <c r="S95" s="32">
        <v>239000</v>
      </c>
      <c r="T95" s="32">
        <v>239000</v>
      </c>
      <c r="U95" s="32">
        <f t="shared" ref="U95:Y95" si="127">307000/1.18</f>
        <v>260169.49152542374</v>
      </c>
      <c r="V95" s="32">
        <f t="shared" si="127"/>
        <v>260169.49152542374</v>
      </c>
      <c r="W95" s="32">
        <f t="shared" si="127"/>
        <v>260169.49152542374</v>
      </c>
      <c r="X95" s="32">
        <f t="shared" si="127"/>
        <v>260169.49152542374</v>
      </c>
      <c r="Y95" s="32">
        <f t="shared" si="127"/>
        <v>260169.49152542374</v>
      </c>
      <c r="Z95" s="32"/>
      <c r="AA95" s="33" t="s">
        <v>124</v>
      </c>
      <c r="AB95" s="16" t="s">
        <v>121</v>
      </c>
      <c r="AC95" s="38" t="s">
        <v>122</v>
      </c>
    </row>
    <row r="96" spans="1:29" ht="24.75" customHeight="1">
      <c r="A96" s="1"/>
      <c r="B96" s="21" t="s">
        <v>20</v>
      </c>
      <c r="C96" s="29" t="s">
        <v>129</v>
      </c>
      <c r="D96" s="23">
        <v>1</v>
      </c>
      <c r="E96" s="24" t="s">
        <v>26</v>
      </c>
      <c r="F96" s="32"/>
      <c r="G96" s="32"/>
      <c r="H96" s="32"/>
      <c r="I96" s="32"/>
      <c r="J96" s="32">
        <v>280000</v>
      </c>
      <c r="K96" s="32"/>
      <c r="L96" s="32">
        <v>239796.42</v>
      </c>
      <c r="M96" s="32"/>
      <c r="N96" s="32">
        <v>245000</v>
      </c>
      <c r="O96" s="32">
        <v>240002.57</v>
      </c>
      <c r="P96" s="32">
        <v>240002.57</v>
      </c>
      <c r="Q96" s="32">
        <v>240002.57</v>
      </c>
      <c r="R96" s="32">
        <v>240002.57</v>
      </c>
      <c r="S96" s="32">
        <v>239000</v>
      </c>
      <c r="T96" s="32">
        <v>239000</v>
      </c>
      <c r="U96" s="32">
        <f t="shared" ref="U96:Y96" si="128">307000/1.18</f>
        <v>260169.49152542374</v>
      </c>
      <c r="V96" s="32">
        <f t="shared" si="128"/>
        <v>260169.49152542374</v>
      </c>
      <c r="W96" s="32">
        <f t="shared" si="128"/>
        <v>260169.49152542374</v>
      </c>
      <c r="X96" s="32">
        <f t="shared" si="128"/>
        <v>260169.49152542374</v>
      </c>
      <c r="Y96" s="32">
        <f t="shared" si="128"/>
        <v>260169.49152542374</v>
      </c>
      <c r="Z96" s="32"/>
      <c r="AA96" s="33" t="s">
        <v>130</v>
      </c>
      <c r="AB96" s="16" t="s">
        <v>121</v>
      </c>
      <c r="AC96" s="38" t="s">
        <v>122</v>
      </c>
    </row>
    <row r="97" spans="1:29" ht="24.75" customHeight="1">
      <c r="A97" s="1"/>
      <c r="B97" s="21"/>
      <c r="C97" s="38" t="s">
        <v>131</v>
      </c>
      <c r="D97" s="23"/>
      <c r="E97" s="24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3"/>
      <c r="AB97" s="16" t="s">
        <v>121</v>
      </c>
    </row>
    <row r="98" spans="1:29" ht="24.75" customHeight="1">
      <c r="A98" s="1"/>
      <c r="B98" s="21" t="s">
        <v>8</v>
      </c>
      <c r="C98" s="22" t="s">
        <v>132</v>
      </c>
      <c r="D98" s="23">
        <v>12</v>
      </c>
      <c r="E98" s="36" t="s">
        <v>133</v>
      </c>
      <c r="F98" s="32"/>
      <c r="G98" s="32"/>
      <c r="H98" s="32"/>
      <c r="I98" s="32"/>
      <c r="J98" s="32"/>
      <c r="K98" s="32"/>
      <c r="L98" s="32"/>
      <c r="M98" s="32"/>
      <c r="N98" s="32"/>
      <c r="O98" s="32">
        <f t="shared" ref="O98:P98" si="129">2100/1.18</f>
        <v>1779.6610169491526</v>
      </c>
      <c r="P98" s="32">
        <f t="shared" si="129"/>
        <v>1779.6610169491526</v>
      </c>
      <c r="Q98" s="32"/>
      <c r="R98" s="32"/>
      <c r="S98" s="32">
        <f t="shared" ref="S98:T98" si="130">1775/1.18</f>
        <v>1504.2372881355932</v>
      </c>
      <c r="T98" s="32">
        <f t="shared" si="130"/>
        <v>1504.2372881355932</v>
      </c>
      <c r="U98" s="32">
        <f t="shared" ref="U98:V98" si="131">1625/1.18</f>
        <v>1377.1186440677966</v>
      </c>
      <c r="V98" s="32">
        <f t="shared" si="131"/>
        <v>1377.1186440677966</v>
      </c>
      <c r="W98" s="32">
        <v>1440.6779661016949</v>
      </c>
      <c r="X98" s="32">
        <v>1440.6779661016949</v>
      </c>
      <c r="Y98" s="32"/>
      <c r="Z98" s="32"/>
      <c r="AA98" s="33" t="s">
        <v>134</v>
      </c>
      <c r="AB98" s="16" t="s">
        <v>121</v>
      </c>
      <c r="AC98" s="38" t="s">
        <v>131</v>
      </c>
    </row>
    <row r="99" spans="1:29" ht="24.75" customHeight="1">
      <c r="A99" s="1"/>
      <c r="B99" s="21" t="s">
        <v>11</v>
      </c>
      <c r="C99" s="22" t="s">
        <v>135</v>
      </c>
      <c r="D99" s="23">
        <v>12</v>
      </c>
      <c r="E99" s="36" t="s">
        <v>133</v>
      </c>
      <c r="F99" s="32"/>
      <c r="G99" s="32"/>
      <c r="H99" s="32"/>
      <c r="I99" s="32"/>
      <c r="J99" s="32"/>
      <c r="K99" s="32"/>
      <c r="L99" s="32"/>
      <c r="M99" s="32"/>
      <c r="N99" s="32"/>
      <c r="O99" s="32">
        <f t="shared" ref="O99:P99" si="132">3025/1.18</f>
        <v>2563.5593220338983</v>
      </c>
      <c r="P99" s="32">
        <f t="shared" si="132"/>
        <v>2563.5593220338983</v>
      </c>
      <c r="Q99" s="32"/>
      <c r="R99" s="32"/>
      <c r="S99" s="32">
        <f t="shared" ref="S99:T99" si="133">2600/1.18</f>
        <v>2203.3898305084749</v>
      </c>
      <c r="T99" s="32">
        <f t="shared" si="133"/>
        <v>2203.3898305084749</v>
      </c>
      <c r="U99" s="32">
        <f t="shared" ref="U99:V99" si="134">2500/1.18</f>
        <v>2118.6440677966102</v>
      </c>
      <c r="V99" s="32">
        <f t="shared" si="134"/>
        <v>2118.6440677966102</v>
      </c>
      <c r="W99" s="32">
        <v>2203.3898305084749</v>
      </c>
      <c r="X99" s="32">
        <v>2203.3898305084749</v>
      </c>
      <c r="Y99" s="32"/>
      <c r="Z99" s="32"/>
      <c r="AA99" s="33" t="s">
        <v>134</v>
      </c>
      <c r="AB99" s="16" t="s">
        <v>121</v>
      </c>
      <c r="AC99" s="38" t="s">
        <v>131</v>
      </c>
    </row>
    <row r="100" spans="1:29" ht="24.75" customHeight="1">
      <c r="A100" s="1"/>
      <c r="B100" s="21" t="s">
        <v>13</v>
      </c>
      <c r="C100" s="22" t="s">
        <v>136</v>
      </c>
      <c r="D100" s="23">
        <v>5</v>
      </c>
      <c r="E100" s="36" t="s">
        <v>133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>
        <f t="shared" ref="O100:P100" si="135">3025/1.18</f>
        <v>2563.5593220338983</v>
      </c>
      <c r="P100" s="32">
        <f t="shared" si="135"/>
        <v>2563.5593220338983</v>
      </c>
      <c r="Q100" s="32"/>
      <c r="R100" s="32"/>
      <c r="S100" s="32">
        <f t="shared" ref="S100:T100" si="136">850/1.18</f>
        <v>720.33898305084745</v>
      </c>
      <c r="T100" s="32">
        <f t="shared" si="136"/>
        <v>720.33898305084745</v>
      </c>
      <c r="U100" s="32">
        <f t="shared" ref="U100:V100" si="137">775/1.18</f>
        <v>656.77966101694915</v>
      </c>
      <c r="V100" s="32">
        <f t="shared" si="137"/>
        <v>656.77966101694915</v>
      </c>
      <c r="W100" s="32">
        <v>762.71186440677968</v>
      </c>
      <c r="X100" s="32">
        <v>762.71186440677968</v>
      </c>
      <c r="Y100" s="32"/>
      <c r="Z100" s="32"/>
      <c r="AA100" s="33" t="s">
        <v>134</v>
      </c>
      <c r="AB100" s="16" t="s">
        <v>121</v>
      </c>
      <c r="AC100" s="38" t="s">
        <v>131</v>
      </c>
    </row>
    <row r="101" spans="1:29" ht="24.75" customHeight="1">
      <c r="A101" s="1"/>
      <c r="B101" s="21" t="s">
        <v>15</v>
      </c>
      <c r="C101" s="22" t="s">
        <v>137</v>
      </c>
      <c r="D101" s="23">
        <v>4</v>
      </c>
      <c r="E101" s="36" t="s">
        <v>133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>
        <f t="shared" ref="O101:P101" si="138">2650/1.18</f>
        <v>2245.7627118644068</v>
      </c>
      <c r="P101" s="32">
        <f t="shared" si="138"/>
        <v>2245.7627118644068</v>
      </c>
      <c r="Q101" s="32"/>
      <c r="R101" s="32"/>
      <c r="S101" s="32">
        <f t="shared" ref="S101:T101" si="139">2300/1.18</f>
        <v>1949.1525423728815</v>
      </c>
      <c r="T101" s="32">
        <f t="shared" si="139"/>
        <v>1949.1525423728815</v>
      </c>
      <c r="U101" s="32">
        <f t="shared" ref="U101:V101" si="140">2200/1.18</f>
        <v>1864.406779661017</v>
      </c>
      <c r="V101" s="32">
        <f t="shared" si="140"/>
        <v>1864.406779661017</v>
      </c>
      <c r="W101" s="32">
        <v>1906.7796610169491</v>
      </c>
      <c r="X101" s="32">
        <v>1906.7796610169491</v>
      </c>
      <c r="Y101" s="32"/>
      <c r="Z101" s="32"/>
      <c r="AA101" s="33" t="s">
        <v>134</v>
      </c>
      <c r="AB101" s="16" t="s">
        <v>121</v>
      </c>
      <c r="AC101" s="38" t="s">
        <v>131</v>
      </c>
    </row>
    <row r="102" spans="1:29" ht="24.75" customHeight="1">
      <c r="A102" s="1"/>
      <c r="B102" s="21" t="s">
        <v>18</v>
      </c>
      <c r="C102" s="22" t="s">
        <v>138</v>
      </c>
      <c r="D102" s="23">
        <v>4</v>
      </c>
      <c r="E102" s="36" t="s">
        <v>133</v>
      </c>
      <c r="F102" s="32"/>
      <c r="G102" s="32"/>
      <c r="H102" s="32"/>
      <c r="I102" s="32"/>
      <c r="J102" s="32"/>
      <c r="K102" s="32"/>
      <c r="L102" s="32"/>
      <c r="M102" s="32"/>
      <c r="N102" s="32"/>
      <c r="O102" s="32">
        <f t="shared" ref="O102:P102" si="141">3670/1.18</f>
        <v>3110.1694915254238</v>
      </c>
      <c r="P102" s="32">
        <f t="shared" si="141"/>
        <v>3110.1694915254238</v>
      </c>
      <c r="Q102" s="32"/>
      <c r="R102" s="32"/>
      <c r="S102" s="32">
        <f t="shared" ref="S102:T102" si="142">3200/1.18</f>
        <v>2711.8644067796613</v>
      </c>
      <c r="T102" s="32">
        <f t="shared" si="142"/>
        <v>2711.8644067796613</v>
      </c>
      <c r="U102" s="32">
        <f t="shared" ref="U102:V102" si="143">3250/1.18</f>
        <v>2754.2372881355932</v>
      </c>
      <c r="V102" s="32">
        <f t="shared" si="143"/>
        <v>2754.2372881355932</v>
      </c>
      <c r="W102" s="32">
        <v>2669.4915254237289</v>
      </c>
      <c r="X102" s="32">
        <v>2669.4915254237289</v>
      </c>
      <c r="Y102" s="32"/>
      <c r="Z102" s="32"/>
      <c r="AA102" s="33" t="s">
        <v>134</v>
      </c>
      <c r="AB102" s="16" t="s">
        <v>121</v>
      </c>
      <c r="AC102" s="38" t="s">
        <v>131</v>
      </c>
    </row>
    <row r="103" spans="1:29" ht="24.75" customHeight="1">
      <c r="A103" s="1"/>
      <c r="B103" s="21" t="s">
        <v>20</v>
      </c>
      <c r="C103" s="22" t="s">
        <v>139</v>
      </c>
      <c r="D103" s="23">
        <v>4</v>
      </c>
      <c r="E103" s="36" t="s">
        <v>133</v>
      </c>
      <c r="F103" s="32"/>
      <c r="G103" s="32"/>
      <c r="H103" s="32"/>
      <c r="I103" s="32"/>
      <c r="J103" s="32"/>
      <c r="K103" s="32"/>
      <c r="L103" s="32"/>
      <c r="M103" s="32"/>
      <c r="N103" s="32"/>
      <c r="O103" s="32">
        <f t="shared" ref="O103:P103" si="144">4750/1.18</f>
        <v>4025.4237288135596</v>
      </c>
      <c r="P103" s="32">
        <f t="shared" si="144"/>
        <v>4025.4237288135596</v>
      </c>
      <c r="Q103" s="32"/>
      <c r="R103" s="32"/>
      <c r="S103" s="32">
        <f t="shared" ref="S103:T103" si="145">4000/1.18</f>
        <v>3389.8305084745766</v>
      </c>
      <c r="T103" s="32">
        <f t="shared" si="145"/>
        <v>3389.8305084745766</v>
      </c>
      <c r="U103" s="32">
        <f t="shared" ref="U103:V103" si="146">4710/1.18</f>
        <v>3991.5254237288136</v>
      </c>
      <c r="V103" s="32">
        <f t="shared" si="146"/>
        <v>3991.5254237288136</v>
      </c>
      <c r="W103" s="32">
        <v>3347.4576271186443</v>
      </c>
      <c r="X103" s="32">
        <v>3347.4576271186443</v>
      </c>
      <c r="Y103" s="32"/>
      <c r="Z103" s="32"/>
      <c r="AA103" s="33" t="s">
        <v>134</v>
      </c>
      <c r="AB103" s="16" t="s">
        <v>121</v>
      </c>
      <c r="AC103" s="38" t="s">
        <v>131</v>
      </c>
    </row>
    <row r="104" spans="1:29" ht="24.75" customHeight="1">
      <c r="A104" s="1"/>
      <c r="B104" s="21" t="s">
        <v>24</v>
      </c>
      <c r="C104" s="22" t="s">
        <v>140</v>
      </c>
      <c r="D104" s="23">
        <v>21</v>
      </c>
      <c r="E104" s="36" t="s">
        <v>133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>
        <f t="shared" ref="O104:P104" si="147">5500/1.18</f>
        <v>4661.016949152543</v>
      </c>
      <c r="P104" s="32">
        <f t="shared" si="147"/>
        <v>4661.016949152543</v>
      </c>
      <c r="Q104" s="32"/>
      <c r="R104" s="32"/>
      <c r="S104" s="32">
        <f t="shared" ref="S104:T104" si="148">4700/1.18</f>
        <v>3983.0508474576272</v>
      </c>
      <c r="T104" s="32">
        <f t="shared" si="148"/>
        <v>3983.0508474576272</v>
      </c>
      <c r="U104" s="32">
        <f t="shared" ref="U104:V104" si="149">5560/1.18</f>
        <v>4711.8644067796613</v>
      </c>
      <c r="V104" s="32">
        <f t="shared" si="149"/>
        <v>4711.8644067796613</v>
      </c>
      <c r="W104" s="32">
        <v>3898.305084745763</v>
      </c>
      <c r="X104" s="32">
        <v>3898.305084745763</v>
      </c>
      <c r="Y104" s="32"/>
      <c r="Z104" s="32"/>
      <c r="AA104" s="33" t="s">
        <v>134</v>
      </c>
      <c r="AB104" s="16" t="s">
        <v>121</v>
      </c>
      <c r="AC104" s="38" t="s">
        <v>131</v>
      </c>
    </row>
    <row r="105" spans="1:29" ht="24.75" customHeight="1">
      <c r="A105" s="1"/>
      <c r="B105" s="21" t="s">
        <v>27</v>
      </c>
      <c r="C105" s="22" t="s">
        <v>141</v>
      </c>
      <c r="D105" s="23">
        <v>9</v>
      </c>
      <c r="E105" s="36" t="s">
        <v>133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>
        <f t="shared" ref="O105:P105" si="150">5100/1.18</f>
        <v>4322.0338983050851</v>
      </c>
      <c r="P105" s="32">
        <f t="shared" si="150"/>
        <v>4322.0338983050851</v>
      </c>
      <c r="Q105" s="32"/>
      <c r="R105" s="32"/>
      <c r="S105" s="32">
        <f t="shared" ref="S105:T105" si="151">4330/1.18</f>
        <v>3669.4915254237289</v>
      </c>
      <c r="T105" s="32">
        <f t="shared" si="151"/>
        <v>3669.4915254237289</v>
      </c>
      <c r="U105" s="32">
        <f t="shared" ref="U105:V105" si="152">4140/1.18</f>
        <v>3508.4745762711868</v>
      </c>
      <c r="V105" s="32">
        <f t="shared" si="152"/>
        <v>3508.4745762711868</v>
      </c>
      <c r="W105" s="32">
        <v>3686.4406779661017</v>
      </c>
      <c r="X105" s="32">
        <v>3686.4406779661017</v>
      </c>
      <c r="Y105" s="32"/>
      <c r="Z105" s="32"/>
      <c r="AA105" s="33" t="s">
        <v>134</v>
      </c>
      <c r="AB105" s="16" t="s">
        <v>121</v>
      </c>
      <c r="AC105" s="38" t="s">
        <v>131</v>
      </c>
    </row>
    <row r="106" spans="1:29" ht="24.75" customHeight="1">
      <c r="A106" s="1"/>
      <c r="B106" s="21" t="s">
        <v>30</v>
      </c>
      <c r="C106" s="22" t="s">
        <v>142</v>
      </c>
      <c r="D106" s="23">
        <v>9</v>
      </c>
      <c r="E106" s="36" t="s">
        <v>133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>
        <f t="shared" ref="O106:P106" si="153">5100/1.18</f>
        <v>4322.0338983050851</v>
      </c>
      <c r="P106" s="32">
        <f t="shared" si="153"/>
        <v>4322.0338983050851</v>
      </c>
      <c r="Q106" s="32"/>
      <c r="R106" s="32"/>
      <c r="S106" s="32">
        <f t="shared" ref="S106:T106" si="154">5100/1.18</f>
        <v>4322.0338983050851</v>
      </c>
      <c r="T106" s="32">
        <f t="shared" si="154"/>
        <v>4322.0338983050851</v>
      </c>
      <c r="U106" s="32"/>
      <c r="V106" s="32"/>
      <c r="W106" s="32">
        <v>0</v>
      </c>
      <c r="X106" s="32">
        <v>0</v>
      </c>
      <c r="Y106" s="32"/>
      <c r="Z106" s="32"/>
      <c r="AA106" s="33" t="s">
        <v>134</v>
      </c>
      <c r="AB106" s="16" t="s">
        <v>121</v>
      </c>
      <c r="AC106" s="38" t="s">
        <v>131</v>
      </c>
    </row>
    <row r="107" spans="1:29" ht="24.75" customHeight="1">
      <c r="A107" s="1"/>
      <c r="B107" s="21" t="s">
        <v>32</v>
      </c>
      <c r="C107" s="22" t="s">
        <v>143</v>
      </c>
      <c r="D107" s="23">
        <v>9</v>
      </c>
      <c r="E107" s="36" t="s">
        <v>133</v>
      </c>
      <c r="F107" s="32"/>
      <c r="G107" s="32"/>
      <c r="H107" s="32"/>
      <c r="I107" s="32"/>
      <c r="J107" s="32"/>
      <c r="K107" s="32"/>
      <c r="L107" s="32"/>
      <c r="M107" s="32"/>
      <c r="N107" s="32"/>
      <c r="O107" s="32">
        <f t="shared" ref="O107:P107" si="155">7175/1.18</f>
        <v>6080.5084745762715</v>
      </c>
      <c r="P107" s="32">
        <f t="shared" si="155"/>
        <v>6080.5084745762715</v>
      </c>
      <c r="Q107" s="32"/>
      <c r="R107" s="32"/>
      <c r="S107" s="32">
        <f t="shared" ref="S107:T107" si="156">6100/1.18</f>
        <v>5169.4915254237294</v>
      </c>
      <c r="T107" s="32">
        <f t="shared" si="156"/>
        <v>5169.4915254237294</v>
      </c>
      <c r="U107" s="32">
        <f t="shared" ref="U107:V107" si="157">6040/1.18</f>
        <v>5118.6440677966102</v>
      </c>
      <c r="V107" s="32">
        <f t="shared" si="157"/>
        <v>5118.6440677966102</v>
      </c>
      <c r="W107" s="32">
        <v>5169.4915254237294</v>
      </c>
      <c r="X107" s="32">
        <v>5169.4915254237294</v>
      </c>
      <c r="Y107" s="32"/>
      <c r="Z107" s="32"/>
      <c r="AA107" s="33" t="s">
        <v>134</v>
      </c>
      <c r="AB107" s="16" t="s">
        <v>121</v>
      </c>
      <c r="AC107" s="38" t="s">
        <v>131</v>
      </c>
    </row>
    <row r="108" spans="1:29" ht="24.75" customHeight="1">
      <c r="A108" s="1"/>
      <c r="B108" s="21" t="s">
        <v>35</v>
      </c>
      <c r="C108" s="22" t="s">
        <v>144</v>
      </c>
      <c r="D108" s="23">
        <v>2</v>
      </c>
      <c r="E108" s="36" t="s">
        <v>133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>
        <f t="shared" ref="O108:P108" si="158">8700/1.18</f>
        <v>7372.8813559322034</v>
      </c>
      <c r="P108" s="32">
        <f t="shared" si="158"/>
        <v>7372.8813559322034</v>
      </c>
      <c r="Q108" s="32"/>
      <c r="R108" s="32"/>
      <c r="S108" s="32">
        <f t="shared" ref="S108:T108" si="159">6975/1.18</f>
        <v>5911.016949152543</v>
      </c>
      <c r="T108" s="32">
        <f t="shared" si="159"/>
        <v>5911.016949152543</v>
      </c>
      <c r="U108" s="32">
        <f t="shared" ref="U108:V108" si="160">6620/1.18</f>
        <v>5610.1694915254238</v>
      </c>
      <c r="V108" s="32">
        <f t="shared" si="160"/>
        <v>5610.1694915254238</v>
      </c>
      <c r="W108" s="32">
        <v>5889.8305084745762</v>
      </c>
      <c r="X108" s="32">
        <v>5889.8305084745762</v>
      </c>
      <c r="Y108" s="32"/>
      <c r="Z108" s="32"/>
      <c r="AA108" s="33" t="s">
        <v>134</v>
      </c>
      <c r="AB108" s="16" t="s">
        <v>121</v>
      </c>
      <c r="AC108" s="38" t="s">
        <v>131</v>
      </c>
    </row>
    <row r="109" spans="1:29" ht="24.75" customHeight="1">
      <c r="A109" s="1"/>
      <c r="B109" s="21" t="s">
        <v>37</v>
      </c>
      <c r="C109" s="22" t="s">
        <v>145</v>
      </c>
      <c r="D109" s="23">
        <v>2</v>
      </c>
      <c r="E109" s="36" t="s">
        <v>133</v>
      </c>
      <c r="F109" s="32"/>
      <c r="G109" s="32"/>
      <c r="H109" s="32"/>
      <c r="I109" s="32"/>
      <c r="J109" s="32"/>
      <c r="K109" s="32"/>
      <c r="L109" s="32"/>
      <c r="M109" s="32"/>
      <c r="N109" s="32"/>
      <c r="O109" s="32">
        <f t="shared" ref="O109:P109" si="161">10500/1.18</f>
        <v>8898.3050847457635</v>
      </c>
      <c r="P109" s="32">
        <f t="shared" si="161"/>
        <v>8898.3050847457635</v>
      </c>
      <c r="Q109" s="32"/>
      <c r="R109" s="32"/>
      <c r="S109" s="32">
        <f t="shared" ref="S109:T109" si="162">9000/1.18</f>
        <v>7627.1186440677966</v>
      </c>
      <c r="T109" s="32">
        <f t="shared" si="162"/>
        <v>7627.1186440677966</v>
      </c>
      <c r="U109" s="32">
        <f t="shared" ref="U109:V109" si="163">8850/1.18</f>
        <v>7500</v>
      </c>
      <c r="V109" s="32">
        <f t="shared" si="163"/>
        <v>7500</v>
      </c>
      <c r="W109" s="32">
        <v>7457.6271186440681</v>
      </c>
      <c r="X109" s="32">
        <v>7457.6271186440681</v>
      </c>
      <c r="Y109" s="32"/>
      <c r="Z109" s="32"/>
      <c r="AA109" s="33" t="s">
        <v>134</v>
      </c>
      <c r="AB109" s="16" t="s">
        <v>121</v>
      </c>
      <c r="AC109" s="38" t="s">
        <v>131</v>
      </c>
    </row>
    <row r="110" spans="1:29" ht="24.75" customHeight="1">
      <c r="A110" s="1"/>
      <c r="B110" s="21" t="s">
        <v>40</v>
      </c>
      <c r="C110" s="22" t="s">
        <v>146</v>
      </c>
      <c r="D110" s="23">
        <v>2</v>
      </c>
      <c r="E110" s="36" t="s">
        <v>133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>
        <f t="shared" ref="O110:P110" si="164">13500/1.18</f>
        <v>11440.677966101695</v>
      </c>
      <c r="P110" s="32">
        <f t="shared" si="164"/>
        <v>11440.677966101695</v>
      </c>
      <c r="Q110" s="32"/>
      <c r="R110" s="32"/>
      <c r="S110" s="32">
        <f t="shared" ref="S110:T110" si="165">11200/1.18</f>
        <v>9491.5254237288136</v>
      </c>
      <c r="T110" s="32">
        <f t="shared" si="165"/>
        <v>9491.5254237288136</v>
      </c>
      <c r="U110" s="32">
        <f t="shared" ref="U110:V110" si="166">11320/1.18</f>
        <v>9593.220338983052</v>
      </c>
      <c r="V110" s="32">
        <f t="shared" si="166"/>
        <v>9593.220338983052</v>
      </c>
      <c r="W110" s="32">
        <v>9406.7796610169498</v>
      </c>
      <c r="X110" s="32">
        <v>9406.7796610169498</v>
      </c>
      <c r="Y110" s="32"/>
      <c r="Z110" s="32"/>
      <c r="AA110" s="33" t="s">
        <v>134</v>
      </c>
      <c r="AB110" s="16" t="s">
        <v>121</v>
      </c>
      <c r="AC110" s="38" t="s">
        <v>131</v>
      </c>
    </row>
    <row r="111" spans="1:29" ht="24.75" customHeight="1">
      <c r="A111" s="1"/>
      <c r="B111" s="21"/>
      <c r="C111" s="38" t="s">
        <v>147</v>
      </c>
      <c r="D111" s="23"/>
      <c r="E111" s="24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>
        <v>0</v>
      </c>
      <c r="X111" s="32">
        <v>0</v>
      </c>
      <c r="Y111" s="32"/>
      <c r="Z111" s="32"/>
      <c r="AA111" s="33"/>
      <c r="AB111" s="16" t="s">
        <v>121</v>
      </c>
      <c r="AC111" s="43"/>
    </row>
    <row r="112" spans="1:29" ht="24.75" customHeight="1">
      <c r="A112" s="1"/>
      <c r="B112" s="21" t="s">
        <v>8</v>
      </c>
      <c r="C112" s="22" t="s">
        <v>148</v>
      </c>
      <c r="D112" s="23">
        <v>1</v>
      </c>
      <c r="E112" s="36" t="s">
        <v>133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>
        <f t="shared" ref="O112:P112" si="167">1050/1.18</f>
        <v>889.83050847457628</v>
      </c>
      <c r="P112" s="32">
        <f t="shared" si="167"/>
        <v>889.83050847457628</v>
      </c>
      <c r="Q112" s="32"/>
      <c r="R112" s="32"/>
      <c r="S112" s="32">
        <f t="shared" ref="S112:T112" si="168">900/1.18</f>
        <v>762.71186440677968</v>
      </c>
      <c r="T112" s="32">
        <f t="shared" si="168"/>
        <v>762.71186440677968</v>
      </c>
      <c r="U112" s="32">
        <f t="shared" ref="U112:V112" si="169">1200/1.18</f>
        <v>1016.949152542373</v>
      </c>
      <c r="V112" s="32">
        <f t="shared" si="169"/>
        <v>1016.949152542373</v>
      </c>
      <c r="W112" s="32">
        <v>960.16949152542372</v>
      </c>
      <c r="X112" s="32">
        <v>960.16949152542372</v>
      </c>
      <c r="Y112" s="32"/>
      <c r="Z112" s="32"/>
      <c r="AA112" s="33" t="s">
        <v>134</v>
      </c>
      <c r="AB112" s="16" t="s">
        <v>121</v>
      </c>
      <c r="AC112" s="38" t="s">
        <v>147</v>
      </c>
    </row>
    <row r="113" spans="1:29" ht="24.75" customHeight="1">
      <c r="A113" s="1"/>
      <c r="B113" s="21" t="s">
        <v>11</v>
      </c>
      <c r="C113" s="22" t="s">
        <v>149</v>
      </c>
      <c r="D113" s="23">
        <v>1</v>
      </c>
      <c r="E113" s="36" t="s">
        <v>133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>
        <f t="shared" ref="O113:P113" si="170">1875/1.18</f>
        <v>1588.9830508474577</v>
      </c>
      <c r="P113" s="32">
        <f t="shared" si="170"/>
        <v>1588.9830508474577</v>
      </c>
      <c r="Q113" s="32"/>
      <c r="R113" s="32"/>
      <c r="S113" s="32">
        <f t="shared" ref="S113:T113" si="171">1150/1.18</f>
        <v>974.57627118644075</v>
      </c>
      <c r="T113" s="32">
        <f t="shared" si="171"/>
        <v>974.57627118644075</v>
      </c>
      <c r="U113" s="32">
        <f t="shared" ref="U113:V113" si="172">1550/1.18</f>
        <v>1313.5593220338983</v>
      </c>
      <c r="V113" s="32">
        <f t="shared" si="172"/>
        <v>1313.5593220338983</v>
      </c>
      <c r="W113" s="32">
        <v>1250</v>
      </c>
      <c r="X113" s="32">
        <v>1250</v>
      </c>
      <c r="Y113" s="32"/>
      <c r="Z113" s="32"/>
      <c r="AA113" s="33" t="s">
        <v>134</v>
      </c>
      <c r="AB113" s="16" t="s">
        <v>121</v>
      </c>
      <c r="AC113" s="38" t="s">
        <v>147</v>
      </c>
    </row>
    <row r="114" spans="1:29" ht="24.75" customHeight="1">
      <c r="A114" s="1"/>
      <c r="B114" s="21" t="s">
        <v>13</v>
      </c>
      <c r="C114" s="22" t="s">
        <v>150</v>
      </c>
      <c r="D114" s="23">
        <v>1</v>
      </c>
      <c r="E114" s="36" t="s">
        <v>133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>
        <f t="shared" ref="O114:P114" si="173">2180/1.18</f>
        <v>1847.4576271186443</v>
      </c>
      <c r="P114" s="32">
        <f t="shared" si="173"/>
        <v>1847.4576271186443</v>
      </c>
      <c r="Q114" s="32"/>
      <c r="R114" s="32"/>
      <c r="S114" s="32">
        <f t="shared" ref="S114:T114" si="174">1500/1.18</f>
        <v>1271.1864406779662</v>
      </c>
      <c r="T114" s="32">
        <f t="shared" si="174"/>
        <v>1271.1864406779662</v>
      </c>
      <c r="U114" s="32">
        <f t="shared" ref="U114:V114" si="175">1800/1.18</f>
        <v>1525.4237288135594</v>
      </c>
      <c r="V114" s="32">
        <f t="shared" si="175"/>
        <v>1525.4237288135594</v>
      </c>
      <c r="W114" s="32">
        <v>1440.6779661016949</v>
      </c>
      <c r="X114" s="32">
        <v>1440.6779661016949</v>
      </c>
      <c r="Y114" s="32"/>
      <c r="Z114" s="32"/>
      <c r="AA114" s="33" t="s">
        <v>134</v>
      </c>
      <c r="AB114" s="16" t="s">
        <v>121</v>
      </c>
      <c r="AC114" s="38" t="s">
        <v>147</v>
      </c>
    </row>
    <row r="115" spans="1:29" ht="24.75" customHeight="1">
      <c r="A115" s="1"/>
      <c r="B115" s="21" t="s">
        <v>15</v>
      </c>
      <c r="C115" s="22" t="s">
        <v>151</v>
      </c>
      <c r="D115" s="23">
        <v>1</v>
      </c>
      <c r="E115" s="36" t="s">
        <v>133</v>
      </c>
      <c r="F115" s="32"/>
      <c r="G115" s="32"/>
      <c r="H115" s="32"/>
      <c r="I115" s="32"/>
      <c r="J115" s="32"/>
      <c r="K115" s="32"/>
      <c r="L115" s="32"/>
      <c r="M115" s="32"/>
      <c r="N115" s="32"/>
      <c r="O115" s="32">
        <f t="shared" ref="O115:P115" si="176">2475/1.18</f>
        <v>2097.4576271186443</v>
      </c>
      <c r="P115" s="32">
        <f t="shared" si="176"/>
        <v>2097.4576271186443</v>
      </c>
      <c r="Q115" s="32"/>
      <c r="R115" s="32"/>
      <c r="S115" s="32">
        <f t="shared" ref="S115:T115" si="177">2000/1.18</f>
        <v>1694.9152542372883</v>
      </c>
      <c r="T115" s="32">
        <f t="shared" si="177"/>
        <v>1694.9152542372883</v>
      </c>
      <c r="U115" s="32">
        <f t="shared" ref="U115:V115" si="178">2050/1.18</f>
        <v>1737.2881355932204</v>
      </c>
      <c r="V115" s="32">
        <f t="shared" si="178"/>
        <v>1737.2881355932204</v>
      </c>
      <c r="W115" s="32">
        <v>1661.0169491525426</v>
      </c>
      <c r="X115" s="32">
        <v>1661.0169491525426</v>
      </c>
      <c r="Y115" s="32"/>
      <c r="Z115" s="32"/>
      <c r="AA115" s="33" t="s">
        <v>134</v>
      </c>
      <c r="AB115" s="16" t="s">
        <v>121</v>
      </c>
      <c r="AC115" s="38" t="s">
        <v>147</v>
      </c>
    </row>
    <row r="116" spans="1:29" ht="24.75" customHeight="1">
      <c r="A116" s="1"/>
      <c r="B116" s="21" t="s">
        <v>18</v>
      </c>
      <c r="C116" s="22" t="s">
        <v>152</v>
      </c>
      <c r="D116" s="23">
        <v>1</v>
      </c>
      <c r="E116" s="36" t="s">
        <v>133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>
        <f t="shared" ref="O116:P116" si="179">3050/1.18</f>
        <v>2584.7457627118647</v>
      </c>
      <c r="P116" s="32">
        <f t="shared" si="179"/>
        <v>2584.7457627118647</v>
      </c>
      <c r="Q116" s="32"/>
      <c r="R116" s="32"/>
      <c r="S116" s="32">
        <f t="shared" ref="S116:T116" si="180">2300/1.18</f>
        <v>1949.1525423728815</v>
      </c>
      <c r="T116" s="32">
        <f t="shared" si="180"/>
        <v>1949.1525423728815</v>
      </c>
      <c r="U116" s="32">
        <f t="shared" ref="U116:V116" si="181">2510/1.18</f>
        <v>2127.1186440677966</v>
      </c>
      <c r="V116" s="32">
        <f t="shared" si="181"/>
        <v>2127.1186440677966</v>
      </c>
      <c r="W116" s="32">
        <v>2025.4237288135594</v>
      </c>
      <c r="X116" s="32">
        <v>2025.4237288135594</v>
      </c>
      <c r="Y116" s="32"/>
      <c r="Z116" s="32"/>
      <c r="AA116" s="33" t="s">
        <v>134</v>
      </c>
      <c r="AB116" s="16" t="s">
        <v>121</v>
      </c>
      <c r="AC116" s="38" t="s">
        <v>147</v>
      </c>
    </row>
    <row r="117" spans="1:29" ht="24.75" customHeight="1">
      <c r="A117" s="1"/>
      <c r="B117" s="21" t="s">
        <v>20</v>
      </c>
      <c r="C117" s="22" t="s">
        <v>153</v>
      </c>
      <c r="D117" s="23">
        <v>1</v>
      </c>
      <c r="E117" s="36" t="s">
        <v>133</v>
      </c>
      <c r="F117" s="32"/>
      <c r="G117" s="32"/>
      <c r="H117" s="32"/>
      <c r="I117" s="32"/>
      <c r="J117" s="32"/>
      <c r="K117" s="32"/>
      <c r="L117" s="32"/>
      <c r="M117" s="32"/>
      <c r="N117" s="32"/>
      <c r="O117" s="32">
        <f t="shared" ref="O117:P117" si="182">3750/1.18</f>
        <v>3177.9661016949153</v>
      </c>
      <c r="P117" s="32">
        <f t="shared" si="182"/>
        <v>3177.9661016949153</v>
      </c>
      <c r="Q117" s="32"/>
      <c r="R117" s="32"/>
      <c r="S117" s="32">
        <f t="shared" ref="S117:T117" si="183">3000/1.18</f>
        <v>2542.3728813559323</v>
      </c>
      <c r="T117" s="32">
        <f t="shared" si="183"/>
        <v>2542.3728813559323</v>
      </c>
      <c r="U117" s="32">
        <f t="shared" ref="U117:V117" si="184">3150/1.18</f>
        <v>2669.4915254237289</v>
      </c>
      <c r="V117" s="32">
        <f t="shared" si="184"/>
        <v>2669.4915254237289</v>
      </c>
      <c r="W117" s="32">
        <v>2542.3728813559323</v>
      </c>
      <c r="X117" s="32">
        <v>2542.3728813559323</v>
      </c>
      <c r="Y117" s="32"/>
      <c r="Z117" s="32"/>
      <c r="AA117" s="33" t="s">
        <v>134</v>
      </c>
      <c r="AB117" s="16" t="s">
        <v>121</v>
      </c>
      <c r="AC117" s="38" t="s">
        <v>147</v>
      </c>
    </row>
    <row r="118" spans="1:29" ht="24.75" customHeight="1">
      <c r="A118" s="1"/>
      <c r="B118" s="21" t="s">
        <v>24</v>
      </c>
      <c r="C118" s="22" t="s">
        <v>154</v>
      </c>
      <c r="D118" s="23">
        <v>1</v>
      </c>
      <c r="E118" s="36" t="s">
        <v>133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>
        <f t="shared" ref="O118:P118" si="185">4390/1.18</f>
        <v>3720.3389830508477</v>
      </c>
      <c r="P118" s="32">
        <f t="shared" si="185"/>
        <v>3720.3389830508477</v>
      </c>
      <c r="Q118" s="32"/>
      <c r="R118" s="32"/>
      <c r="S118" s="32">
        <f t="shared" ref="S118:T118" si="186">3700/1.18</f>
        <v>3135.5932203389834</v>
      </c>
      <c r="T118" s="32">
        <f t="shared" si="186"/>
        <v>3135.5932203389834</v>
      </c>
      <c r="U118" s="32">
        <f t="shared" ref="U118:V118" si="187">3625/1.18</f>
        <v>3072.0338983050851</v>
      </c>
      <c r="V118" s="32">
        <f t="shared" si="187"/>
        <v>3072.0338983050851</v>
      </c>
      <c r="W118" s="32">
        <v>2966.1016949152545</v>
      </c>
      <c r="X118" s="32">
        <v>2966.1016949152545</v>
      </c>
      <c r="Y118" s="32"/>
      <c r="Z118" s="32"/>
      <c r="AA118" s="33" t="s">
        <v>134</v>
      </c>
      <c r="AB118" s="16" t="s">
        <v>121</v>
      </c>
      <c r="AC118" s="38" t="s">
        <v>147</v>
      </c>
    </row>
    <row r="119" spans="1:29" ht="24.75" customHeight="1">
      <c r="A119" s="1"/>
      <c r="B119" s="21" t="s">
        <v>27</v>
      </c>
      <c r="C119" s="22" t="s">
        <v>155</v>
      </c>
      <c r="D119" s="23">
        <v>1</v>
      </c>
      <c r="E119" s="36" t="s">
        <v>133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>
        <f t="shared" ref="O119:P119" si="188">5025/1.18</f>
        <v>4258.4745762711864</v>
      </c>
      <c r="P119" s="32">
        <f t="shared" si="188"/>
        <v>4258.4745762711864</v>
      </c>
      <c r="Q119" s="32"/>
      <c r="R119" s="32"/>
      <c r="S119" s="32">
        <f t="shared" ref="S119:T119" si="189">4300/1.18</f>
        <v>3644.0677966101698</v>
      </c>
      <c r="T119" s="32">
        <f t="shared" si="189"/>
        <v>3644.0677966101698</v>
      </c>
      <c r="U119" s="32">
        <f t="shared" ref="U119:V119" si="190">4220/1.18</f>
        <v>3576.2711864406783</v>
      </c>
      <c r="V119" s="32">
        <f t="shared" si="190"/>
        <v>3576.2711864406783</v>
      </c>
      <c r="W119" s="32">
        <v>3474.5762711864409</v>
      </c>
      <c r="X119" s="32">
        <v>3474.5762711864409</v>
      </c>
      <c r="Y119" s="32"/>
      <c r="Z119" s="32"/>
      <c r="AA119" s="33" t="s">
        <v>134</v>
      </c>
      <c r="AB119" s="16" t="s">
        <v>121</v>
      </c>
      <c r="AC119" s="38" t="s">
        <v>147</v>
      </c>
    </row>
    <row r="120" spans="1:29" ht="24.75" customHeight="1">
      <c r="A120" s="1"/>
      <c r="B120" s="21" t="s">
        <v>30</v>
      </c>
      <c r="C120" s="22" t="s">
        <v>156</v>
      </c>
      <c r="D120" s="23">
        <v>1</v>
      </c>
      <c r="E120" s="36" t="s">
        <v>133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>
        <f t="shared" ref="O120:P120" si="191">6225/1.18</f>
        <v>5275.42372881356</v>
      </c>
      <c r="P120" s="32">
        <f t="shared" si="191"/>
        <v>5275.42372881356</v>
      </c>
      <c r="Q120" s="32"/>
      <c r="R120" s="32"/>
      <c r="S120" s="32">
        <f t="shared" ref="S120:T120" si="192">5300/1.18</f>
        <v>4491.5254237288136</v>
      </c>
      <c r="T120" s="32">
        <f t="shared" si="192"/>
        <v>4491.5254237288136</v>
      </c>
      <c r="U120" s="32">
        <f t="shared" ref="U120:V120" si="193">5230/1.18</f>
        <v>4432.203389830509</v>
      </c>
      <c r="V120" s="32">
        <f t="shared" si="193"/>
        <v>4432.203389830509</v>
      </c>
      <c r="W120" s="32">
        <v>4237.2881355932204</v>
      </c>
      <c r="X120" s="32">
        <v>4237.2881355932204</v>
      </c>
      <c r="Y120" s="32"/>
      <c r="Z120" s="32"/>
      <c r="AA120" s="33" t="s">
        <v>134</v>
      </c>
      <c r="AB120" s="16" t="s">
        <v>121</v>
      </c>
      <c r="AC120" s="38" t="s">
        <v>147</v>
      </c>
    </row>
    <row r="121" spans="1:29" ht="24.75" customHeight="1">
      <c r="A121" s="1"/>
      <c r="B121" s="21" t="s">
        <v>32</v>
      </c>
      <c r="C121" s="22" t="s">
        <v>157</v>
      </c>
      <c r="D121" s="23">
        <v>1</v>
      </c>
      <c r="E121" s="36" t="s">
        <v>133</v>
      </c>
      <c r="F121" s="32"/>
      <c r="G121" s="32"/>
      <c r="H121" s="32"/>
      <c r="I121" s="32"/>
      <c r="J121" s="32"/>
      <c r="K121" s="32"/>
      <c r="L121" s="32"/>
      <c r="M121" s="32"/>
      <c r="N121" s="32"/>
      <c r="O121" s="32">
        <f t="shared" ref="O121:P121" si="194">2850/1.18</f>
        <v>2415.2542372881358</v>
      </c>
      <c r="P121" s="32">
        <f t="shared" si="194"/>
        <v>2415.2542372881358</v>
      </c>
      <c r="Q121" s="32"/>
      <c r="R121" s="32"/>
      <c r="S121" s="32">
        <f t="shared" ref="S121:T121" si="195">2100/1.18</f>
        <v>1779.6610169491526</v>
      </c>
      <c r="T121" s="32">
        <f t="shared" si="195"/>
        <v>1779.6610169491526</v>
      </c>
      <c r="U121" s="32">
        <f t="shared" ref="U121:V121" si="196">2360/1.18</f>
        <v>2000</v>
      </c>
      <c r="V121" s="32">
        <f t="shared" si="196"/>
        <v>2000</v>
      </c>
      <c r="W121" s="32">
        <v>1927.9661016949153</v>
      </c>
      <c r="X121" s="32">
        <v>1927.9661016949153</v>
      </c>
      <c r="Y121" s="32"/>
      <c r="Z121" s="32"/>
      <c r="AA121" s="33" t="s">
        <v>134</v>
      </c>
      <c r="AB121" s="16" t="s">
        <v>121</v>
      </c>
      <c r="AC121" s="38" t="s">
        <v>147</v>
      </c>
    </row>
    <row r="122" spans="1:29" ht="24.75" customHeight="1">
      <c r="A122" s="1"/>
      <c r="B122" s="21" t="s">
        <v>35</v>
      </c>
      <c r="C122" s="22" t="s">
        <v>158</v>
      </c>
      <c r="D122" s="23">
        <v>1</v>
      </c>
      <c r="E122" s="36" t="s">
        <v>133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>
        <f t="shared" ref="O122:P122" si="197">3300/1.18</f>
        <v>2796.6101694915255</v>
      </c>
      <c r="P122" s="32">
        <f t="shared" si="197"/>
        <v>2796.6101694915255</v>
      </c>
      <c r="Q122" s="32"/>
      <c r="R122" s="32"/>
      <c r="S122" s="32">
        <f t="shared" ref="S122:T122" si="198">2700/1.18</f>
        <v>2288.1355932203392</v>
      </c>
      <c r="T122" s="32">
        <f t="shared" si="198"/>
        <v>2288.1355932203392</v>
      </c>
      <c r="U122" s="32">
        <f t="shared" ref="U122:V122" si="199">2730/1.18</f>
        <v>2313.5593220338983</v>
      </c>
      <c r="V122" s="32">
        <f t="shared" si="199"/>
        <v>2313.5593220338983</v>
      </c>
      <c r="W122" s="32">
        <v>2245.7627118644068</v>
      </c>
      <c r="X122" s="32">
        <v>2245.7627118644068</v>
      </c>
      <c r="Y122" s="32"/>
      <c r="Z122" s="32"/>
      <c r="AA122" s="33" t="s">
        <v>134</v>
      </c>
      <c r="AB122" s="16" t="s">
        <v>121</v>
      </c>
      <c r="AC122" s="38" t="s">
        <v>147</v>
      </c>
    </row>
    <row r="123" spans="1:29" ht="24.75" customHeight="1">
      <c r="A123" s="1"/>
      <c r="B123" s="21" t="s">
        <v>37</v>
      </c>
      <c r="C123" s="22" t="s">
        <v>159</v>
      </c>
      <c r="D123" s="23">
        <v>1</v>
      </c>
      <c r="E123" s="36" t="s">
        <v>133</v>
      </c>
      <c r="F123" s="32"/>
      <c r="G123" s="32"/>
      <c r="H123" s="32"/>
      <c r="I123" s="32"/>
      <c r="J123" s="32"/>
      <c r="K123" s="32"/>
      <c r="L123" s="32"/>
      <c r="M123" s="32"/>
      <c r="N123" s="32"/>
      <c r="O123" s="32">
        <f t="shared" ref="O123:P123" si="200">3750/1.18</f>
        <v>3177.9661016949153</v>
      </c>
      <c r="P123" s="32">
        <f t="shared" si="200"/>
        <v>3177.9661016949153</v>
      </c>
      <c r="Q123" s="32"/>
      <c r="R123" s="32"/>
      <c r="S123" s="32">
        <f t="shared" ref="S123:T123" si="201">3000/1.18</f>
        <v>2542.3728813559323</v>
      </c>
      <c r="T123" s="32">
        <f t="shared" si="201"/>
        <v>2542.3728813559323</v>
      </c>
      <c r="U123" s="32">
        <f t="shared" ref="U123:V123" si="202">3100/1.18</f>
        <v>2627.1186440677966</v>
      </c>
      <c r="V123" s="32">
        <f t="shared" si="202"/>
        <v>2627.1186440677966</v>
      </c>
      <c r="W123" s="32">
        <v>2597.4576271186443</v>
      </c>
      <c r="X123" s="32">
        <v>2597.4576271186443</v>
      </c>
      <c r="Y123" s="32"/>
      <c r="Z123" s="32"/>
      <c r="AA123" s="33" t="s">
        <v>134</v>
      </c>
      <c r="AB123" s="16" t="s">
        <v>121</v>
      </c>
      <c r="AC123" s="38" t="s">
        <v>147</v>
      </c>
    </row>
    <row r="124" spans="1:29" ht="24.75" customHeight="1">
      <c r="A124" s="1"/>
      <c r="B124" s="21" t="s">
        <v>40</v>
      </c>
      <c r="C124" s="22" t="s">
        <v>160</v>
      </c>
      <c r="D124" s="23">
        <v>1</v>
      </c>
      <c r="E124" s="36" t="s">
        <v>133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>
        <f t="shared" ref="O124:P124" si="203">4690/1.18</f>
        <v>3974.5762711864409</v>
      </c>
      <c r="P124" s="32">
        <f t="shared" si="203"/>
        <v>3974.5762711864409</v>
      </c>
      <c r="Q124" s="32"/>
      <c r="R124" s="32"/>
      <c r="S124" s="32">
        <f t="shared" ref="S124:T124" si="204">3800/1.18</f>
        <v>3220.3389830508477</v>
      </c>
      <c r="T124" s="32">
        <f t="shared" si="204"/>
        <v>3220.3389830508477</v>
      </c>
      <c r="U124" s="32">
        <f t="shared" ref="U124:V124" si="205">3875/1.18</f>
        <v>3283.898305084746</v>
      </c>
      <c r="V124" s="32">
        <f t="shared" si="205"/>
        <v>3283.898305084746</v>
      </c>
      <c r="W124" s="32">
        <v>8771.1864406779659</v>
      </c>
      <c r="X124" s="32">
        <v>8771.1864406779659</v>
      </c>
      <c r="Y124" s="32"/>
      <c r="Z124" s="32"/>
      <c r="AA124" s="33" t="s">
        <v>134</v>
      </c>
      <c r="AB124" s="16" t="s">
        <v>121</v>
      </c>
      <c r="AC124" s="38" t="s">
        <v>147</v>
      </c>
    </row>
    <row r="125" spans="1:29" ht="24.75" customHeight="1">
      <c r="A125" s="1"/>
      <c r="B125" s="21" t="s">
        <v>67</v>
      </c>
      <c r="C125" s="22" t="s">
        <v>161</v>
      </c>
      <c r="D125" s="23">
        <v>1</v>
      </c>
      <c r="E125" s="36" t="s">
        <v>133</v>
      </c>
      <c r="F125" s="32"/>
      <c r="G125" s="32"/>
      <c r="H125" s="32"/>
      <c r="I125" s="32"/>
      <c r="J125" s="32"/>
      <c r="K125" s="32"/>
      <c r="L125" s="32"/>
      <c r="M125" s="32"/>
      <c r="N125" s="32"/>
      <c r="O125" s="32">
        <f t="shared" ref="O125:P125" si="206">14750/1.18</f>
        <v>12500</v>
      </c>
      <c r="P125" s="32">
        <f t="shared" si="206"/>
        <v>12500</v>
      </c>
      <c r="Q125" s="32"/>
      <c r="R125" s="32"/>
      <c r="S125" s="32">
        <f t="shared" ref="S125:T125" si="207">11000/1.18</f>
        <v>9322.033898305086</v>
      </c>
      <c r="T125" s="32">
        <f t="shared" si="207"/>
        <v>9322.033898305086</v>
      </c>
      <c r="U125" s="32">
        <f t="shared" ref="U125:V125" si="208">8925/1.18</f>
        <v>7563.5593220338988</v>
      </c>
      <c r="V125" s="32">
        <f t="shared" si="208"/>
        <v>7563.5593220338988</v>
      </c>
      <c r="W125" s="32">
        <v>6483.0508474576272</v>
      </c>
      <c r="X125" s="32">
        <v>6483.0508474576272</v>
      </c>
      <c r="Y125" s="32"/>
      <c r="Z125" s="32"/>
      <c r="AA125" s="33" t="s">
        <v>134</v>
      </c>
      <c r="AB125" s="16" t="s">
        <v>121</v>
      </c>
      <c r="AC125" s="38" t="s">
        <v>147</v>
      </c>
    </row>
    <row r="126" spans="1:29" ht="24.75" customHeight="1">
      <c r="A126" s="1"/>
      <c r="B126" s="21" t="s">
        <v>71</v>
      </c>
      <c r="C126" s="22" t="s">
        <v>162</v>
      </c>
      <c r="D126" s="23">
        <v>1</v>
      </c>
      <c r="E126" s="36" t="s">
        <v>133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>
        <f t="shared" ref="O126:P126" si="209">9500/1.18</f>
        <v>8050.8474576271192</v>
      </c>
      <c r="P126" s="32">
        <f t="shared" si="209"/>
        <v>8050.8474576271192</v>
      </c>
      <c r="Q126" s="32"/>
      <c r="R126" s="32"/>
      <c r="S126" s="32">
        <f t="shared" ref="S126:T126" si="210">8700/1.18</f>
        <v>7372.8813559322034</v>
      </c>
      <c r="T126" s="32">
        <f t="shared" si="210"/>
        <v>7372.8813559322034</v>
      </c>
      <c r="U126" s="32">
        <f t="shared" ref="U126:V126" si="211">7960/1.18</f>
        <v>6745.7627118644068</v>
      </c>
      <c r="V126" s="32">
        <f t="shared" si="211"/>
        <v>6745.7627118644068</v>
      </c>
      <c r="W126" s="32">
        <v>6440.6779661016953</v>
      </c>
      <c r="X126" s="32">
        <v>6440.6779661016953</v>
      </c>
      <c r="Y126" s="32"/>
      <c r="Z126" s="32"/>
      <c r="AA126" s="33" t="s">
        <v>134</v>
      </c>
      <c r="AB126" s="16" t="s">
        <v>121</v>
      </c>
      <c r="AC126" s="38" t="s">
        <v>147</v>
      </c>
    </row>
    <row r="127" spans="1:29" ht="24.75" customHeight="1">
      <c r="A127" s="1"/>
      <c r="B127" s="21" t="s">
        <v>73</v>
      </c>
      <c r="C127" s="22" t="s">
        <v>163</v>
      </c>
      <c r="D127" s="23">
        <v>1</v>
      </c>
      <c r="E127" s="36" t="s">
        <v>133</v>
      </c>
      <c r="F127" s="32"/>
      <c r="G127" s="32"/>
      <c r="H127" s="32"/>
      <c r="I127" s="32"/>
      <c r="J127" s="32"/>
      <c r="K127" s="32"/>
      <c r="L127" s="32"/>
      <c r="M127" s="32"/>
      <c r="N127" s="32"/>
      <c r="O127" s="32">
        <f t="shared" ref="O127:P127" si="212">9500/1.18</f>
        <v>8050.8474576271192</v>
      </c>
      <c r="P127" s="32">
        <f t="shared" si="212"/>
        <v>8050.8474576271192</v>
      </c>
      <c r="Q127" s="32"/>
      <c r="R127" s="32"/>
      <c r="S127" s="32">
        <f t="shared" ref="S127:T127" si="213">17500/1.18</f>
        <v>14830.508474576272</v>
      </c>
      <c r="T127" s="32">
        <f t="shared" si="213"/>
        <v>14830.508474576272</v>
      </c>
      <c r="U127" s="32">
        <f t="shared" ref="U127:V127" si="214">7975/1.18</f>
        <v>6758.4745762711864</v>
      </c>
      <c r="V127" s="32">
        <f t="shared" si="214"/>
        <v>6758.4745762711864</v>
      </c>
      <c r="W127" s="32">
        <v>6440.6779661016953</v>
      </c>
      <c r="X127" s="32">
        <v>6440.6779661016953</v>
      </c>
      <c r="Y127" s="32"/>
      <c r="Z127" s="32"/>
      <c r="AA127" s="33" t="s">
        <v>134</v>
      </c>
      <c r="AB127" s="16" t="s">
        <v>121</v>
      </c>
      <c r="AC127" s="38" t="s">
        <v>147</v>
      </c>
    </row>
    <row r="128" spans="1:29" ht="24.75" customHeight="1">
      <c r="A128" s="1"/>
      <c r="B128" s="21" t="s">
        <v>164</v>
      </c>
      <c r="C128" s="22" t="s">
        <v>165</v>
      </c>
      <c r="D128" s="23">
        <v>1</v>
      </c>
      <c r="E128" s="36" t="s">
        <v>133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>
        <f t="shared" ref="O128:P128" si="215">14000/1.18</f>
        <v>11864.406779661018</v>
      </c>
      <c r="P128" s="32">
        <f t="shared" si="215"/>
        <v>11864.406779661018</v>
      </c>
      <c r="Q128" s="32"/>
      <c r="R128" s="32"/>
      <c r="S128" s="32">
        <f t="shared" ref="S128:T128" si="216">26000/1.18</f>
        <v>22033.898305084746</v>
      </c>
      <c r="T128" s="32">
        <f t="shared" si="216"/>
        <v>22033.898305084746</v>
      </c>
      <c r="U128" s="32">
        <f t="shared" ref="U128:V128" si="217">11725/1.18</f>
        <v>9936.4406779661022</v>
      </c>
      <c r="V128" s="32">
        <f t="shared" si="217"/>
        <v>9936.4406779661022</v>
      </c>
      <c r="W128" s="32">
        <v>9661.016949152543</v>
      </c>
      <c r="X128" s="32">
        <v>9661.016949152543</v>
      </c>
      <c r="Y128" s="32"/>
      <c r="Z128" s="32"/>
      <c r="AA128" s="33" t="s">
        <v>134</v>
      </c>
      <c r="AB128" s="16" t="s">
        <v>121</v>
      </c>
      <c r="AC128" s="38" t="s">
        <v>147</v>
      </c>
    </row>
    <row r="129" spans="1:29" ht="24.75" customHeight="1">
      <c r="A129" s="1"/>
      <c r="B129" s="21"/>
      <c r="C129" s="38" t="s">
        <v>166</v>
      </c>
      <c r="D129" s="23"/>
      <c r="E129" s="24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3"/>
      <c r="AB129" s="16" t="s">
        <v>121</v>
      </c>
    </row>
    <row r="130" spans="1:29" ht="24.75" customHeight="1">
      <c r="A130" s="1"/>
      <c r="B130" s="21" t="s">
        <v>8</v>
      </c>
      <c r="C130" s="22" t="s">
        <v>167</v>
      </c>
      <c r="D130" s="23">
        <v>1</v>
      </c>
      <c r="E130" s="36" t="s">
        <v>133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>
        <f t="shared" ref="P130:Q130" si="218">1831.5/1.18</f>
        <v>1552.1186440677966</v>
      </c>
      <c r="Q130" s="32">
        <f t="shared" si="218"/>
        <v>1552.1186440677966</v>
      </c>
      <c r="R130" s="32"/>
      <c r="S130" s="32">
        <f t="shared" ref="S130:T130" si="219">1950/1.18</f>
        <v>1652.542372881356</v>
      </c>
      <c r="T130" s="32">
        <f t="shared" si="219"/>
        <v>1652.542372881356</v>
      </c>
      <c r="U130" s="32">
        <f>2800/1.18</f>
        <v>2372.8813559322034</v>
      </c>
      <c r="V130" s="32">
        <f t="shared" ref="V130:X130" si="220">2250/1.18</f>
        <v>1906.7796610169491</v>
      </c>
      <c r="W130" s="32">
        <f t="shared" si="220"/>
        <v>1906.7796610169491</v>
      </c>
      <c r="X130" s="32">
        <f t="shared" si="220"/>
        <v>1906.7796610169491</v>
      </c>
      <c r="Y130" s="32"/>
      <c r="Z130" s="32"/>
      <c r="AA130" s="33" t="s">
        <v>168</v>
      </c>
      <c r="AB130" s="16" t="s">
        <v>121</v>
      </c>
      <c r="AC130" s="38" t="s">
        <v>166</v>
      </c>
    </row>
    <row r="131" spans="1:29" ht="24.75" customHeight="1">
      <c r="A131" s="1"/>
      <c r="B131" s="21" t="s">
        <v>13</v>
      </c>
      <c r="C131" s="22" t="s">
        <v>169</v>
      </c>
      <c r="D131" s="23">
        <v>1</v>
      </c>
      <c r="E131" s="36" t="s">
        <v>133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>
        <f t="shared" ref="P131:Q131" si="221">3600/1.18</f>
        <v>3050.8474576271187</v>
      </c>
      <c r="Q131" s="32">
        <f t="shared" si="221"/>
        <v>3050.8474576271187</v>
      </c>
      <c r="R131" s="32"/>
      <c r="S131" s="32">
        <f t="shared" ref="S131:T131" si="222">3150/1.18</f>
        <v>2669.4915254237289</v>
      </c>
      <c r="T131" s="32">
        <f t="shared" si="222"/>
        <v>2669.4915254237289</v>
      </c>
      <c r="U131" s="32">
        <f>3430/1.18</f>
        <v>2906.7796610169494</v>
      </c>
      <c r="V131" s="32">
        <f t="shared" ref="V131:X131" si="223">3650/1.18</f>
        <v>3093.2203389830511</v>
      </c>
      <c r="W131" s="32">
        <f t="shared" si="223"/>
        <v>3093.2203389830511</v>
      </c>
      <c r="X131" s="32">
        <f t="shared" si="223"/>
        <v>3093.2203389830511</v>
      </c>
      <c r="Y131" s="32"/>
      <c r="Z131" s="32"/>
      <c r="AA131" s="33" t="s">
        <v>168</v>
      </c>
      <c r="AB131" s="16" t="s">
        <v>121</v>
      </c>
      <c r="AC131" s="38" t="s">
        <v>166</v>
      </c>
    </row>
    <row r="132" spans="1:29" ht="24.75" customHeight="1">
      <c r="A132" s="1"/>
      <c r="B132" s="21" t="s">
        <v>15</v>
      </c>
      <c r="C132" s="22" t="s">
        <v>170</v>
      </c>
      <c r="D132" s="23">
        <v>1</v>
      </c>
      <c r="E132" s="36" t="s">
        <v>133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>
        <f t="shared" ref="P132:Q132" si="224">4800/1.18</f>
        <v>4067.7966101694919</v>
      </c>
      <c r="Q132" s="32">
        <f t="shared" si="224"/>
        <v>4067.7966101694919</v>
      </c>
      <c r="R132" s="32"/>
      <c r="S132" s="32">
        <f t="shared" ref="S132:T132" si="225">3600/1.18</f>
        <v>3050.8474576271187</v>
      </c>
      <c r="T132" s="32">
        <f t="shared" si="225"/>
        <v>3050.8474576271187</v>
      </c>
      <c r="U132" s="32"/>
      <c r="V132" s="32">
        <f t="shared" ref="V132:X132" si="226">5450/1.18</f>
        <v>4618.6440677966102</v>
      </c>
      <c r="W132" s="32">
        <f t="shared" si="226"/>
        <v>4618.6440677966102</v>
      </c>
      <c r="X132" s="32">
        <f t="shared" si="226"/>
        <v>4618.6440677966102</v>
      </c>
      <c r="Y132" s="32"/>
      <c r="Z132" s="32"/>
      <c r="AA132" s="33" t="s">
        <v>168</v>
      </c>
      <c r="AB132" s="16" t="s">
        <v>121</v>
      </c>
      <c r="AC132" s="38" t="s">
        <v>166</v>
      </c>
    </row>
    <row r="133" spans="1:29" ht="24.75" customHeight="1">
      <c r="A133" s="1"/>
      <c r="B133" s="21" t="s">
        <v>18</v>
      </c>
      <c r="C133" s="22" t="s">
        <v>171</v>
      </c>
      <c r="D133" s="23">
        <v>1</v>
      </c>
      <c r="E133" s="36" t="s">
        <v>133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>
        <f t="shared" ref="P133:Q133" si="227">6000/1.18</f>
        <v>5084.7457627118647</v>
      </c>
      <c r="Q133" s="32">
        <f t="shared" si="227"/>
        <v>5084.7457627118647</v>
      </c>
      <c r="R133" s="32"/>
      <c r="S133" s="32">
        <f t="shared" ref="S133:T133" si="228">3900/1.18</f>
        <v>3305.0847457627119</v>
      </c>
      <c r="T133" s="32">
        <f t="shared" si="228"/>
        <v>3305.0847457627119</v>
      </c>
      <c r="U133" s="32"/>
      <c r="V133" s="32">
        <f t="shared" ref="V133:X133" si="229">4500/1.18</f>
        <v>3813.5593220338983</v>
      </c>
      <c r="W133" s="32">
        <f t="shared" si="229"/>
        <v>3813.5593220338983</v>
      </c>
      <c r="X133" s="32">
        <f t="shared" si="229"/>
        <v>3813.5593220338983</v>
      </c>
      <c r="Y133" s="32"/>
      <c r="Z133" s="32"/>
      <c r="AA133" s="33" t="s">
        <v>168</v>
      </c>
      <c r="AB133" s="16" t="s">
        <v>121</v>
      </c>
      <c r="AC133" s="38" t="s">
        <v>166</v>
      </c>
    </row>
    <row r="134" spans="1:29" ht="24.75" customHeight="1">
      <c r="A134" s="1"/>
      <c r="B134" s="21" t="s">
        <v>20</v>
      </c>
      <c r="C134" s="22" t="s">
        <v>172</v>
      </c>
      <c r="D134" s="23">
        <v>1</v>
      </c>
      <c r="E134" s="36" t="s">
        <v>133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>
        <f t="shared" ref="P134:Q134" si="230">6930/1.18</f>
        <v>5872.8813559322034</v>
      </c>
      <c r="Q134" s="32">
        <f t="shared" si="230"/>
        <v>5872.8813559322034</v>
      </c>
      <c r="R134" s="32"/>
      <c r="S134" s="32">
        <f t="shared" ref="S134:T134" si="231">6450/1.18</f>
        <v>5466.1016949152545</v>
      </c>
      <c r="T134" s="32">
        <f t="shared" si="231"/>
        <v>5466.1016949152545</v>
      </c>
      <c r="U134" s="32">
        <f>7000/1.18</f>
        <v>5932.203389830509</v>
      </c>
      <c r="V134" s="32">
        <f>9000/1.18</f>
        <v>7627.1186440677966</v>
      </c>
      <c r="W134" s="32">
        <f t="shared" ref="W134:X134" si="232">5750/1.18</f>
        <v>4872.8813559322034</v>
      </c>
      <c r="X134" s="32">
        <f t="shared" si="232"/>
        <v>4872.8813559322034</v>
      </c>
      <c r="Y134" s="32"/>
      <c r="Z134" s="32"/>
      <c r="AA134" s="33" t="s">
        <v>168</v>
      </c>
      <c r="AB134" s="16" t="s">
        <v>121</v>
      </c>
      <c r="AC134" s="38" t="s">
        <v>166</v>
      </c>
    </row>
    <row r="135" spans="1:29" ht="24.75" customHeight="1">
      <c r="A135" s="1"/>
      <c r="B135" s="21" t="s">
        <v>24</v>
      </c>
      <c r="C135" s="22" t="s">
        <v>173</v>
      </c>
      <c r="D135" s="23">
        <v>1</v>
      </c>
      <c r="E135" s="36" t="s">
        <v>133</v>
      </c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>
        <f t="shared" ref="P135:Q135" si="233">9509/1.18</f>
        <v>8058.4745762711873</v>
      </c>
      <c r="Q135" s="32">
        <f t="shared" si="233"/>
        <v>8058.4745762711873</v>
      </c>
      <c r="R135" s="32"/>
      <c r="S135" s="32">
        <f t="shared" ref="S135:T135" si="234">16500/1.18</f>
        <v>13983.050847457627</v>
      </c>
      <c r="T135" s="32">
        <f t="shared" si="234"/>
        <v>13983.050847457627</v>
      </c>
      <c r="U135" s="32"/>
      <c r="V135" s="32">
        <f t="shared" ref="V135:X135" si="235">13000/1.18</f>
        <v>11016.949152542373</v>
      </c>
      <c r="W135" s="32">
        <f t="shared" si="235"/>
        <v>11016.949152542373</v>
      </c>
      <c r="X135" s="32">
        <f t="shared" si="235"/>
        <v>11016.949152542373</v>
      </c>
      <c r="Y135" s="32"/>
      <c r="Z135" s="32"/>
      <c r="AA135" s="33" t="s">
        <v>168</v>
      </c>
      <c r="AB135" s="16" t="s">
        <v>121</v>
      </c>
      <c r="AC135" s="38" t="s">
        <v>166</v>
      </c>
    </row>
    <row r="136" spans="1:29" ht="24.75" customHeight="1">
      <c r="A136" s="1"/>
      <c r="B136" s="21"/>
      <c r="C136" s="38" t="s">
        <v>174</v>
      </c>
      <c r="D136" s="23"/>
      <c r="E136" s="36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3"/>
      <c r="AB136" s="16" t="s">
        <v>121</v>
      </c>
    </row>
    <row r="137" spans="1:29" ht="24.75" customHeight="1">
      <c r="A137" s="1"/>
      <c r="B137" s="21" t="s">
        <v>8</v>
      </c>
      <c r="C137" s="29" t="s">
        <v>175</v>
      </c>
      <c r="D137" s="23">
        <v>1</v>
      </c>
      <c r="E137" s="24" t="s">
        <v>176</v>
      </c>
      <c r="F137" s="32"/>
      <c r="G137" s="32"/>
      <c r="H137" s="32"/>
      <c r="I137" s="32"/>
      <c r="J137" s="32">
        <v>1854</v>
      </c>
      <c r="K137" s="32"/>
      <c r="L137" s="32"/>
      <c r="M137" s="32"/>
      <c r="N137" s="32"/>
      <c r="O137" s="32"/>
      <c r="P137" s="32"/>
      <c r="Q137" s="32"/>
      <c r="R137" s="32"/>
      <c r="S137" s="32">
        <f t="shared" ref="S137:T137" si="236">325/1.18</f>
        <v>275.42372881355936</v>
      </c>
      <c r="T137" s="32">
        <f t="shared" si="236"/>
        <v>275.42372881355936</v>
      </c>
      <c r="U137" s="40">
        <f>306/1.18</f>
        <v>259.32203389830511</v>
      </c>
      <c r="V137" s="32">
        <f t="shared" ref="V137:X137" si="237">350/1.18</f>
        <v>296.61016949152543</v>
      </c>
      <c r="W137" s="32">
        <f t="shared" si="237"/>
        <v>296.61016949152543</v>
      </c>
      <c r="X137" s="32">
        <f t="shared" si="237"/>
        <v>296.61016949152543</v>
      </c>
      <c r="Y137" s="32"/>
      <c r="Z137" s="32"/>
      <c r="AA137" s="33"/>
      <c r="AB137" s="16" t="s">
        <v>121</v>
      </c>
      <c r="AC137" s="38" t="s">
        <v>174</v>
      </c>
    </row>
    <row r="138" spans="1:29" ht="24.75" customHeight="1">
      <c r="A138" s="1"/>
      <c r="B138" s="21" t="s">
        <v>11</v>
      </c>
      <c r="C138" s="29" t="s">
        <v>177</v>
      </c>
      <c r="D138" s="23">
        <v>1</v>
      </c>
      <c r="E138" s="24" t="s">
        <v>176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>
        <f t="shared" ref="S138:T138" si="238">425/1.18</f>
        <v>360.16949152542372</v>
      </c>
      <c r="T138" s="32">
        <f t="shared" si="238"/>
        <v>360.16949152542372</v>
      </c>
      <c r="U138" s="40">
        <f>400/1.18</f>
        <v>338.98305084745766</v>
      </c>
      <c r="V138" s="32">
        <f t="shared" ref="V138:X138" si="239">420/1.18</f>
        <v>355.93220338983053</v>
      </c>
      <c r="W138" s="32">
        <f t="shared" si="239"/>
        <v>355.93220338983053</v>
      </c>
      <c r="X138" s="32">
        <f t="shared" si="239"/>
        <v>355.93220338983053</v>
      </c>
      <c r="Y138" s="32"/>
      <c r="Z138" s="32"/>
      <c r="AA138" s="33"/>
      <c r="AB138" s="16" t="s">
        <v>121</v>
      </c>
      <c r="AC138" s="38" t="s">
        <v>174</v>
      </c>
    </row>
    <row r="139" spans="1:29" ht="24.75" customHeight="1">
      <c r="A139" s="1"/>
      <c r="B139" s="21" t="s">
        <v>13</v>
      </c>
      <c r="C139" s="29" t="s">
        <v>178</v>
      </c>
      <c r="D139" s="23">
        <v>1</v>
      </c>
      <c r="E139" s="24" t="s">
        <v>176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>
        <f t="shared" ref="S139:T139" si="240">550/1.18</f>
        <v>466.10169491525426</v>
      </c>
      <c r="T139" s="32">
        <f t="shared" si="240"/>
        <v>466.10169491525426</v>
      </c>
      <c r="U139" s="40">
        <f>490/1.18</f>
        <v>415.25423728813564</v>
      </c>
      <c r="V139" s="32">
        <f t="shared" ref="V139:X139" si="241">700/1.18</f>
        <v>593.22033898305085</v>
      </c>
      <c r="W139" s="32">
        <f t="shared" si="241"/>
        <v>593.22033898305085</v>
      </c>
      <c r="X139" s="32">
        <f t="shared" si="241"/>
        <v>593.22033898305085</v>
      </c>
      <c r="Y139" s="32"/>
      <c r="Z139" s="32"/>
      <c r="AA139" s="33"/>
      <c r="AB139" s="16" t="s">
        <v>121</v>
      </c>
      <c r="AC139" s="38" t="s">
        <v>174</v>
      </c>
    </row>
    <row r="140" spans="1:29" ht="24.75" customHeight="1">
      <c r="A140" s="1"/>
      <c r="B140" s="21" t="s">
        <v>15</v>
      </c>
      <c r="C140" s="29" t="s">
        <v>179</v>
      </c>
      <c r="D140" s="23">
        <v>1</v>
      </c>
      <c r="E140" s="24" t="s">
        <v>176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>
        <f t="shared" ref="S140:T140" si="242">565/1.18</f>
        <v>478.81355932203394</v>
      </c>
      <c r="T140" s="32">
        <f t="shared" si="242"/>
        <v>478.81355932203394</v>
      </c>
      <c r="U140" s="40">
        <f>600/1.18</f>
        <v>508.47457627118649</v>
      </c>
      <c r="V140" s="32">
        <f t="shared" ref="V140:X140" si="243">450/1.18</f>
        <v>381.35593220338984</v>
      </c>
      <c r="W140" s="32">
        <f t="shared" si="243"/>
        <v>381.35593220338984</v>
      </c>
      <c r="X140" s="32">
        <f t="shared" si="243"/>
        <v>381.35593220338984</v>
      </c>
      <c r="Y140" s="32"/>
      <c r="Z140" s="32"/>
      <c r="AA140" s="33"/>
      <c r="AB140" s="16" t="s">
        <v>121</v>
      </c>
      <c r="AC140" s="38" t="s">
        <v>174</v>
      </c>
    </row>
    <row r="141" spans="1:29" ht="24.75" customHeight="1">
      <c r="A141" s="1"/>
      <c r="B141" s="21"/>
      <c r="C141" s="38" t="s">
        <v>180</v>
      </c>
      <c r="D141" s="23"/>
      <c r="E141" s="24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3"/>
      <c r="AB141" s="16" t="s">
        <v>121</v>
      </c>
    </row>
    <row r="142" spans="1:29" ht="24.75" customHeight="1">
      <c r="A142" s="1"/>
      <c r="B142" s="21" t="s">
        <v>8</v>
      </c>
      <c r="C142" s="22" t="s">
        <v>181</v>
      </c>
      <c r="D142" s="23">
        <v>1</v>
      </c>
      <c r="E142" s="36" t="s">
        <v>133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>
        <f t="shared" ref="S142:T142" si="244">24000/1.18</f>
        <v>20338.983050847459</v>
      </c>
      <c r="T142" s="32">
        <f t="shared" si="244"/>
        <v>20338.983050847459</v>
      </c>
      <c r="U142" s="32">
        <f t="shared" ref="U142:V142" si="245">14500/1.18</f>
        <v>12288.135593220341</v>
      </c>
      <c r="V142" s="32">
        <f t="shared" si="245"/>
        <v>12288.135593220341</v>
      </c>
      <c r="W142" s="32"/>
      <c r="X142" s="32"/>
      <c r="Y142" s="32"/>
      <c r="Z142" s="32"/>
      <c r="AA142" s="33"/>
      <c r="AB142" s="16" t="s">
        <v>121</v>
      </c>
      <c r="AC142" s="38" t="s">
        <v>180</v>
      </c>
    </row>
    <row r="143" spans="1:29" ht="24.75" customHeight="1">
      <c r="A143" s="1"/>
      <c r="B143" s="21" t="s">
        <v>11</v>
      </c>
      <c r="C143" s="29" t="s">
        <v>182</v>
      </c>
      <c r="D143" s="23">
        <v>1</v>
      </c>
      <c r="E143" s="24" t="s">
        <v>26</v>
      </c>
      <c r="F143" s="32"/>
      <c r="G143" s="32"/>
      <c r="H143" s="32"/>
      <c r="I143" s="32"/>
      <c r="J143" s="32">
        <v>325000</v>
      </c>
      <c r="K143" s="32"/>
      <c r="L143" s="32"/>
      <c r="M143" s="32"/>
      <c r="N143" s="32">
        <v>310000</v>
      </c>
      <c r="O143" s="32">
        <v>310000</v>
      </c>
      <c r="P143" s="32">
        <v>310000</v>
      </c>
      <c r="Q143" s="32"/>
      <c r="R143" s="32"/>
      <c r="S143" s="32"/>
      <c r="T143" s="32"/>
      <c r="U143" s="32"/>
      <c r="V143" s="32">
        <f>295000/1.18</f>
        <v>250000</v>
      </c>
      <c r="W143" s="32"/>
      <c r="X143" s="32"/>
      <c r="Y143" s="32"/>
      <c r="Z143" s="32"/>
      <c r="AA143" s="33"/>
      <c r="AB143" s="16" t="s">
        <v>121</v>
      </c>
      <c r="AC143" s="38" t="s">
        <v>180</v>
      </c>
    </row>
    <row r="144" spans="1:29" ht="24.75" customHeight="1">
      <c r="A144" s="1"/>
      <c r="B144" s="15"/>
      <c r="C144" s="16" t="s">
        <v>183</v>
      </c>
      <c r="D144" s="23"/>
      <c r="E144" s="24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3"/>
    </row>
    <row r="145" spans="1:28" ht="24.75" customHeight="1">
      <c r="A145" s="1"/>
      <c r="B145" s="21" t="s">
        <v>8</v>
      </c>
      <c r="C145" s="29" t="s">
        <v>184</v>
      </c>
      <c r="D145" s="23">
        <v>1</v>
      </c>
      <c r="E145" s="24" t="s">
        <v>29</v>
      </c>
      <c r="F145" s="32"/>
      <c r="G145" s="32"/>
      <c r="H145" s="32"/>
      <c r="I145" s="32"/>
      <c r="J145" s="32">
        <v>450</v>
      </c>
      <c r="K145" s="32"/>
      <c r="L145" s="32"/>
      <c r="M145" s="32"/>
      <c r="N145" s="32">
        <v>450</v>
      </c>
      <c r="O145" s="32">
        <v>450</v>
      </c>
      <c r="P145" s="32">
        <v>450</v>
      </c>
      <c r="Q145" s="32">
        <v>450</v>
      </c>
      <c r="R145" s="32"/>
      <c r="S145" s="32">
        <v>450</v>
      </c>
      <c r="T145" s="32">
        <v>450</v>
      </c>
      <c r="U145" s="40">
        <v>450</v>
      </c>
      <c r="V145" s="32">
        <f>450/1.18</f>
        <v>381.35593220338984</v>
      </c>
      <c r="W145" s="32">
        <f t="shared" ref="W145:X145" si="246">480/1.18</f>
        <v>406.77966101694915</v>
      </c>
      <c r="X145" s="32">
        <f t="shared" si="246"/>
        <v>406.77966101694915</v>
      </c>
      <c r="Y145" s="32">
        <f>450/1.18</f>
        <v>381.35593220338984</v>
      </c>
      <c r="Z145" s="32"/>
      <c r="AA145" s="33"/>
      <c r="AB145" s="16" t="s">
        <v>183</v>
      </c>
    </row>
    <row r="146" spans="1:28" ht="24.75" customHeight="1">
      <c r="A146" s="1"/>
      <c r="B146" s="21" t="s">
        <v>11</v>
      </c>
      <c r="C146" s="29" t="s">
        <v>185</v>
      </c>
      <c r="D146" s="23">
        <v>1</v>
      </c>
      <c r="E146" s="24" t="s">
        <v>89</v>
      </c>
      <c r="F146" s="32"/>
      <c r="G146" s="32"/>
      <c r="H146" s="32"/>
      <c r="I146" s="32"/>
      <c r="J146" s="32"/>
      <c r="K146" s="32"/>
      <c r="L146" s="32"/>
      <c r="M146" s="32"/>
      <c r="N146" s="32">
        <v>225</v>
      </c>
      <c r="O146" s="32"/>
      <c r="P146" s="32"/>
      <c r="Q146" s="32"/>
      <c r="R146" s="32"/>
      <c r="S146" s="32">
        <v>300</v>
      </c>
      <c r="T146" s="32">
        <v>300</v>
      </c>
      <c r="U146" s="40">
        <v>300</v>
      </c>
      <c r="V146" s="32">
        <f>475/1.18</f>
        <v>402.54237288135596</v>
      </c>
      <c r="W146" s="32">
        <f t="shared" ref="W146:X146" si="247">650/1.18</f>
        <v>550.84745762711873</v>
      </c>
      <c r="X146" s="32">
        <f t="shared" si="247"/>
        <v>550.84745762711873</v>
      </c>
      <c r="Y146" s="32">
        <f>550/1.18</f>
        <v>466.10169491525426</v>
      </c>
      <c r="Z146" s="32"/>
      <c r="AA146" s="33"/>
      <c r="AB146" s="16" t="s">
        <v>183</v>
      </c>
    </row>
    <row r="147" spans="1:28" ht="24.75" customHeight="1">
      <c r="A147" s="1"/>
      <c r="B147" s="21" t="s">
        <v>13</v>
      </c>
      <c r="C147" s="29" t="s">
        <v>186</v>
      </c>
      <c r="D147" s="23">
        <v>1</v>
      </c>
      <c r="E147" s="24" t="s">
        <v>29</v>
      </c>
      <c r="F147" s="32"/>
      <c r="G147" s="32"/>
      <c r="H147" s="32"/>
      <c r="I147" s="32"/>
      <c r="J147" s="32">
        <v>350</v>
      </c>
      <c r="K147" s="32"/>
      <c r="L147" s="32"/>
      <c r="M147" s="32"/>
      <c r="N147" s="32">
        <v>600</v>
      </c>
      <c r="O147" s="32">
        <f t="shared" ref="O147:P147" si="248">760/1.18</f>
        <v>644.06779661016958</v>
      </c>
      <c r="P147" s="32">
        <f t="shared" si="248"/>
        <v>644.06779661016958</v>
      </c>
      <c r="Q147" s="32"/>
      <c r="R147" s="32"/>
      <c r="S147" s="32">
        <v>450</v>
      </c>
      <c r="T147" s="32">
        <v>450</v>
      </c>
      <c r="U147" s="32">
        <v>450</v>
      </c>
      <c r="V147" s="32">
        <f t="shared" ref="V147:X147" si="249">450/1.18</f>
        <v>381.35593220338984</v>
      </c>
      <c r="W147" s="32">
        <f t="shared" si="249"/>
        <v>381.35593220338984</v>
      </c>
      <c r="X147" s="32">
        <f t="shared" si="249"/>
        <v>381.35593220338984</v>
      </c>
      <c r="Y147" s="32">
        <f>450/1.18</f>
        <v>381.35593220338984</v>
      </c>
      <c r="Z147" s="32"/>
      <c r="AA147" s="33"/>
      <c r="AB147" s="16" t="s">
        <v>183</v>
      </c>
    </row>
    <row r="148" spans="1:28" ht="24.75" customHeight="1">
      <c r="A148" s="1"/>
      <c r="B148" s="21" t="s">
        <v>15</v>
      </c>
      <c r="C148" s="29" t="s">
        <v>187</v>
      </c>
      <c r="D148" s="35">
        <v>100</v>
      </c>
      <c r="E148" s="36" t="s">
        <v>52</v>
      </c>
      <c r="F148" s="32"/>
      <c r="G148" s="32"/>
      <c r="H148" s="32"/>
      <c r="I148" s="32"/>
      <c r="J148" s="32"/>
      <c r="K148" s="32"/>
      <c r="L148" s="32"/>
      <c r="M148" s="32"/>
      <c r="N148" s="32">
        <v>250</v>
      </c>
      <c r="O148" s="32">
        <v>250</v>
      </c>
      <c r="P148" s="32">
        <v>250</v>
      </c>
      <c r="Q148" s="32"/>
      <c r="R148" s="32"/>
      <c r="S148" s="32">
        <v>300</v>
      </c>
      <c r="T148" s="32">
        <v>300</v>
      </c>
      <c r="U148" s="32">
        <v>300</v>
      </c>
      <c r="V148" s="32">
        <f t="shared" ref="V148:X148" si="250">100/1.18</f>
        <v>84.745762711864415</v>
      </c>
      <c r="W148" s="32">
        <f t="shared" si="250"/>
        <v>84.745762711864415</v>
      </c>
      <c r="X148" s="32">
        <f t="shared" si="250"/>
        <v>84.745762711864415</v>
      </c>
      <c r="Y148" s="32">
        <f>100/1.18</f>
        <v>84.745762711864415</v>
      </c>
      <c r="Z148" s="32"/>
      <c r="AA148" s="33"/>
      <c r="AB148" s="16" t="s">
        <v>183</v>
      </c>
    </row>
    <row r="149" spans="1:28" ht="24.75" customHeight="1">
      <c r="A149" s="1"/>
      <c r="B149" s="21" t="s">
        <v>18</v>
      </c>
      <c r="C149" s="29" t="s">
        <v>188</v>
      </c>
      <c r="D149" s="35">
        <v>100</v>
      </c>
      <c r="E149" s="36" t="s">
        <v>52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>
        <f t="shared" ref="V149:X149" si="251">125/1.18</f>
        <v>105.93220338983052</v>
      </c>
      <c r="W149" s="32">
        <f t="shared" si="251"/>
        <v>105.93220338983052</v>
      </c>
      <c r="X149" s="32">
        <f t="shared" si="251"/>
        <v>105.93220338983052</v>
      </c>
      <c r="Y149" s="32">
        <f>125/1.18</f>
        <v>105.93220338983052</v>
      </c>
      <c r="Z149" s="32"/>
      <c r="AA149" s="33"/>
      <c r="AB149" s="16" t="s">
        <v>183</v>
      </c>
    </row>
    <row r="150" spans="1:28" ht="24.75" customHeight="1">
      <c r="A150" s="1"/>
      <c r="B150" s="21" t="s">
        <v>20</v>
      </c>
      <c r="C150" s="29" t="s">
        <v>189</v>
      </c>
      <c r="D150" s="23">
        <v>1</v>
      </c>
      <c r="E150" s="24" t="s">
        <v>52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>
        <f t="shared" ref="S150:X150" si="252">21009/1.18</f>
        <v>17804.237288135595</v>
      </c>
      <c r="T150" s="32">
        <f t="shared" si="252"/>
        <v>17804.237288135595</v>
      </c>
      <c r="U150" s="32">
        <f t="shared" si="252"/>
        <v>17804.237288135595</v>
      </c>
      <c r="V150" s="32">
        <f t="shared" si="252"/>
        <v>17804.237288135595</v>
      </c>
      <c r="W150" s="32">
        <f t="shared" si="252"/>
        <v>17804.237288135595</v>
      </c>
      <c r="X150" s="32">
        <f t="shared" si="252"/>
        <v>17804.237288135595</v>
      </c>
      <c r="Y150" s="32"/>
      <c r="Z150" s="32"/>
      <c r="AA150" s="33" t="s">
        <v>190</v>
      </c>
      <c r="AB150" s="16" t="s">
        <v>183</v>
      </c>
    </row>
    <row r="151" spans="1:28" ht="24.75" customHeight="1">
      <c r="A151" s="1"/>
      <c r="B151" s="21" t="s">
        <v>24</v>
      </c>
      <c r="C151" s="29" t="s">
        <v>191</v>
      </c>
      <c r="D151" s="23">
        <v>1</v>
      </c>
      <c r="E151" s="24" t="s">
        <v>192</v>
      </c>
      <c r="F151" s="32"/>
      <c r="G151" s="32">
        <v>9500</v>
      </c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>
        <f t="shared" ref="S151:U151" si="253">15160/1.18</f>
        <v>12847.457627118645</v>
      </c>
      <c r="T151" s="32">
        <f t="shared" si="253"/>
        <v>12847.457627118645</v>
      </c>
      <c r="U151" s="32">
        <f t="shared" si="253"/>
        <v>12847.457627118645</v>
      </c>
      <c r="V151" s="32">
        <f t="shared" ref="V151:X151" si="254">9500/1.18</f>
        <v>8050.8474576271192</v>
      </c>
      <c r="W151" s="32">
        <f t="shared" si="254"/>
        <v>8050.8474576271192</v>
      </c>
      <c r="X151" s="32">
        <f t="shared" si="254"/>
        <v>8050.8474576271192</v>
      </c>
      <c r="Y151" s="32">
        <f>12886/1.18</f>
        <v>10920.338983050848</v>
      </c>
      <c r="Z151" s="32"/>
      <c r="AA151" s="33"/>
      <c r="AB151" s="16" t="s">
        <v>183</v>
      </c>
    </row>
    <row r="152" spans="1:28" ht="24.75" customHeight="1">
      <c r="A152" s="1"/>
      <c r="B152" s="21" t="s">
        <v>27</v>
      </c>
      <c r="C152" s="29" t="s">
        <v>193</v>
      </c>
      <c r="D152" s="35">
        <v>1</v>
      </c>
      <c r="E152" s="36" t="s">
        <v>29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>
        <f t="shared" ref="S152:U152" si="255">2700/1.18</f>
        <v>2288.1355932203392</v>
      </c>
      <c r="T152" s="32">
        <f t="shared" si="255"/>
        <v>2288.1355932203392</v>
      </c>
      <c r="U152" s="32">
        <f t="shared" si="255"/>
        <v>2288.1355932203392</v>
      </c>
      <c r="V152" s="32"/>
      <c r="W152" s="32">
        <f t="shared" ref="W152:X152" si="256">1450/1.18</f>
        <v>1228.8135593220341</v>
      </c>
      <c r="X152" s="32">
        <f t="shared" si="256"/>
        <v>1228.8135593220341</v>
      </c>
      <c r="Y152" s="32">
        <f>1220/1.18</f>
        <v>1033.8983050847457</v>
      </c>
      <c r="Z152" s="32"/>
      <c r="AA152" s="33"/>
      <c r="AB152" s="16" t="s">
        <v>183</v>
      </c>
    </row>
    <row r="153" spans="1:28" ht="24.75" customHeight="1">
      <c r="A153" s="1"/>
      <c r="B153" s="21" t="s">
        <v>30</v>
      </c>
      <c r="C153" s="29" t="s">
        <v>194</v>
      </c>
      <c r="D153" s="35">
        <v>1</v>
      </c>
      <c r="E153" s="36" t="s">
        <v>29</v>
      </c>
      <c r="F153" s="32"/>
      <c r="G153" s="32"/>
      <c r="H153" s="32"/>
      <c r="I153" s="32"/>
      <c r="J153" s="32"/>
      <c r="K153" s="32"/>
      <c r="L153" s="32"/>
      <c r="M153" s="32"/>
      <c r="N153" s="32">
        <f>3000/1.18</f>
        <v>2542.3728813559323</v>
      </c>
      <c r="O153" s="32"/>
      <c r="P153" s="32"/>
      <c r="Q153" s="32"/>
      <c r="R153" s="32"/>
      <c r="S153" s="32">
        <f t="shared" ref="S153:U153" si="257">1970/1.18</f>
        <v>1669.4915254237289</v>
      </c>
      <c r="T153" s="32">
        <f t="shared" si="257"/>
        <v>1669.4915254237289</v>
      </c>
      <c r="U153" s="32">
        <f t="shared" si="257"/>
        <v>1669.4915254237289</v>
      </c>
      <c r="V153" s="32">
        <f>1300/1.18</f>
        <v>1101.6949152542375</v>
      </c>
      <c r="W153" s="32">
        <f t="shared" ref="W153:Y153" si="258">950/1.18</f>
        <v>805.08474576271192</v>
      </c>
      <c r="X153" s="32">
        <f t="shared" si="258"/>
        <v>805.08474576271192</v>
      </c>
      <c r="Y153" s="32">
        <f t="shared" si="258"/>
        <v>805.08474576271192</v>
      </c>
      <c r="Z153" s="32"/>
      <c r="AA153" s="33"/>
      <c r="AB153" s="16" t="s">
        <v>183</v>
      </c>
    </row>
    <row r="154" spans="1:28" ht="24.75" customHeight="1">
      <c r="A154" s="1"/>
      <c r="B154" s="21" t="s">
        <v>32</v>
      </c>
      <c r="C154" s="29" t="s">
        <v>195</v>
      </c>
      <c r="D154" s="23">
        <v>1</v>
      </c>
      <c r="E154" s="24" t="s">
        <v>52</v>
      </c>
      <c r="F154" s="32"/>
      <c r="G154" s="32"/>
      <c r="H154" s="32"/>
      <c r="I154" s="32"/>
      <c r="J154" s="32">
        <v>350</v>
      </c>
      <c r="K154" s="32"/>
      <c r="L154" s="32"/>
      <c r="M154" s="32"/>
      <c r="N154" s="32">
        <v>100</v>
      </c>
      <c r="O154" s="32"/>
      <c r="P154" s="32"/>
      <c r="Q154" s="32"/>
      <c r="R154" s="32"/>
      <c r="S154" s="32">
        <v>90</v>
      </c>
      <c r="T154" s="32">
        <v>90</v>
      </c>
      <c r="U154" s="40">
        <f>295/1.18</f>
        <v>250</v>
      </c>
      <c r="V154" s="32">
        <f>100/1.18</f>
        <v>84.745762711864415</v>
      </c>
      <c r="W154" s="32">
        <f t="shared" ref="W154:X154" si="259">150/1.18</f>
        <v>127.11864406779662</v>
      </c>
      <c r="X154" s="32">
        <f t="shared" si="259"/>
        <v>127.11864406779662</v>
      </c>
      <c r="Y154" s="32">
        <f>265/1.18</f>
        <v>224.57627118644069</v>
      </c>
      <c r="Z154" s="32"/>
      <c r="AA154" s="33"/>
      <c r="AB154" s="16" t="s">
        <v>183</v>
      </c>
    </row>
    <row r="155" spans="1:28" ht="24.75" customHeight="1">
      <c r="A155" s="1"/>
      <c r="B155" s="21" t="s">
        <v>35</v>
      </c>
      <c r="C155" s="29" t="s">
        <v>196</v>
      </c>
      <c r="D155" s="23">
        <v>1</v>
      </c>
      <c r="E155" s="24" t="s">
        <v>52</v>
      </c>
      <c r="F155" s="32"/>
      <c r="G155" s="32"/>
      <c r="H155" s="32"/>
      <c r="I155" s="32"/>
      <c r="J155" s="32"/>
      <c r="K155" s="32"/>
      <c r="L155" s="32"/>
      <c r="M155" s="32"/>
      <c r="N155" s="32">
        <f>140/1.18</f>
        <v>118.64406779661017</v>
      </c>
      <c r="O155" s="32"/>
      <c r="P155" s="32"/>
      <c r="Q155" s="32"/>
      <c r="R155" s="32"/>
      <c r="S155" s="32">
        <v>150</v>
      </c>
      <c r="T155" s="32">
        <v>150</v>
      </c>
      <c r="U155" s="40">
        <f>357/1.18</f>
        <v>302.54237288135596</v>
      </c>
      <c r="V155" s="32">
        <f t="shared" ref="V155:X155" si="260">220/1.18</f>
        <v>186.4406779661017</v>
      </c>
      <c r="W155" s="32">
        <f t="shared" si="260"/>
        <v>186.4406779661017</v>
      </c>
      <c r="X155" s="32">
        <f t="shared" si="260"/>
        <v>186.4406779661017</v>
      </c>
      <c r="Y155" s="32">
        <f>200/1.18</f>
        <v>169.49152542372883</v>
      </c>
      <c r="Z155" s="32"/>
      <c r="AA155" s="33"/>
      <c r="AB155" s="16" t="s">
        <v>183</v>
      </c>
    </row>
    <row r="156" spans="1:28" ht="24.75" customHeight="1">
      <c r="A156" s="1"/>
      <c r="B156" s="21" t="s">
        <v>37</v>
      </c>
      <c r="C156" s="29" t="s">
        <v>197</v>
      </c>
      <c r="D156" s="23">
        <v>1</v>
      </c>
      <c r="E156" s="24" t="s">
        <v>52</v>
      </c>
      <c r="F156" s="32"/>
      <c r="G156" s="32"/>
      <c r="H156" s="32"/>
      <c r="I156" s="32"/>
      <c r="J156" s="32">
        <v>915</v>
      </c>
      <c r="K156" s="32"/>
      <c r="L156" s="32"/>
      <c r="M156" s="32"/>
      <c r="N156" s="32">
        <f>350/1.18</f>
        <v>296.61016949152543</v>
      </c>
      <c r="O156" s="32"/>
      <c r="P156" s="32"/>
      <c r="Q156" s="32"/>
      <c r="R156" s="32"/>
      <c r="S156" s="32">
        <v>900</v>
      </c>
      <c r="T156" s="32">
        <v>900</v>
      </c>
      <c r="U156" s="40">
        <f>1467/1.18</f>
        <v>1243.2203389830509</v>
      </c>
      <c r="V156" s="32">
        <f>1200/1.18</f>
        <v>1016.949152542373</v>
      </c>
      <c r="W156" s="32">
        <f t="shared" ref="W156:X156" si="261">1950/1.18</f>
        <v>1652.542372881356</v>
      </c>
      <c r="X156" s="32">
        <f t="shared" si="261"/>
        <v>1652.542372881356</v>
      </c>
      <c r="Y156" s="32">
        <f>2820/1.18</f>
        <v>2389.8305084745766</v>
      </c>
      <c r="Z156" s="32"/>
      <c r="AA156" s="33"/>
      <c r="AB156" s="16" t="s">
        <v>183</v>
      </c>
    </row>
    <row r="157" spans="1:28" ht="24.75" customHeight="1">
      <c r="A157" s="1"/>
      <c r="B157" s="21" t="s">
        <v>40</v>
      </c>
      <c r="C157" s="29" t="s">
        <v>198</v>
      </c>
      <c r="D157" s="23">
        <v>1</v>
      </c>
      <c r="E157" s="24" t="s">
        <v>199</v>
      </c>
      <c r="F157" s="32"/>
      <c r="G157" s="32" t="e">
        <f>+#REF!/20</f>
        <v>#REF!</v>
      </c>
      <c r="H157" s="32"/>
      <c r="I157" s="32"/>
      <c r="J157" s="32"/>
      <c r="K157" s="32"/>
      <c r="L157" s="32"/>
      <c r="M157" s="32"/>
      <c r="N157" s="32">
        <f t="shared" ref="N157:P157" si="262">29400/1.18</f>
        <v>24915.254237288136</v>
      </c>
      <c r="O157" s="32">
        <f t="shared" si="262"/>
        <v>24915.254237288136</v>
      </c>
      <c r="P157" s="32">
        <f t="shared" si="262"/>
        <v>24915.254237288136</v>
      </c>
      <c r="Q157" s="32"/>
      <c r="R157" s="32"/>
      <c r="S157" s="32">
        <f t="shared" ref="S157:T157" si="263">41985/1.18</f>
        <v>35580.508474576272</v>
      </c>
      <c r="T157" s="32">
        <f t="shared" si="263"/>
        <v>35580.508474576272</v>
      </c>
      <c r="U157" s="32">
        <f>58970/1.18</f>
        <v>49974.576271186445</v>
      </c>
      <c r="V157" s="32">
        <f t="shared" ref="V157:X157" si="264">25878.26/1.18</f>
        <v>21930.728813559323</v>
      </c>
      <c r="W157" s="32">
        <f t="shared" si="264"/>
        <v>21930.728813559323</v>
      </c>
      <c r="X157" s="32">
        <f t="shared" si="264"/>
        <v>21930.728813559323</v>
      </c>
      <c r="Y157" s="32">
        <f>21035/1.18</f>
        <v>17826.271186440677</v>
      </c>
      <c r="Z157" s="32"/>
      <c r="AA157" s="33"/>
      <c r="AB157" s="16" t="s">
        <v>183</v>
      </c>
    </row>
    <row r="158" spans="1:28" ht="24.75" customHeight="1">
      <c r="A158" s="1"/>
      <c r="B158" s="21" t="s">
        <v>67</v>
      </c>
      <c r="C158" s="29" t="s">
        <v>200</v>
      </c>
      <c r="D158" s="23">
        <v>1</v>
      </c>
      <c r="E158" s="24" t="s">
        <v>199</v>
      </c>
      <c r="F158" s="32"/>
      <c r="G158" s="32"/>
      <c r="H158" s="32"/>
      <c r="I158" s="32"/>
      <c r="J158" s="32"/>
      <c r="K158" s="32"/>
      <c r="L158" s="32"/>
      <c r="M158" s="32"/>
      <c r="N158" s="32">
        <f t="shared" ref="N158:P158" si="265">19750/1.18</f>
        <v>16737.288135593222</v>
      </c>
      <c r="O158" s="32">
        <f t="shared" si="265"/>
        <v>16737.288135593222</v>
      </c>
      <c r="P158" s="32">
        <f t="shared" si="265"/>
        <v>16737.288135593222</v>
      </c>
      <c r="Q158" s="32"/>
      <c r="R158" s="32"/>
      <c r="S158" s="32">
        <f t="shared" ref="S158:T158" si="266">27990/1.18</f>
        <v>23720.338983050849</v>
      </c>
      <c r="T158" s="32">
        <f t="shared" si="266"/>
        <v>23720.338983050849</v>
      </c>
      <c r="U158" s="32">
        <f>38251/1.18</f>
        <v>32416.101694915254</v>
      </c>
      <c r="V158" s="32">
        <f t="shared" ref="V158:X158" si="267">17488/1.18</f>
        <v>14820.338983050848</v>
      </c>
      <c r="W158" s="32">
        <f t="shared" si="267"/>
        <v>14820.338983050848</v>
      </c>
      <c r="X158" s="32">
        <f t="shared" si="267"/>
        <v>14820.338983050848</v>
      </c>
      <c r="Y158" s="32">
        <f>14690/1.18</f>
        <v>12449.152542372882</v>
      </c>
      <c r="Z158" s="32"/>
      <c r="AA158" s="33"/>
      <c r="AB158" s="16" t="s">
        <v>183</v>
      </c>
    </row>
    <row r="159" spans="1:28" ht="24.75" customHeight="1">
      <c r="A159" s="1"/>
      <c r="B159" s="21" t="s">
        <v>71</v>
      </c>
      <c r="C159" s="29" t="s">
        <v>201</v>
      </c>
      <c r="D159" s="23">
        <v>1</v>
      </c>
      <c r="E159" s="24" t="s">
        <v>98</v>
      </c>
      <c r="F159" s="32"/>
      <c r="G159" s="32"/>
      <c r="H159" s="32"/>
      <c r="I159" s="32"/>
      <c r="J159" s="32"/>
      <c r="K159" s="32"/>
      <c r="L159" s="32"/>
      <c r="M159" s="32"/>
      <c r="N159" s="32"/>
      <c r="O159" s="32">
        <f>2050/1.18</f>
        <v>1737.2881355932204</v>
      </c>
      <c r="P159" s="32"/>
      <c r="Q159" s="32"/>
      <c r="R159" s="32"/>
      <c r="S159" s="32"/>
      <c r="T159" s="32"/>
      <c r="U159" s="32">
        <f>1900/1.18</f>
        <v>1610.1694915254238</v>
      </c>
      <c r="V159" s="32">
        <f t="shared" ref="V159:X159" si="268">1800/1.18</f>
        <v>1525.4237288135594</v>
      </c>
      <c r="W159" s="32">
        <f t="shared" si="268"/>
        <v>1525.4237288135594</v>
      </c>
      <c r="X159" s="32">
        <f t="shared" si="268"/>
        <v>1525.4237288135594</v>
      </c>
      <c r="Y159" s="32">
        <f>1600/1.18</f>
        <v>1355.9322033898306</v>
      </c>
      <c r="Z159" s="32"/>
      <c r="AA159" s="33"/>
      <c r="AB159" s="16" t="s">
        <v>183</v>
      </c>
    </row>
    <row r="160" spans="1:28" ht="24.75" customHeight="1">
      <c r="A160" s="1"/>
      <c r="B160" s="21" t="s">
        <v>73</v>
      </c>
      <c r="C160" s="29" t="s">
        <v>202</v>
      </c>
      <c r="D160" s="23">
        <v>1</v>
      </c>
      <c r="E160" s="24" t="s">
        <v>203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>
        <f>800/1.18</f>
        <v>677.96610169491532</v>
      </c>
      <c r="U160" s="32">
        <f>750/1.18</f>
        <v>635.59322033898309</v>
      </c>
      <c r="V160" s="32">
        <f t="shared" ref="V160:X160" si="269">850/1.18</f>
        <v>720.33898305084745</v>
      </c>
      <c r="W160" s="32">
        <f t="shared" si="269"/>
        <v>720.33898305084745</v>
      </c>
      <c r="X160" s="32">
        <f t="shared" si="269"/>
        <v>720.33898305084745</v>
      </c>
      <c r="Y160" s="32">
        <f>700/1.18</f>
        <v>593.22033898305085</v>
      </c>
      <c r="Z160" s="32"/>
      <c r="AA160" s="33" t="s">
        <v>204</v>
      </c>
      <c r="AB160" s="16" t="s">
        <v>183</v>
      </c>
    </row>
    <row r="161" spans="1:29" ht="24.75" customHeight="1">
      <c r="A161" s="1"/>
      <c r="B161" s="21" t="s">
        <v>164</v>
      </c>
      <c r="C161" s="22" t="s">
        <v>205</v>
      </c>
      <c r="D161" s="23">
        <v>1</v>
      </c>
      <c r="E161" s="36" t="s">
        <v>69</v>
      </c>
      <c r="F161" s="32"/>
      <c r="G161" s="32"/>
      <c r="H161" s="32"/>
      <c r="I161" s="32"/>
      <c r="J161" s="32" t="s">
        <v>206</v>
      </c>
      <c r="K161" s="32"/>
      <c r="L161" s="32"/>
      <c r="M161" s="32"/>
      <c r="N161" s="32">
        <v>350</v>
      </c>
      <c r="O161" s="32"/>
      <c r="P161" s="32"/>
      <c r="Q161" s="32"/>
      <c r="R161" s="32"/>
      <c r="S161" s="32">
        <v>645</v>
      </c>
      <c r="T161" s="32">
        <v>645</v>
      </c>
      <c r="U161" s="32">
        <v>645</v>
      </c>
      <c r="V161" s="32">
        <v>645</v>
      </c>
      <c r="W161" s="32">
        <v>645</v>
      </c>
      <c r="X161" s="32">
        <v>645</v>
      </c>
      <c r="Y161" s="32">
        <v>645</v>
      </c>
      <c r="Z161" s="32"/>
      <c r="AA161" s="33" t="s">
        <v>207</v>
      </c>
      <c r="AB161" s="16" t="s">
        <v>183</v>
      </c>
    </row>
    <row r="162" spans="1:29" ht="24.75" customHeight="1">
      <c r="A162" s="1"/>
      <c r="B162" s="21" t="s">
        <v>208</v>
      </c>
      <c r="C162" s="22" t="s">
        <v>209</v>
      </c>
      <c r="D162" s="23">
        <v>1</v>
      </c>
      <c r="E162" s="44" t="s">
        <v>29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>
        <f t="shared" ref="V162:X162" si="270">300/1.18</f>
        <v>254.23728813559325</v>
      </c>
      <c r="W162" s="32">
        <f t="shared" si="270"/>
        <v>254.23728813559325</v>
      </c>
      <c r="X162" s="32">
        <f t="shared" si="270"/>
        <v>254.23728813559325</v>
      </c>
      <c r="Y162" s="32"/>
      <c r="Z162" s="32"/>
      <c r="AA162" s="33">
        <v>778016501</v>
      </c>
      <c r="AB162" s="16" t="s">
        <v>183</v>
      </c>
    </row>
    <row r="163" spans="1:29" ht="24.75" customHeight="1">
      <c r="A163" s="1"/>
      <c r="B163" s="15"/>
      <c r="C163" s="16" t="s">
        <v>210</v>
      </c>
      <c r="D163" s="23"/>
      <c r="E163" s="24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3"/>
    </row>
    <row r="164" spans="1:29" ht="24.75" customHeight="1">
      <c r="A164" s="1"/>
      <c r="B164" s="21" t="s">
        <v>8</v>
      </c>
      <c r="C164" s="22" t="s">
        <v>211</v>
      </c>
      <c r="D164" s="35">
        <v>1</v>
      </c>
      <c r="E164" s="36" t="s">
        <v>69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>
        <f>750/1.18</f>
        <v>635.59322033898309</v>
      </c>
      <c r="P164" s="32"/>
      <c r="Q164" s="32"/>
      <c r="R164" s="32"/>
      <c r="S164" s="32">
        <v>425</v>
      </c>
      <c r="T164" s="32">
        <v>425</v>
      </c>
      <c r="U164" s="32">
        <v>425</v>
      </c>
      <c r="V164" s="32">
        <v>425</v>
      </c>
      <c r="W164" s="32">
        <v>425</v>
      </c>
      <c r="X164" s="32">
        <v>425</v>
      </c>
      <c r="Y164" s="32">
        <v>425</v>
      </c>
      <c r="Z164" s="32"/>
      <c r="AA164" s="33" t="s">
        <v>207</v>
      </c>
      <c r="AB164" s="16" t="s">
        <v>210</v>
      </c>
    </row>
    <row r="165" spans="1:29" ht="24.75" customHeight="1">
      <c r="A165" s="1"/>
      <c r="B165" s="21" t="s">
        <v>11</v>
      </c>
      <c r="C165" s="22" t="s">
        <v>212</v>
      </c>
      <c r="D165" s="35">
        <v>1</v>
      </c>
      <c r="E165" s="36" t="s">
        <v>69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>
        <f>950/1.18</f>
        <v>805.08474576271192</v>
      </c>
      <c r="P165" s="32"/>
      <c r="Q165" s="32"/>
      <c r="R165" s="32"/>
      <c r="S165" s="32">
        <v>625</v>
      </c>
      <c r="T165" s="32">
        <v>625</v>
      </c>
      <c r="U165" s="32">
        <v>625</v>
      </c>
      <c r="V165" s="32">
        <v>600</v>
      </c>
      <c r="W165" s="32">
        <v>600</v>
      </c>
      <c r="X165" s="32">
        <v>600</v>
      </c>
      <c r="Y165" s="32">
        <v>600</v>
      </c>
      <c r="Z165" s="32"/>
      <c r="AA165" s="33" t="s">
        <v>207</v>
      </c>
      <c r="AB165" s="16" t="s">
        <v>210</v>
      </c>
    </row>
    <row r="166" spans="1:29" ht="24.75" customHeight="1">
      <c r="A166" s="1"/>
      <c r="B166" s="21" t="s">
        <v>13</v>
      </c>
      <c r="C166" s="29" t="s">
        <v>213</v>
      </c>
      <c r="D166" s="23">
        <v>1</v>
      </c>
      <c r="E166" s="24" t="s">
        <v>214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>
        <f t="shared" ref="S166:T166" si="271">260/1.18</f>
        <v>220.33898305084747</v>
      </c>
      <c r="T166" s="32">
        <f t="shared" si="271"/>
        <v>220.33898305084747</v>
      </c>
      <c r="U166" s="40">
        <f>220/1.18</f>
        <v>186.4406779661017</v>
      </c>
      <c r="V166" s="32">
        <v>200</v>
      </c>
      <c r="W166" s="32">
        <v>200</v>
      </c>
      <c r="X166" s="32">
        <v>200</v>
      </c>
      <c r="Y166" s="32"/>
      <c r="Z166" s="32"/>
      <c r="AA166" s="33"/>
      <c r="AB166" s="16" t="s">
        <v>210</v>
      </c>
    </row>
    <row r="167" spans="1:29" ht="24.75" customHeight="1">
      <c r="A167" s="1"/>
      <c r="B167" s="21" t="s">
        <v>15</v>
      </c>
      <c r="C167" s="29" t="s">
        <v>215</v>
      </c>
      <c r="D167" s="23">
        <v>1</v>
      </c>
      <c r="E167" s="24" t="s">
        <v>214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>
        <f t="shared" ref="S167:T167" si="272">300/1.18</f>
        <v>254.23728813559325</v>
      </c>
      <c r="T167" s="32">
        <f t="shared" si="272"/>
        <v>254.23728813559325</v>
      </c>
      <c r="U167" s="40">
        <f>390/1.18</f>
        <v>330.50847457627123</v>
      </c>
      <c r="V167" s="32">
        <v>250</v>
      </c>
      <c r="W167" s="32">
        <v>250</v>
      </c>
      <c r="X167" s="32">
        <v>250</v>
      </c>
      <c r="Y167" s="32"/>
      <c r="Z167" s="32">
        <v>775556658</v>
      </c>
      <c r="AA167" s="33"/>
      <c r="AB167" s="16" t="s">
        <v>210</v>
      </c>
    </row>
    <row r="168" spans="1:29" ht="31.5" customHeight="1">
      <c r="A168" s="1"/>
      <c r="B168" s="21" t="s">
        <v>18</v>
      </c>
      <c r="C168" s="45" t="s">
        <v>216</v>
      </c>
      <c r="D168" s="23">
        <v>1</v>
      </c>
      <c r="E168" s="24" t="s">
        <v>52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>
        <v>23500</v>
      </c>
      <c r="T168" s="32">
        <v>23500</v>
      </c>
      <c r="U168" s="40">
        <f>24850/1.18</f>
        <v>21059.322033898305</v>
      </c>
      <c r="V168" s="32">
        <f t="shared" ref="V168:X168" si="273">22000</f>
        <v>22000</v>
      </c>
      <c r="W168" s="32">
        <f t="shared" si="273"/>
        <v>22000</v>
      </c>
      <c r="X168" s="32">
        <f t="shared" si="273"/>
        <v>22000</v>
      </c>
      <c r="Y168" s="32"/>
      <c r="Z168" s="32"/>
      <c r="AA168" s="33"/>
      <c r="AB168" s="16" t="s">
        <v>210</v>
      </c>
    </row>
    <row r="169" spans="1:29" ht="24.75" customHeight="1">
      <c r="A169" s="1"/>
      <c r="B169" s="15"/>
      <c r="C169" s="16" t="s">
        <v>217</v>
      </c>
      <c r="D169" s="23"/>
      <c r="E169" s="24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3"/>
    </row>
    <row r="170" spans="1:29" ht="24.75" customHeight="1">
      <c r="A170" s="1"/>
      <c r="B170" s="15"/>
      <c r="C170" s="38" t="s">
        <v>218</v>
      </c>
      <c r="D170" s="23"/>
      <c r="E170" s="24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3"/>
    </row>
    <row r="171" spans="1:29" ht="24.75" customHeight="1">
      <c r="A171" s="1"/>
      <c r="B171" s="21" t="s">
        <v>8</v>
      </c>
      <c r="C171" s="29" t="s">
        <v>219</v>
      </c>
      <c r="D171" s="23">
        <v>1</v>
      </c>
      <c r="E171" s="24" t="s">
        <v>52</v>
      </c>
      <c r="F171" s="32"/>
      <c r="G171" s="32"/>
      <c r="H171" s="32"/>
      <c r="I171" s="32"/>
      <c r="J171" s="32"/>
      <c r="K171" s="32"/>
      <c r="L171" s="32"/>
      <c r="M171" s="32"/>
      <c r="N171" s="32">
        <v>3000</v>
      </c>
      <c r="O171" s="32">
        <v>3000</v>
      </c>
      <c r="P171" s="32">
        <v>3000</v>
      </c>
      <c r="Q171" s="32"/>
      <c r="R171" s="32"/>
      <c r="S171" s="32">
        <f t="shared" ref="S171:U171" si="274">3000/1.18</f>
        <v>2542.3728813559323</v>
      </c>
      <c r="T171" s="32">
        <f t="shared" si="274"/>
        <v>2542.3728813559323</v>
      </c>
      <c r="U171" s="32">
        <f t="shared" si="274"/>
        <v>2542.3728813559323</v>
      </c>
      <c r="V171" s="32"/>
      <c r="W171" s="32">
        <f t="shared" ref="W171:Y171" si="275">2800/1.18</f>
        <v>2372.8813559322034</v>
      </c>
      <c r="X171" s="32">
        <f t="shared" si="275"/>
        <v>2372.8813559322034</v>
      </c>
      <c r="Y171" s="32">
        <f t="shared" si="275"/>
        <v>2372.8813559322034</v>
      </c>
      <c r="Z171" s="32"/>
      <c r="AA171" s="33" t="s">
        <v>220</v>
      </c>
      <c r="AB171" s="16" t="s">
        <v>217</v>
      </c>
      <c r="AC171" s="38" t="s">
        <v>218</v>
      </c>
    </row>
    <row r="172" spans="1:29" ht="24.75" customHeight="1">
      <c r="A172" s="1"/>
      <c r="B172" s="21" t="s">
        <v>11</v>
      </c>
      <c r="C172" s="29" t="s">
        <v>221</v>
      </c>
      <c r="D172" s="23">
        <v>1</v>
      </c>
      <c r="E172" s="24" t="s">
        <v>52</v>
      </c>
      <c r="F172" s="32"/>
      <c r="G172" s="32"/>
      <c r="H172" s="32"/>
      <c r="I172" s="32"/>
      <c r="J172" s="32"/>
      <c r="K172" s="32"/>
      <c r="L172" s="32"/>
      <c r="M172" s="32"/>
      <c r="N172" s="32">
        <v>3739.13</v>
      </c>
      <c r="O172" s="32">
        <v>4250</v>
      </c>
      <c r="P172" s="32">
        <v>4250</v>
      </c>
      <c r="Q172" s="32"/>
      <c r="R172" s="32"/>
      <c r="S172" s="32">
        <v>4250</v>
      </c>
      <c r="T172" s="32">
        <v>4250</v>
      </c>
      <c r="U172" s="32">
        <v>4250</v>
      </c>
      <c r="V172" s="32"/>
      <c r="W172" s="32">
        <f t="shared" ref="W172:Y172" si="276">4000/1.18</f>
        <v>3389.8305084745766</v>
      </c>
      <c r="X172" s="32">
        <f t="shared" si="276"/>
        <v>3389.8305084745766</v>
      </c>
      <c r="Y172" s="32">
        <f t="shared" si="276"/>
        <v>3389.8305084745766</v>
      </c>
      <c r="Z172" s="32"/>
      <c r="AA172" s="33" t="s">
        <v>220</v>
      </c>
      <c r="AB172" s="16" t="s">
        <v>217</v>
      </c>
      <c r="AC172" s="38" t="s">
        <v>218</v>
      </c>
    </row>
    <row r="173" spans="1:29" ht="24.75" customHeight="1">
      <c r="A173" s="1"/>
      <c r="B173" s="21"/>
      <c r="C173" s="38" t="s">
        <v>222</v>
      </c>
      <c r="D173" s="23"/>
      <c r="E173" s="24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3"/>
      <c r="AB173" s="16" t="s">
        <v>217</v>
      </c>
    </row>
    <row r="174" spans="1:29" ht="24.75" customHeight="1">
      <c r="A174" s="1"/>
      <c r="B174" s="21" t="s">
        <v>8</v>
      </c>
      <c r="C174" s="29" t="s">
        <v>223</v>
      </c>
      <c r="D174" s="23">
        <v>1</v>
      </c>
      <c r="E174" s="24" t="s">
        <v>52</v>
      </c>
      <c r="F174" s="32"/>
      <c r="G174" s="32"/>
      <c r="H174" s="32"/>
      <c r="I174" s="32"/>
      <c r="J174" s="32"/>
      <c r="K174" s="32"/>
      <c r="L174" s="32"/>
      <c r="M174" s="32"/>
      <c r="N174" s="32">
        <v>3650</v>
      </c>
      <c r="O174" s="32">
        <v>3650</v>
      </c>
      <c r="P174" s="32">
        <v>3650</v>
      </c>
      <c r="Q174" s="32">
        <v>3650</v>
      </c>
      <c r="R174" s="32">
        <v>3650</v>
      </c>
      <c r="S174" s="32">
        <v>3650</v>
      </c>
      <c r="T174" s="32">
        <v>3650</v>
      </c>
      <c r="U174" s="32">
        <v>3650</v>
      </c>
      <c r="V174" s="32"/>
      <c r="W174" s="32">
        <f t="shared" ref="W174:X174" si="277">3960/1.18</f>
        <v>3355.9322033898306</v>
      </c>
      <c r="X174" s="32">
        <f t="shared" si="277"/>
        <v>3355.9322033898306</v>
      </c>
      <c r="Y174" s="32"/>
      <c r="Z174" s="32"/>
      <c r="AA174" s="33"/>
      <c r="AB174" s="16" t="s">
        <v>217</v>
      </c>
      <c r="AC174" s="38" t="s">
        <v>222</v>
      </c>
    </row>
    <row r="175" spans="1:29" ht="24.75" customHeight="1">
      <c r="A175" s="1"/>
      <c r="B175" s="21" t="s">
        <v>11</v>
      </c>
      <c r="C175" s="29" t="s">
        <v>224</v>
      </c>
      <c r="D175" s="23">
        <v>1</v>
      </c>
      <c r="E175" s="24" t="s">
        <v>52</v>
      </c>
      <c r="F175" s="32"/>
      <c r="G175" s="32"/>
      <c r="H175" s="32"/>
      <c r="I175" s="32"/>
      <c r="J175" s="32"/>
      <c r="K175" s="32"/>
      <c r="L175" s="32"/>
      <c r="M175" s="32"/>
      <c r="N175" s="32">
        <v>5400</v>
      </c>
      <c r="O175" s="32">
        <v>5400</v>
      </c>
      <c r="P175" s="32">
        <v>5400</v>
      </c>
      <c r="Q175" s="32">
        <v>5400</v>
      </c>
      <c r="R175" s="32">
        <v>5400</v>
      </c>
      <c r="S175" s="32">
        <v>5400</v>
      </c>
      <c r="T175" s="32">
        <v>5400</v>
      </c>
      <c r="U175" s="32">
        <v>5400</v>
      </c>
      <c r="V175" s="32"/>
      <c r="W175" s="32">
        <f t="shared" ref="W175:X175" si="278">5930/1.18</f>
        <v>5025.4237288135591</v>
      </c>
      <c r="X175" s="32">
        <f t="shared" si="278"/>
        <v>5025.4237288135591</v>
      </c>
      <c r="Y175" s="32"/>
      <c r="Z175" s="32"/>
      <c r="AA175" s="33"/>
      <c r="AB175" s="16" t="s">
        <v>217</v>
      </c>
      <c r="AC175" s="38" t="s">
        <v>222</v>
      </c>
    </row>
    <row r="176" spans="1:29" ht="24.75" customHeight="1">
      <c r="A176" s="1"/>
      <c r="B176" s="21"/>
      <c r="C176" s="38" t="s">
        <v>225</v>
      </c>
      <c r="D176" s="23"/>
      <c r="E176" s="24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3"/>
      <c r="AB176" s="16" t="s">
        <v>217</v>
      </c>
    </row>
    <row r="177" spans="1:29" ht="24.75" customHeight="1">
      <c r="A177" s="1"/>
      <c r="B177" s="21" t="s">
        <v>8</v>
      </c>
      <c r="C177" s="29" t="s">
        <v>226</v>
      </c>
      <c r="D177" s="23">
        <v>1</v>
      </c>
      <c r="E177" s="24" t="s">
        <v>52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>
        <f t="shared" ref="P177:Y177" si="279">3960/1.18</f>
        <v>3355.9322033898306</v>
      </c>
      <c r="Q177" s="32">
        <f t="shared" si="279"/>
        <v>3355.9322033898306</v>
      </c>
      <c r="R177" s="32">
        <f t="shared" si="279"/>
        <v>3355.9322033898306</v>
      </c>
      <c r="S177" s="32">
        <f t="shared" si="279"/>
        <v>3355.9322033898306</v>
      </c>
      <c r="T177" s="32">
        <f t="shared" si="279"/>
        <v>3355.9322033898306</v>
      </c>
      <c r="U177" s="32">
        <f t="shared" si="279"/>
        <v>3355.9322033898306</v>
      </c>
      <c r="V177" s="32">
        <f t="shared" si="279"/>
        <v>3355.9322033898306</v>
      </c>
      <c r="W177" s="32">
        <f t="shared" si="279"/>
        <v>3355.9322033898306</v>
      </c>
      <c r="X177" s="32">
        <f t="shared" si="279"/>
        <v>3355.9322033898306</v>
      </c>
      <c r="Y177" s="32">
        <f t="shared" si="279"/>
        <v>3355.9322033898306</v>
      </c>
      <c r="Z177" s="32"/>
      <c r="AA177" s="33" t="s">
        <v>227</v>
      </c>
      <c r="AB177" s="16" t="s">
        <v>217</v>
      </c>
      <c r="AC177" s="38" t="s">
        <v>225</v>
      </c>
    </row>
    <row r="178" spans="1:29" ht="24.75" customHeight="1">
      <c r="A178" s="1"/>
      <c r="B178" s="21" t="s">
        <v>11</v>
      </c>
      <c r="C178" s="29" t="s">
        <v>228</v>
      </c>
      <c r="D178" s="23">
        <v>1</v>
      </c>
      <c r="E178" s="24" t="s">
        <v>52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>
        <f t="shared" ref="P178:Y178" si="280">5080/1.18</f>
        <v>4305.0847457627124</v>
      </c>
      <c r="Q178" s="32">
        <f t="shared" si="280"/>
        <v>4305.0847457627124</v>
      </c>
      <c r="R178" s="32">
        <f t="shared" si="280"/>
        <v>4305.0847457627124</v>
      </c>
      <c r="S178" s="32">
        <f t="shared" si="280"/>
        <v>4305.0847457627124</v>
      </c>
      <c r="T178" s="32">
        <f t="shared" si="280"/>
        <v>4305.0847457627124</v>
      </c>
      <c r="U178" s="32">
        <f t="shared" si="280"/>
        <v>4305.0847457627124</v>
      </c>
      <c r="V178" s="32">
        <f t="shared" si="280"/>
        <v>4305.0847457627124</v>
      </c>
      <c r="W178" s="32">
        <f t="shared" si="280"/>
        <v>4305.0847457627124</v>
      </c>
      <c r="X178" s="32">
        <f t="shared" si="280"/>
        <v>4305.0847457627124</v>
      </c>
      <c r="Y178" s="32">
        <f t="shared" si="280"/>
        <v>4305.0847457627124</v>
      </c>
      <c r="Z178" s="32"/>
      <c r="AA178" s="33"/>
      <c r="AB178" s="16" t="s">
        <v>217</v>
      </c>
      <c r="AC178" s="38" t="s">
        <v>225</v>
      </c>
    </row>
    <row r="179" spans="1:29" ht="24.75" customHeight="1">
      <c r="A179" s="1"/>
      <c r="B179" s="21" t="s">
        <v>13</v>
      </c>
      <c r="C179" s="29" t="s">
        <v>229</v>
      </c>
      <c r="D179" s="23">
        <v>1</v>
      </c>
      <c r="E179" s="24" t="s">
        <v>52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>
        <f t="shared" ref="P179:Y179" si="281">5930/1.18</f>
        <v>5025.4237288135591</v>
      </c>
      <c r="Q179" s="32">
        <f t="shared" si="281"/>
        <v>5025.4237288135591</v>
      </c>
      <c r="R179" s="32">
        <f t="shared" si="281"/>
        <v>5025.4237288135591</v>
      </c>
      <c r="S179" s="32">
        <f t="shared" si="281"/>
        <v>5025.4237288135591</v>
      </c>
      <c r="T179" s="32">
        <f t="shared" si="281"/>
        <v>5025.4237288135591</v>
      </c>
      <c r="U179" s="32">
        <f t="shared" si="281"/>
        <v>5025.4237288135591</v>
      </c>
      <c r="V179" s="32">
        <f t="shared" si="281"/>
        <v>5025.4237288135591</v>
      </c>
      <c r="W179" s="32">
        <f t="shared" si="281"/>
        <v>5025.4237288135591</v>
      </c>
      <c r="X179" s="32">
        <f t="shared" si="281"/>
        <v>5025.4237288135591</v>
      </c>
      <c r="Y179" s="32">
        <f t="shared" si="281"/>
        <v>5025.4237288135591</v>
      </c>
      <c r="Z179" s="32"/>
      <c r="AA179" s="33"/>
      <c r="AB179" s="16" t="s">
        <v>217</v>
      </c>
      <c r="AC179" s="38" t="s">
        <v>225</v>
      </c>
    </row>
    <row r="180" spans="1:29" ht="24.75" customHeight="1">
      <c r="A180" s="1"/>
      <c r="B180" s="21" t="s">
        <v>15</v>
      </c>
      <c r="C180" s="29" t="s">
        <v>230</v>
      </c>
      <c r="D180" s="23">
        <v>1</v>
      </c>
      <c r="E180" s="24" t="s">
        <v>52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>
        <f t="shared" ref="P180:U180" si="282">8160/1.18</f>
        <v>6915.2542372881362</v>
      </c>
      <c r="Q180" s="32">
        <f t="shared" si="282"/>
        <v>6915.2542372881362</v>
      </c>
      <c r="R180" s="32">
        <f t="shared" si="282"/>
        <v>6915.2542372881362</v>
      </c>
      <c r="S180" s="32">
        <f t="shared" si="282"/>
        <v>6915.2542372881362</v>
      </c>
      <c r="T180" s="32">
        <f t="shared" si="282"/>
        <v>6915.2542372881362</v>
      </c>
      <c r="U180" s="32">
        <f t="shared" si="282"/>
        <v>6915.2542372881362</v>
      </c>
      <c r="V180" s="32">
        <v>5444.92</v>
      </c>
      <c r="W180" s="32">
        <v>5444.92</v>
      </c>
      <c r="X180" s="32">
        <v>5444.92</v>
      </c>
      <c r="Y180" s="32">
        <v>5444.92</v>
      </c>
      <c r="Z180" s="32"/>
      <c r="AA180" s="33"/>
      <c r="AB180" s="16" t="s">
        <v>217</v>
      </c>
      <c r="AC180" s="38" t="s">
        <v>225</v>
      </c>
    </row>
    <row r="181" spans="1:29" ht="24.75" customHeight="1">
      <c r="A181" s="1"/>
      <c r="B181" s="21" t="s">
        <v>18</v>
      </c>
      <c r="C181" s="29" t="s">
        <v>231</v>
      </c>
      <c r="D181" s="23">
        <v>1</v>
      </c>
      <c r="E181" s="24" t="s">
        <v>52</v>
      </c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>
        <f t="shared" ref="U181:Y181" si="283">8160/1.18</f>
        <v>6915.2542372881362</v>
      </c>
      <c r="V181" s="32">
        <f t="shared" si="283"/>
        <v>6915.2542372881362</v>
      </c>
      <c r="W181" s="32">
        <f t="shared" si="283"/>
        <v>6915.2542372881362</v>
      </c>
      <c r="X181" s="32">
        <f t="shared" si="283"/>
        <v>6915.2542372881362</v>
      </c>
      <c r="Y181" s="32">
        <f t="shared" si="283"/>
        <v>6915.2542372881362</v>
      </c>
      <c r="Z181" s="32"/>
      <c r="AA181" s="33"/>
      <c r="AB181" s="16" t="s">
        <v>217</v>
      </c>
      <c r="AC181" s="38" t="s">
        <v>225</v>
      </c>
    </row>
    <row r="182" spans="1:29" ht="24.75" customHeight="1">
      <c r="A182" s="1"/>
      <c r="B182" s="21" t="s">
        <v>20</v>
      </c>
      <c r="C182" s="29" t="s">
        <v>232</v>
      </c>
      <c r="D182" s="23">
        <v>1</v>
      </c>
      <c r="E182" s="24" t="s">
        <v>52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>
        <v>8305.08</v>
      </c>
      <c r="V182" s="32">
        <v>8305.08</v>
      </c>
      <c r="W182" s="32">
        <v>8305.08</v>
      </c>
      <c r="X182" s="32">
        <v>8305.08</v>
      </c>
      <c r="Y182" s="32">
        <v>8305.08</v>
      </c>
      <c r="Z182" s="32"/>
      <c r="AA182" s="33"/>
      <c r="AB182" s="16" t="s">
        <v>217</v>
      </c>
      <c r="AC182" s="38" t="s">
        <v>225</v>
      </c>
    </row>
    <row r="183" spans="1:29" ht="24.75" customHeight="1">
      <c r="A183" s="1"/>
      <c r="B183" s="21" t="s">
        <v>24</v>
      </c>
      <c r="C183" s="29" t="s">
        <v>233</v>
      </c>
      <c r="D183" s="23">
        <v>1</v>
      </c>
      <c r="E183" s="24" t="s">
        <v>52</v>
      </c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>
        <v>10436.44</v>
      </c>
      <c r="V183" s="32">
        <v>10436.44</v>
      </c>
      <c r="W183" s="32">
        <v>10436.44</v>
      </c>
      <c r="X183" s="32">
        <v>10436.44</v>
      </c>
      <c r="Y183" s="32">
        <v>10436.44</v>
      </c>
      <c r="Z183" s="32"/>
      <c r="AA183" s="33"/>
      <c r="AB183" s="16" t="s">
        <v>217</v>
      </c>
      <c r="AC183" s="38" t="s">
        <v>225</v>
      </c>
    </row>
    <row r="184" spans="1:29" ht="24.75" customHeight="1">
      <c r="A184" s="1"/>
      <c r="B184" s="21" t="s">
        <v>27</v>
      </c>
      <c r="C184" s="29" t="s">
        <v>234</v>
      </c>
      <c r="D184" s="23">
        <v>1</v>
      </c>
      <c r="E184" s="24" t="s">
        <v>52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>
        <v>12042.37</v>
      </c>
      <c r="V184" s="32">
        <v>12042.37</v>
      </c>
      <c r="W184" s="32">
        <v>12042.37</v>
      </c>
      <c r="X184" s="32">
        <v>12042.37</v>
      </c>
      <c r="Y184" s="32">
        <v>12042.37</v>
      </c>
      <c r="Z184" s="32"/>
      <c r="AA184" s="33"/>
      <c r="AB184" s="16" t="s">
        <v>217</v>
      </c>
      <c r="AC184" s="38" t="s">
        <v>225</v>
      </c>
    </row>
    <row r="185" spans="1:29" ht="24.75" customHeight="1">
      <c r="A185" s="1"/>
      <c r="B185" s="21" t="s">
        <v>30</v>
      </c>
      <c r="C185" s="29" t="s">
        <v>235</v>
      </c>
      <c r="D185" s="23"/>
      <c r="E185" s="24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>
        <v>10872.88</v>
      </c>
      <c r="V185" s="32">
        <v>10872.88</v>
      </c>
      <c r="W185" s="32">
        <v>10872.88</v>
      </c>
      <c r="X185" s="32">
        <v>10872.88</v>
      </c>
      <c r="Y185" s="32">
        <v>10872.88</v>
      </c>
      <c r="Z185" s="32"/>
      <c r="AA185" s="33"/>
      <c r="AB185" s="16" t="s">
        <v>217</v>
      </c>
      <c r="AC185" s="38" t="s">
        <v>225</v>
      </c>
    </row>
    <row r="186" spans="1:29" ht="24.75" customHeight="1">
      <c r="A186" s="1"/>
      <c r="B186" s="21" t="s">
        <v>32</v>
      </c>
      <c r="C186" s="29" t="s">
        <v>236</v>
      </c>
      <c r="D186" s="23"/>
      <c r="E186" s="24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>
        <v>5211.8599999999997</v>
      </c>
      <c r="V186" s="32">
        <v>5211.8599999999997</v>
      </c>
      <c r="W186" s="32">
        <v>5211.8599999999997</v>
      </c>
      <c r="X186" s="32">
        <v>5211.8599999999997</v>
      </c>
      <c r="Y186" s="32">
        <v>5211.8599999999997</v>
      </c>
      <c r="Z186" s="32"/>
      <c r="AA186" s="33"/>
      <c r="AB186" s="16" t="s">
        <v>217</v>
      </c>
      <c r="AC186" s="38" t="s">
        <v>225</v>
      </c>
    </row>
    <row r="187" spans="1:29" ht="24.75" customHeight="1">
      <c r="A187" s="1"/>
      <c r="B187" s="21" t="s">
        <v>35</v>
      </c>
      <c r="C187" s="29" t="s">
        <v>237</v>
      </c>
      <c r="D187" s="23"/>
      <c r="E187" s="24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>
        <v>7347.46</v>
      </c>
      <c r="V187" s="32">
        <v>7347.46</v>
      </c>
      <c r="W187" s="32">
        <v>7347.46</v>
      </c>
      <c r="X187" s="32">
        <v>7347.46</v>
      </c>
      <c r="Y187" s="32">
        <v>7347.46</v>
      </c>
      <c r="Z187" s="32"/>
      <c r="AA187" s="33"/>
      <c r="AB187" s="16" t="s">
        <v>217</v>
      </c>
      <c r="AC187" s="38" t="s">
        <v>225</v>
      </c>
    </row>
    <row r="188" spans="1:29" ht="24.75" customHeight="1">
      <c r="A188" s="1"/>
      <c r="B188" s="21" t="s">
        <v>37</v>
      </c>
      <c r="C188" s="29" t="s">
        <v>238</v>
      </c>
      <c r="D188" s="23"/>
      <c r="E188" s="24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>
        <v>3444.92</v>
      </c>
      <c r="V188" s="32">
        <v>3444.92</v>
      </c>
      <c r="W188" s="32">
        <v>3444.92</v>
      </c>
      <c r="X188" s="32">
        <v>3444.92</v>
      </c>
      <c r="Y188" s="32">
        <v>3444.92</v>
      </c>
      <c r="Z188" s="32"/>
      <c r="AA188" s="33"/>
      <c r="AB188" s="16" t="s">
        <v>217</v>
      </c>
      <c r="AC188" s="38" t="s">
        <v>225</v>
      </c>
    </row>
    <row r="189" spans="1:29" ht="24.75" customHeight="1">
      <c r="A189" s="1"/>
      <c r="B189" s="21"/>
      <c r="C189" s="38" t="s">
        <v>239</v>
      </c>
      <c r="D189" s="23"/>
      <c r="E189" s="24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3"/>
      <c r="AB189" s="16" t="s">
        <v>217</v>
      </c>
    </row>
    <row r="190" spans="1:29" ht="23">
      <c r="A190" s="1"/>
      <c r="B190" s="21" t="s">
        <v>8</v>
      </c>
      <c r="C190" s="45" t="s">
        <v>240</v>
      </c>
      <c r="D190" s="23"/>
      <c r="E190" s="24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>
        <f t="shared" ref="P190:Y190" si="284">1725/1.18</f>
        <v>1461.8644067796611</v>
      </c>
      <c r="Q190" s="32">
        <f t="shared" si="284"/>
        <v>1461.8644067796611</v>
      </c>
      <c r="R190" s="32">
        <f t="shared" si="284"/>
        <v>1461.8644067796611</v>
      </c>
      <c r="S190" s="32">
        <f t="shared" si="284"/>
        <v>1461.8644067796611</v>
      </c>
      <c r="T190" s="32">
        <f t="shared" si="284"/>
        <v>1461.8644067796611</v>
      </c>
      <c r="U190" s="32">
        <f t="shared" si="284"/>
        <v>1461.8644067796611</v>
      </c>
      <c r="V190" s="32">
        <f t="shared" si="284"/>
        <v>1461.8644067796611</v>
      </c>
      <c r="W190" s="32">
        <f t="shared" si="284"/>
        <v>1461.8644067796611</v>
      </c>
      <c r="X190" s="32">
        <f t="shared" si="284"/>
        <v>1461.8644067796611</v>
      </c>
      <c r="Y190" s="32">
        <f t="shared" si="284"/>
        <v>1461.8644067796611</v>
      </c>
      <c r="Z190" s="32"/>
      <c r="AA190" s="33"/>
      <c r="AB190" s="16" t="s">
        <v>217</v>
      </c>
      <c r="AC190" s="38" t="s">
        <v>239</v>
      </c>
    </row>
    <row r="191" spans="1:29" ht="23">
      <c r="A191" s="1"/>
      <c r="B191" s="21" t="s">
        <v>11</v>
      </c>
      <c r="C191" s="45" t="s">
        <v>241</v>
      </c>
      <c r="D191" s="23"/>
      <c r="E191" s="24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>
        <f t="shared" ref="P191:Y191" si="285">1725/1.18</f>
        <v>1461.8644067796611</v>
      </c>
      <c r="Q191" s="32">
        <f t="shared" si="285"/>
        <v>1461.8644067796611</v>
      </c>
      <c r="R191" s="32">
        <f t="shared" si="285"/>
        <v>1461.8644067796611</v>
      </c>
      <c r="S191" s="32">
        <f t="shared" si="285"/>
        <v>1461.8644067796611</v>
      </c>
      <c r="T191" s="32">
        <f t="shared" si="285"/>
        <v>1461.8644067796611</v>
      </c>
      <c r="U191" s="32">
        <f t="shared" si="285"/>
        <v>1461.8644067796611</v>
      </c>
      <c r="V191" s="32">
        <f t="shared" si="285"/>
        <v>1461.8644067796611</v>
      </c>
      <c r="W191" s="32">
        <f t="shared" si="285"/>
        <v>1461.8644067796611</v>
      </c>
      <c r="X191" s="32">
        <f t="shared" si="285"/>
        <v>1461.8644067796611</v>
      </c>
      <c r="Y191" s="32">
        <f t="shared" si="285"/>
        <v>1461.8644067796611</v>
      </c>
      <c r="Z191" s="32"/>
      <c r="AA191" s="33"/>
      <c r="AB191" s="16" t="s">
        <v>217</v>
      </c>
      <c r="AC191" s="38" t="s">
        <v>239</v>
      </c>
    </row>
    <row r="192" spans="1:29" ht="23">
      <c r="A192" s="1"/>
      <c r="B192" s="21" t="s">
        <v>13</v>
      </c>
      <c r="C192" s="45" t="s">
        <v>242</v>
      </c>
      <c r="D192" s="23"/>
      <c r="E192" s="24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>
        <f t="shared" ref="U192:Y192" si="286">1725/1.18</f>
        <v>1461.8644067796611</v>
      </c>
      <c r="V192" s="32">
        <f t="shared" si="286"/>
        <v>1461.8644067796611</v>
      </c>
      <c r="W192" s="32">
        <f t="shared" si="286"/>
        <v>1461.8644067796611</v>
      </c>
      <c r="X192" s="32">
        <f t="shared" si="286"/>
        <v>1461.8644067796611</v>
      </c>
      <c r="Y192" s="32">
        <f t="shared" si="286"/>
        <v>1461.8644067796611</v>
      </c>
      <c r="Z192" s="32"/>
      <c r="AA192" s="33"/>
      <c r="AB192" s="16" t="s">
        <v>217</v>
      </c>
      <c r="AC192" s="38" t="s">
        <v>239</v>
      </c>
    </row>
    <row r="193" spans="1:29" ht="23">
      <c r="A193" s="1"/>
      <c r="B193" s="21" t="s">
        <v>15</v>
      </c>
      <c r="C193" s="45" t="s">
        <v>243</v>
      </c>
      <c r="D193" s="23"/>
      <c r="E193" s="24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>
        <v>1093.22</v>
      </c>
      <c r="V193" s="32">
        <v>1093.22</v>
      </c>
      <c r="W193" s="32">
        <v>1093.22</v>
      </c>
      <c r="X193" s="32">
        <v>1093.22</v>
      </c>
      <c r="Y193" s="32">
        <v>1093.22</v>
      </c>
      <c r="Z193" s="32"/>
      <c r="AA193" s="33"/>
      <c r="AB193" s="16" t="s">
        <v>217</v>
      </c>
      <c r="AC193" s="38" t="s">
        <v>239</v>
      </c>
    </row>
    <row r="194" spans="1:29" ht="23">
      <c r="A194" s="1"/>
      <c r="B194" s="21" t="s">
        <v>18</v>
      </c>
      <c r="C194" s="45" t="s">
        <v>244</v>
      </c>
      <c r="D194" s="23"/>
      <c r="E194" s="24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>
        <v>1093.22</v>
      </c>
      <c r="V194" s="32">
        <v>1093.22</v>
      </c>
      <c r="W194" s="32">
        <v>1093.22</v>
      </c>
      <c r="X194" s="32">
        <v>1093.22</v>
      </c>
      <c r="Y194" s="32">
        <v>1093.22</v>
      </c>
      <c r="Z194" s="32"/>
      <c r="AA194" s="33"/>
      <c r="AB194" s="16" t="s">
        <v>217</v>
      </c>
      <c r="AC194" s="38" t="s">
        <v>239</v>
      </c>
    </row>
    <row r="195" spans="1:29" ht="34">
      <c r="A195" s="1"/>
      <c r="B195" s="21" t="s">
        <v>20</v>
      </c>
      <c r="C195" s="45" t="s">
        <v>245</v>
      </c>
      <c r="D195" s="23"/>
      <c r="E195" s="24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>
        <f t="shared" ref="P195:Y195" si="287">1825/1.18</f>
        <v>1546.6101694915255</v>
      </c>
      <c r="Q195" s="32">
        <f t="shared" si="287"/>
        <v>1546.6101694915255</v>
      </c>
      <c r="R195" s="32">
        <f t="shared" si="287"/>
        <v>1546.6101694915255</v>
      </c>
      <c r="S195" s="32">
        <f t="shared" si="287"/>
        <v>1546.6101694915255</v>
      </c>
      <c r="T195" s="32">
        <f t="shared" si="287"/>
        <v>1546.6101694915255</v>
      </c>
      <c r="U195" s="32">
        <f t="shared" si="287"/>
        <v>1546.6101694915255</v>
      </c>
      <c r="V195" s="32">
        <f t="shared" si="287"/>
        <v>1546.6101694915255</v>
      </c>
      <c r="W195" s="32">
        <f t="shared" si="287"/>
        <v>1546.6101694915255</v>
      </c>
      <c r="X195" s="32">
        <f t="shared" si="287"/>
        <v>1546.6101694915255</v>
      </c>
      <c r="Y195" s="32">
        <f t="shared" si="287"/>
        <v>1546.6101694915255</v>
      </c>
      <c r="Z195" s="32"/>
      <c r="AA195" s="33"/>
      <c r="AB195" s="16" t="s">
        <v>217</v>
      </c>
      <c r="AC195" s="38" t="s">
        <v>239</v>
      </c>
    </row>
    <row r="196" spans="1:29" ht="34">
      <c r="A196" s="1"/>
      <c r="B196" s="21" t="s">
        <v>24</v>
      </c>
      <c r="C196" s="45" t="s">
        <v>246</v>
      </c>
      <c r="D196" s="23"/>
      <c r="E196" s="24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>
        <f t="shared" ref="P196:Y196" si="288">1825/1.18</f>
        <v>1546.6101694915255</v>
      </c>
      <c r="Q196" s="32">
        <f t="shared" si="288"/>
        <v>1546.6101694915255</v>
      </c>
      <c r="R196" s="32">
        <f t="shared" si="288"/>
        <v>1546.6101694915255</v>
      </c>
      <c r="S196" s="32">
        <f t="shared" si="288"/>
        <v>1546.6101694915255</v>
      </c>
      <c r="T196" s="32">
        <f t="shared" si="288"/>
        <v>1546.6101694915255</v>
      </c>
      <c r="U196" s="32">
        <f t="shared" si="288"/>
        <v>1546.6101694915255</v>
      </c>
      <c r="V196" s="32">
        <f t="shared" si="288"/>
        <v>1546.6101694915255</v>
      </c>
      <c r="W196" s="32">
        <f t="shared" si="288"/>
        <v>1546.6101694915255</v>
      </c>
      <c r="X196" s="32">
        <f t="shared" si="288"/>
        <v>1546.6101694915255</v>
      </c>
      <c r="Y196" s="32">
        <f t="shared" si="288"/>
        <v>1546.6101694915255</v>
      </c>
      <c r="Z196" s="32"/>
      <c r="AA196" s="33"/>
      <c r="AB196" s="16" t="s">
        <v>217</v>
      </c>
      <c r="AC196" s="38" t="s">
        <v>239</v>
      </c>
    </row>
    <row r="197" spans="1:29" ht="34">
      <c r="A197" s="1"/>
      <c r="B197" s="21" t="s">
        <v>27</v>
      </c>
      <c r="C197" s="45" t="s">
        <v>247</v>
      </c>
      <c r="D197" s="23"/>
      <c r="E197" s="24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>
        <v>1093.22</v>
      </c>
      <c r="V197" s="32">
        <v>1093.22</v>
      </c>
      <c r="W197" s="32">
        <v>1093.22</v>
      </c>
      <c r="X197" s="32">
        <v>1093.22</v>
      </c>
      <c r="Y197" s="32">
        <v>1093.22</v>
      </c>
      <c r="Z197" s="32"/>
      <c r="AA197" s="33"/>
      <c r="AB197" s="16" t="s">
        <v>217</v>
      </c>
      <c r="AC197" s="38" t="s">
        <v>239</v>
      </c>
    </row>
    <row r="198" spans="1:29" ht="34">
      <c r="A198" s="1"/>
      <c r="B198" s="21" t="s">
        <v>30</v>
      </c>
      <c r="C198" s="45" t="s">
        <v>248</v>
      </c>
      <c r="D198" s="23"/>
      <c r="E198" s="24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>
        <v>1093.22</v>
      </c>
      <c r="V198" s="32">
        <v>1093.22</v>
      </c>
      <c r="W198" s="32">
        <v>1093.22</v>
      </c>
      <c r="X198" s="32">
        <v>1093.22</v>
      </c>
      <c r="Y198" s="32">
        <v>1093.22</v>
      </c>
      <c r="Z198" s="32"/>
      <c r="AA198" s="33"/>
      <c r="AB198" s="16" t="s">
        <v>217</v>
      </c>
      <c r="AC198" s="38" t="s">
        <v>239</v>
      </c>
    </row>
    <row r="199" spans="1:29" ht="34">
      <c r="A199" s="1"/>
      <c r="B199" s="21" t="s">
        <v>32</v>
      </c>
      <c r="C199" s="45" t="s">
        <v>249</v>
      </c>
      <c r="D199" s="23"/>
      <c r="E199" s="24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>
        <v>2016.95</v>
      </c>
      <c r="V199" s="32">
        <v>2016.95</v>
      </c>
      <c r="W199" s="32">
        <v>2016.95</v>
      </c>
      <c r="X199" s="32">
        <v>2016.95</v>
      </c>
      <c r="Y199" s="32">
        <v>2016.95</v>
      </c>
      <c r="Z199" s="32"/>
      <c r="AA199" s="33"/>
      <c r="AB199" s="16" t="s">
        <v>217</v>
      </c>
      <c r="AC199" s="38" t="s">
        <v>239</v>
      </c>
    </row>
    <row r="200" spans="1:29" ht="34">
      <c r="A200" s="1"/>
      <c r="B200" s="21" t="s">
        <v>35</v>
      </c>
      <c r="C200" s="45" t="s">
        <v>250</v>
      </c>
      <c r="D200" s="23"/>
      <c r="E200" s="24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>
        <v>2016.95</v>
      </c>
      <c r="V200" s="32">
        <v>2016.95</v>
      </c>
      <c r="W200" s="32">
        <v>2016.95</v>
      </c>
      <c r="X200" s="32">
        <v>2016.95</v>
      </c>
      <c r="Y200" s="32">
        <v>2016.95</v>
      </c>
      <c r="Z200" s="32"/>
      <c r="AA200" s="33"/>
      <c r="AB200" s="16" t="s">
        <v>217</v>
      </c>
      <c r="AC200" s="38" t="s">
        <v>239</v>
      </c>
    </row>
    <row r="201" spans="1:29" ht="24.75" customHeight="1">
      <c r="A201" s="1"/>
      <c r="B201" s="21"/>
      <c r="C201" s="38" t="s">
        <v>251</v>
      </c>
      <c r="D201" s="23"/>
      <c r="E201" s="24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3"/>
      <c r="AB201" s="16" t="s">
        <v>217</v>
      </c>
    </row>
    <row r="202" spans="1:29" ht="24.75" customHeight="1">
      <c r="A202" s="1"/>
      <c r="B202" s="21" t="s">
        <v>8</v>
      </c>
      <c r="C202" s="29" t="s">
        <v>252</v>
      </c>
      <c r="D202" s="23"/>
      <c r="E202" s="24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>
        <f t="shared" ref="P202:U202" si="289">9800/1.18</f>
        <v>8305.0847457627115</v>
      </c>
      <c r="Q202" s="32">
        <f t="shared" si="289"/>
        <v>8305.0847457627115</v>
      </c>
      <c r="R202" s="32">
        <f t="shared" si="289"/>
        <v>8305.0847457627115</v>
      </c>
      <c r="S202" s="32">
        <f t="shared" si="289"/>
        <v>8305.0847457627115</v>
      </c>
      <c r="T202" s="32">
        <f t="shared" si="289"/>
        <v>8305.0847457627115</v>
      </c>
      <c r="U202" s="32">
        <f t="shared" si="289"/>
        <v>8305.0847457627115</v>
      </c>
      <c r="V202" s="32">
        <f t="shared" ref="V202:Y202" si="290">9700/1.18</f>
        <v>8220.3389830508477</v>
      </c>
      <c r="W202" s="32">
        <f t="shared" si="290"/>
        <v>8220.3389830508477</v>
      </c>
      <c r="X202" s="32">
        <f t="shared" si="290"/>
        <v>8220.3389830508477</v>
      </c>
      <c r="Y202" s="32">
        <f t="shared" si="290"/>
        <v>8220.3389830508477</v>
      </c>
      <c r="Z202" s="32"/>
      <c r="AA202" s="33"/>
      <c r="AB202" s="16" t="s">
        <v>217</v>
      </c>
      <c r="AC202" s="38" t="s">
        <v>251</v>
      </c>
    </row>
    <row r="203" spans="1:29" ht="24.75" customHeight="1">
      <c r="A203" s="1"/>
      <c r="B203" s="21" t="s">
        <v>11</v>
      </c>
      <c r="C203" s="29" t="s">
        <v>253</v>
      </c>
      <c r="D203" s="23"/>
      <c r="E203" s="24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>
        <f t="shared" ref="P203:Y203" si="291">12315/1.18</f>
        <v>10436.440677966102</v>
      </c>
      <c r="Q203" s="32">
        <f t="shared" si="291"/>
        <v>10436.440677966102</v>
      </c>
      <c r="R203" s="32">
        <f t="shared" si="291"/>
        <v>10436.440677966102</v>
      </c>
      <c r="S203" s="32">
        <f t="shared" si="291"/>
        <v>10436.440677966102</v>
      </c>
      <c r="T203" s="32">
        <f t="shared" si="291"/>
        <v>10436.440677966102</v>
      </c>
      <c r="U203" s="32">
        <f t="shared" si="291"/>
        <v>10436.440677966102</v>
      </c>
      <c r="V203" s="32">
        <f t="shared" si="291"/>
        <v>10436.440677966102</v>
      </c>
      <c r="W203" s="32">
        <f t="shared" si="291"/>
        <v>10436.440677966102</v>
      </c>
      <c r="X203" s="32">
        <f t="shared" si="291"/>
        <v>10436.440677966102</v>
      </c>
      <c r="Y203" s="32">
        <f t="shared" si="291"/>
        <v>10436.440677966102</v>
      </c>
      <c r="Z203" s="32"/>
      <c r="AA203" s="33"/>
      <c r="AB203" s="16" t="s">
        <v>217</v>
      </c>
      <c r="AC203" s="38" t="s">
        <v>251</v>
      </c>
    </row>
    <row r="204" spans="1:29" ht="24.75" customHeight="1">
      <c r="A204" s="1"/>
      <c r="B204" s="21" t="s">
        <v>13</v>
      </c>
      <c r="C204" s="29" t="s">
        <v>254</v>
      </c>
      <c r="D204" s="23"/>
      <c r="E204" s="24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>
        <f t="shared" ref="P204:Y204" si="292">14210/1.18</f>
        <v>12042.372881355934</v>
      </c>
      <c r="Q204" s="32">
        <f t="shared" si="292"/>
        <v>12042.372881355934</v>
      </c>
      <c r="R204" s="32">
        <f t="shared" si="292"/>
        <v>12042.372881355934</v>
      </c>
      <c r="S204" s="32">
        <f t="shared" si="292"/>
        <v>12042.372881355934</v>
      </c>
      <c r="T204" s="32">
        <f t="shared" si="292"/>
        <v>12042.372881355934</v>
      </c>
      <c r="U204" s="32">
        <f t="shared" si="292"/>
        <v>12042.372881355934</v>
      </c>
      <c r="V204" s="32">
        <f t="shared" si="292"/>
        <v>12042.372881355934</v>
      </c>
      <c r="W204" s="32">
        <f t="shared" si="292"/>
        <v>12042.372881355934</v>
      </c>
      <c r="X204" s="32">
        <f t="shared" si="292"/>
        <v>12042.372881355934</v>
      </c>
      <c r="Y204" s="32">
        <f t="shared" si="292"/>
        <v>12042.372881355934</v>
      </c>
      <c r="Z204" s="32"/>
      <c r="AA204" s="33"/>
      <c r="AB204" s="16" t="s">
        <v>217</v>
      </c>
      <c r="AC204" s="38" t="s">
        <v>251</v>
      </c>
    </row>
    <row r="205" spans="1:29" ht="24.75" customHeight="1">
      <c r="A205" s="1"/>
      <c r="B205" s="21"/>
      <c r="C205" s="38" t="s">
        <v>255</v>
      </c>
      <c r="D205" s="23"/>
      <c r="E205" s="24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3"/>
      <c r="AB205" s="16" t="s">
        <v>217</v>
      </c>
    </row>
    <row r="206" spans="1:29" ht="24.75" customHeight="1">
      <c r="A206" s="1"/>
      <c r="B206" s="21" t="s">
        <v>8</v>
      </c>
      <c r="C206" s="29" t="s">
        <v>256</v>
      </c>
      <c r="D206" s="23"/>
      <c r="E206" s="24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>
        <v>245.76</v>
      </c>
      <c r="V206" s="32">
        <v>245.76</v>
      </c>
      <c r="W206" s="32">
        <v>245.76</v>
      </c>
      <c r="X206" s="32">
        <v>245.76</v>
      </c>
      <c r="Y206" s="32">
        <v>245.76</v>
      </c>
      <c r="Z206" s="32"/>
      <c r="AA206" s="33"/>
      <c r="AB206" s="16" t="s">
        <v>217</v>
      </c>
      <c r="AC206" s="38" t="s">
        <v>255</v>
      </c>
    </row>
    <row r="207" spans="1:29" ht="34">
      <c r="A207" s="1"/>
      <c r="B207" s="21" t="s">
        <v>11</v>
      </c>
      <c r="C207" s="45" t="s">
        <v>257</v>
      </c>
      <c r="D207" s="23"/>
      <c r="E207" s="24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>
        <v>487.29</v>
      </c>
      <c r="V207" s="32">
        <v>487.29</v>
      </c>
      <c r="W207" s="32">
        <v>487.29</v>
      </c>
      <c r="X207" s="32">
        <v>487.29</v>
      </c>
      <c r="Y207" s="32">
        <v>487.29</v>
      </c>
      <c r="Z207" s="32"/>
      <c r="AA207" s="33"/>
      <c r="AB207" s="16" t="s">
        <v>217</v>
      </c>
      <c r="AC207" s="38" t="s">
        <v>255</v>
      </c>
    </row>
    <row r="208" spans="1:29" ht="34">
      <c r="A208" s="1"/>
      <c r="B208" s="21" t="s">
        <v>13</v>
      </c>
      <c r="C208" s="45" t="s">
        <v>258</v>
      </c>
      <c r="D208" s="23"/>
      <c r="E208" s="24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>
        <v>974.58</v>
      </c>
      <c r="V208" s="32">
        <v>974.58</v>
      </c>
      <c r="W208" s="32">
        <v>974.58</v>
      </c>
      <c r="X208" s="32">
        <v>974.58</v>
      </c>
      <c r="Y208" s="32">
        <v>974.58</v>
      </c>
      <c r="Z208" s="32"/>
      <c r="AA208" s="33"/>
      <c r="AB208" s="16" t="s">
        <v>217</v>
      </c>
      <c r="AC208" s="38" t="s">
        <v>255</v>
      </c>
    </row>
    <row r="209" spans="1:29" ht="34">
      <c r="A209" s="1"/>
      <c r="B209" s="21" t="s">
        <v>15</v>
      </c>
      <c r="C209" s="45" t="s">
        <v>259</v>
      </c>
      <c r="D209" s="23"/>
      <c r="E209" s="24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>
        <v>389.83</v>
      </c>
      <c r="V209" s="32">
        <v>389.83</v>
      </c>
      <c r="W209" s="32">
        <v>389.83</v>
      </c>
      <c r="X209" s="32">
        <v>389.83</v>
      </c>
      <c r="Y209" s="32">
        <v>389.83</v>
      </c>
      <c r="Z209" s="32"/>
      <c r="AA209" s="33"/>
      <c r="AB209" s="16" t="s">
        <v>217</v>
      </c>
      <c r="AC209" s="38" t="s">
        <v>255</v>
      </c>
    </row>
    <row r="210" spans="1:29" ht="34">
      <c r="A210" s="1"/>
      <c r="B210" s="21" t="s">
        <v>18</v>
      </c>
      <c r="C210" s="45" t="s">
        <v>260</v>
      </c>
      <c r="D210" s="23"/>
      <c r="E210" s="24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>
        <v>1148.31</v>
      </c>
      <c r="V210" s="32">
        <v>1148.31</v>
      </c>
      <c r="W210" s="32">
        <v>1148.31</v>
      </c>
      <c r="X210" s="32">
        <v>1148.31</v>
      </c>
      <c r="Y210" s="32">
        <v>1148.31</v>
      </c>
      <c r="Z210" s="32"/>
      <c r="AA210" s="33"/>
      <c r="AB210" s="16" t="s">
        <v>217</v>
      </c>
      <c r="AC210" s="38" t="s">
        <v>255</v>
      </c>
    </row>
    <row r="211" spans="1:29" ht="34">
      <c r="A211" s="1"/>
      <c r="B211" s="21" t="s">
        <v>20</v>
      </c>
      <c r="C211" s="45" t="s">
        <v>261</v>
      </c>
      <c r="D211" s="23"/>
      <c r="E211" s="24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>
        <v>576.27</v>
      </c>
      <c r="V211" s="32">
        <v>576.27</v>
      </c>
      <c r="W211" s="32">
        <v>576.27</v>
      </c>
      <c r="X211" s="32">
        <v>576.27</v>
      </c>
      <c r="Y211" s="32">
        <v>576.27</v>
      </c>
      <c r="Z211" s="32"/>
      <c r="AA211" s="33"/>
      <c r="AB211" s="16" t="s">
        <v>217</v>
      </c>
      <c r="AC211" s="38" t="s">
        <v>255</v>
      </c>
    </row>
    <row r="212" spans="1:29" ht="24.75" customHeight="1">
      <c r="A212" s="1"/>
      <c r="B212" s="15"/>
      <c r="C212" s="16" t="s">
        <v>262</v>
      </c>
      <c r="D212" s="23"/>
      <c r="E212" s="24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3"/>
    </row>
    <row r="213" spans="1:29" ht="24.75" customHeight="1">
      <c r="A213" s="1"/>
      <c r="B213" s="15"/>
      <c r="C213" s="38" t="s">
        <v>263</v>
      </c>
      <c r="D213" s="23"/>
      <c r="E213" s="24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3"/>
    </row>
    <row r="214" spans="1:29" ht="24.75" customHeight="1">
      <c r="A214" s="1"/>
      <c r="B214" s="21" t="s">
        <v>8</v>
      </c>
      <c r="C214" s="29" t="s">
        <v>264</v>
      </c>
      <c r="D214" s="23">
        <v>1</v>
      </c>
      <c r="E214" s="24" t="s">
        <v>265</v>
      </c>
      <c r="F214" s="32"/>
      <c r="G214" s="32"/>
      <c r="H214" s="32"/>
      <c r="I214" s="32"/>
      <c r="J214" s="32">
        <v>1300</v>
      </c>
      <c r="K214" s="32"/>
      <c r="L214" s="32"/>
      <c r="M214" s="32"/>
      <c r="N214" s="32">
        <f t="shared" ref="N214:U214" si="293">(2980/1.25)/1.18</f>
        <v>2020.3389830508477</v>
      </c>
      <c r="O214" s="32">
        <f t="shared" si="293"/>
        <v>2020.3389830508477</v>
      </c>
      <c r="P214" s="32">
        <f t="shared" si="293"/>
        <v>2020.3389830508477</v>
      </c>
      <c r="Q214" s="32">
        <f t="shared" si="293"/>
        <v>2020.3389830508477</v>
      </c>
      <c r="R214" s="32">
        <f t="shared" si="293"/>
        <v>2020.3389830508477</v>
      </c>
      <c r="S214" s="32">
        <f t="shared" si="293"/>
        <v>2020.3389830508477</v>
      </c>
      <c r="T214" s="32">
        <f t="shared" si="293"/>
        <v>2020.3389830508477</v>
      </c>
      <c r="U214" s="32">
        <f t="shared" si="293"/>
        <v>2020.3389830508477</v>
      </c>
      <c r="V214" s="32">
        <f>1400/1.18</f>
        <v>1186.4406779661017</v>
      </c>
      <c r="W214" s="32">
        <f t="shared" ref="W214:X214" si="294">1750/1.18</f>
        <v>1483.0508474576272</v>
      </c>
      <c r="X214" s="32">
        <f t="shared" si="294"/>
        <v>1483.0508474576272</v>
      </c>
      <c r="Y214" s="32">
        <f>(6000/5)/1.18</f>
        <v>1016.949152542373</v>
      </c>
      <c r="Z214" s="32"/>
      <c r="AA214" s="33" t="s">
        <v>266</v>
      </c>
      <c r="AB214" s="16" t="s">
        <v>262</v>
      </c>
      <c r="AC214" s="38" t="s">
        <v>263</v>
      </c>
    </row>
    <row r="215" spans="1:29" ht="24.75" customHeight="1">
      <c r="A215" s="1"/>
      <c r="B215" s="21" t="s">
        <v>11</v>
      </c>
      <c r="C215" s="29" t="s">
        <v>267</v>
      </c>
      <c r="D215" s="23">
        <v>1</v>
      </c>
      <c r="E215" s="24" t="s">
        <v>265</v>
      </c>
      <c r="F215" s="32"/>
      <c r="G215" s="32"/>
      <c r="H215" s="32"/>
      <c r="I215" s="32"/>
      <c r="J215" s="32"/>
      <c r="K215" s="32"/>
      <c r="L215" s="32"/>
      <c r="M215" s="32"/>
      <c r="N215" s="32">
        <f>3280/1.18</f>
        <v>2779.6610169491528</v>
      </c>
      <c r="O215" s="32">
        <f t="shared" ref="O215:U215" si="295">(2730/1.25)/1.18</f>
        <v>1850.8474576271187</v>
      </c>
      <c r="P215" s="32">
        <f t="shared" si="295"/>
        <v>1850.8474576271187</v>
      </c>
      <c r="Q215" s="32">
        <f t="shared" si="295"/>
        <v>1850.8474576271187</v>
      </c>
      <c r="R215" s="32">
        <f t="shared" si="295"/>
        <v>1850.8474576271187</v>
      </c>
      <c r="S215" s="32">
        <f t="shared" si="295"/>
        <v>1850.8474576271187</v>
      </c>
      <c r="T215" s="32">
        <f t="shared" si="295"/>
        <v>1850.8474576271187</v>
      </c>
      <c r="U215" s="32">
        <f t="shared" si="295"/>
        <v>1850.8474576271187</v>
      </c>
      <c r="V215" s="32">
        <f>1800/1.18</f>
        <v>1525.4237288135594</v>
      </c>
      <c r="W215" s="32">
        <f t="shared" ref="W215:X215" si="296">1750/1.18</f>
        <v>1483.0508474576272</v>
      </c>
      <c r="X215" s="32">
        <f t="shared" si="296"/>
        <v>1483.0508474576272</v>
      </c>
      <c r="Y215" s="32">
        <f>(4600/2)/1.18</f>
        <v>1949.1525423728815</v>
      </c>
      <c r="Z215" s="32"/>
      <c r="AA215" s="33" t="s">
        <v>266</v>
      </c>
      <c r="AB215" s="16" t="s">
        <v>262</v>
      </c>
      <c r="AC215" s="38" t="s">
        <v>263</v>
      </c>
    </row>
    <row r="216" spans="1:29" ht="24.75" customHeight="1">
      <c r="A216" s="1"/>
      <c r="B216" s="21" t="s">
        <v>13</v>
      </c>
      <c r="C216" s="29" t="s">
        <v>268</v>
      </c>
      <c r="D216" s="23">
        <v>1</v>
      </c>
      <c r="E216" s="24" t="s">
        <v>265</v>
      </c>
      <c r="F216" s="32"/>
      <c r="G216" s="32"/>
      <c r="H216" s="32"/>
      <c r="I216" s="32"/>
      <c r="J216" s="32">
        <v>2100</v>
      </c>
      <c r="K216" s="32"/>
      <c r="L216" s="32"/>
      <c r="M216" s="32"/>
      <c r="N216" s="32">
        <f t="shared" ref="N216:U216" si="297">(3720/1.25)/1.18</f>
        <v>2522.0338983050847</v>
      </c>
      <c r="O216" s="32">
        <f t="shared" si="297"/>
        <v>2522.0338983050847</v>
      </c>
      <c r="P216" s="32">
        <f t="shared" si="297"/>
        <v>2522.0338983050847</v>
      </c>
      <c r="Q216" s="32">
        <f t="shared" si="297"/>
        <v>2522.0338983050847</v>
      </c>
      <c r="R216" s="32">
        <f t="shared" si="297"/>
        <v>2522.0338983050847</v>
      </c>
      <c r="S216" s="32">
        <f t="shared" si="297"/>
        <v>2522.0338983050847</v>
      </c>
      <c r="T216" s="32">
        <f t="shared" si="297"/>
        <v>2522.0338983050847</v>
      </c>
      <c r="U216" s="32">
        <f t="shared" si="297"/>
        <v>2522.0338983050847</v>
      </c>
      <c r="V216" s="32">
        <f>1650/1.18</f>
        <v>1398.3050847457628</v>
      </c>
      <c r="W216" s="32">
        <f t="shared" ref="W216:X216" si="298">2000/1.18</f>
        <v>1694.9152542372883</v>
      </c>
      <c r="X216" s="32">
        <f t="shared" si="298"/>
        <v>1694.9152542372883</v>
      </c>
      <c r="Y216" s="32">
        <f>2000/1.18</f>
        <v>1694.9152542372883</v>
      </c>
      <c r="Z216" s="32"/>
      <c r="AA216" s="33" t="s">
        <v>266</v>
      </c>
      <c r="AB216" s="16" t="s">
        <v>262</v>
      </c>
      <c r="AC216" s="38" t="s">
        <v>263</v>
      </c>
    </row>
    <row r="217" spans="1:29" ht="24.75" customHeight="1">
      <c r="A217" s="1"/>
      <c r="B217" s="21" t="s">
        <v>15</v>
      </c>
      <c r="C217" s="29" t="s">
        <v>269</v>
      </c>
      <c r="D217" s="23">
        <v>1</v>
      </c>
      <c r="E217" s="24" t="s">
        <v>265</v>
      </c>
      <c r="F217" s="32"/>
      <c r="G217" s="32"/>
      <c r="H217" s="32"/>
      <c r="I217" s="32"/>
      <c r="J217" s="32"/>
      <c r="K217" s="32"/>
      <c r="L217" s="32"/>
      <c r="M217" s="32"/>
      <c r="N217" s="32">
        <f t="shared" ref="N217:U217" si="299">(3280/1.25)/1.18</f>
        <v>2223.7288135593221</v>
      </c>
      <c r="O217" s="32">
        <f t="shared" si="299"/>
        <v>2223.7288135593221</v>
      </c>
      <c r="P217" s="32">
        <f t="shared" si="299"/>
        <v>2223.7288135593221</v>
      </c>
      <c r="Q217" s="32">
        <f t="shared" si="299"/>
        <v>2223.7288135593221</v>
      </c>
      <c r="R217" s="32">
        <f t="shared" si="299"/>
        <v>2223.7288135593221</v>
      </c>
      <c r="S217" s="32">
        <f t="shared" si="299"/>
        <v>2223.7288135593221</v>
      </c>
      <c r="T217" s="32">
        <f t="shared" si="299"/>
        <v>2223.7288135593221</v>
      </c>
      <c r="U217" s="32">
        <f t="shared" si="299"/>
        <v>2223.7288135593221</v>
      </c>
      <c r="V217" s="32">
        <f>2200/1.18</f>
        <v>1864.406779661017</v>
      </c>
      <c r="W217" s="32">
        <f t="shared" ref="W217:X217" si="300">2000/1.18</f>
        <v>1694.9152542372883</v>
      </c>
      <c r="X217" s="32">
        <f t="shared" si="300"/>
        <v>1694.9152542372883</v>
      </c>
      <c r="Y217" s="32">
        <f>(5800/4)/1.18</f>
        <v>1228.8135593220341</v>
      </c>
      <c r="Z217" s="32"/>
      <c r="AA217" s="33" t="s">
        <v>266</v>
      </c>
      <c r="AB217" s="16" t="s">
        <v>262</v>
      </c>
      <c r="AC217" s="38" t="s">
        <v>263</v>
      </c>
    </row>
    <row r="218" spans="1:29" ht="24.75" customHeight="1">
      <c r="A218" s="1"/>
      <c r="B218" s="21" t="s">
        <v>18</v>
      </c>
      <c r="C218" s="29" t="s">
        <v>270</v>
      </c>
      <c r="D218" s="23">
        <v>1</v>
      </c>
      <c r="E218" s="24" t="s">
        <v>265</v>
      </c>
      <c r="F218" s="32"/>
      <c r="G218" s="32"/>
      <c r="H218" s="32"/>
      <c r="I218" s="32"/>
      <c r="J218" s="32"/>
      <c r="K218" s="32"/>
      <c r="L218" s="32"/>
      <c r="M218" s="32"/>
      <c r="N218" s="32">
        <f>3940/1.18</f>
        <v>3338.9830508474579</v>
      </c>
      <c r="O218" s="32">
        <f t="shared" ref="O218:U218" si="301">(3680/1.25)/1.18</f>
        <v>2494.9152542372881</v>
      </c>
      <c r="P218" s="32">
        <f t="shared" si="301"/>
        <v>2494.9152542372881</v>
      </c>
      <c r="Q218" s="32">
        <f t="shared" si="301"/>
        <v>2494.9152542372881</v>
      </c>
      <c r="R218" s="32">
        <f t="shared" si="301"/>
        <v>2494.9152542372881</v>
      </c>
      <c r="S218" s="32">
        <f t="shared" si="301"/>
        <v>2494.9152542372881</v>
      </c>
      <c r="T218" s="32">
        <f t="shared" si="301"/>
        <v>2494.9152542372881</v>
      </c>
      <c r="U218" s="32">
        <f t="shared" si="301"/>
        <v>2494.9152542372881</v>
      </c>
      <c r="V218" s="32">
        <f>2500/1.18</f>
        <v>2118.6440677966102</v>
      </c>
      <c r="W218" s="32">
        <f t="shared" ref="W218:X218" si="302">2400/1.18</f>
        <v>2033.898305084746</v>
      </c>
      <c r="X218" s="32">
        <f t="shared" si="302"/>
        <v>2033.898305084746</v>
      </c>
      <c r="Y218" s="32">
        <f>(13800/6)/1.18</f>
        <v>1949.1525423728815</v>
      </c>
      <c r="Z218" s="32"/>
      <c r="AA218" s="33" t="s">
        <v>266</v>
      </c>
      <c r="AB218" s="16" t="s">
        <v>262</v>
      </c>
      <c r="AC218" s="38" t="s">
        <v>263</v>
      </c>
    </row>
    <row r="219" spans="1:29" ht="24.75" customHeight="1">
      <c r="A219" s="1"/>
      <c r="B219" s="21" t="s">
        <v>20</v>
      </c>
      <c r="C219" s="29" t="s">
        <v>271</v>
      </c>
      <c r="D219" s="23">
        <v>1</v>
      </c>
      <c r="E219" s="24" t="s">
        <v>265</v>
      </c>
      <c r="F219" s="32"/>
      <c r="G219" s="32"/>
      <c r="H219" s="32"/>
      <c r="I219" s="32"/>
      <c r="J219" s="32"/>
      <c r="K219" s="32"/>
      <c r="L219" s="32"/>
      <c r="M219" s="32"/>
      <c r="N219" s="32">
        <f t="shared" ref="N219:U219" si="303">(6530/1.25)/1.18</f>
        <v>4427.1186440677966</v>
      </c>
      <c r="O219" s="32">
        <f t="shared" si="303"/>
        <v>4427.1186440677966</v>
      </c>
      <c r="P219" s="32">
        <f t="shared" si="303"/>
        <v>4427.1186440677966</v>
      </c>
      <c r="Q219" s="32">
        <f t="shared" si="303"/>
        <v>4427.1186440677966</v>
      </c>
      <c r="R219" s="32">
        <f t="shared" si="303"/>
        <v>4427.1186440677966</v>
      </c>
      <c r="S219" s="32">
        <f t="shared" si="303"/>
        <v>4427.1186440677966</v>
      </c>
      <c r="T219" s="32">
        <f t="shared" si="303"/>
        <v>4427.1186440677966</v>
      </c>
      <c r="U219" s="32">
        <f t="shared" si="303"/>
        <v>4427.1186440677966</v>
      </c>
      <c r="V219" s="32">
        <f>4500/1.18</f>
        <v>3813.5593220338983</v>
      </c>
      <c r="W219" s="32">
        <f t="shared" ref="W219:X219" si="304">2600/1.18</f>
        <v>2203.3898305084749</v>
      </c>
      <c r="X219" s="32">
        <f t="shared" si="304"/>
        <v>2203.3898305084749</v>
      </c>
      <c r="Y219" s="32">
        <f>(6500/2)/1.18</f>
        <v>2754.2372881355932</v>
      </c>
      <c r="Z219" s="32"/>
      <c r="AA219" s="33" t="s">
        <v>266</v>
      </c>
      <c r="AB219" s="16" t="s">
        <v>262</v>
      </c>
      <c r="AC219" s="38" t="s">
        <v>263</v>
      </c>
    </row>
    <row r="220" spans="1:29" ht="24.75" customHeight="1">
      <c r="A220" s="1"/>
      <c r="B220" s="21" t="s">
        <v>24</v>
      </c>
      <c r="C220" s="29" t="s">
        <v>272</v>
      </c>
      <c r="D220" s="23">
        <v>1</v>
      </c>
      <c r="E220" s="24" t="s">
        <v>265</v>
      </c>
      <c r="F220" s="32"/>
      <c r="G220" s="32"/>
      <c r="H220" s="32"/>
      <c r="I220" s="32"/>
      <c r="J220" s="32"/>
      <c r="K220" s="32"/>
      <c r="L220" s="32"/>
      <c r="M220" s="32"/>
      <c r="N220" s="32">
        <f t="shared" ref="N220:U220" si="305">(1460/1.25)/1.18</f>
        <v>989.83050847457628</v>
      </c>
      <c r="O220" s="32">
        <f t="shared" si="305"/>
        <v>989.83050847457628</v>
      </c>
      <c r="P220" s="32">
        <f t="shared" si="305"/>
        <v>989.83050847457628</v>
      </c>
      <c r="Q220" s="32">
        <f t="shared" si="305"/>
        <v>989.83050847457628</v>
      </c>
      <c r="R220" s="32">
        <f t="shared" si="305"/>
        <v>989.83050847457628</v>
      </c>
      <c r="S220" s="32">
        <f t="shared" si="305"/>
        <v>989.83050847457628</v>
      </c>
      <c r="T220" s="32">
        <f t="shared" si="305"/>
        <v>989.83050847457628</v>
      </c>
      <c r="U220" s="32">
        <f t="shared" si="305"/>
        <v>989.83050847457628</v>
      </c>
      <c r="V220" s="32">
        <f>970/1.18</f>
        <v>822.03389830508479</v>
      </c>
      <c r="W220" s="32">
        <f t="shared" ref="W220:X220" si="306">950/1.18</f>
        <v>805.08474576271192</v>
      </c>
      <c r="X220" s="32">
        <f t="shared" si="306"/>
        <v>805.08474576271192</v>
      </c>
      <c r="Y220" s="32">
        <f>(3900/4)/1.18</f>
        <v>826.27118644067798</v>
      </c>
      <c r="Z220" s="32"/>
      <c r="AA220" s="33" t="s">
        <v>266</v>
      </c>
      <c r="AB220" s="16" t="s">
        <v>262</v>
      </c>
      <c r="AC220" s="38" t="s">
        <v>263</v>
      </c>
    </row>
    <row r="221" spans="1:29" ht="24.75" customHeight="1">
      <c r="A221" s="1"/>
      <c r="B221" s="21" t="s">
        <v>27</v>
      </c>
      <c r="C221" s="29" t="s">
        <v>273</v>
      </c>
      <c r="D221" s="23">
        <v>1</v>
      </c>
      <c r="E221" s="24" t="s">
        <v>265</v>
      </c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>
        <f>2180/1.18</f>
        <v>1847.4576271186443</v>
      </c>
      <c r="Z221" s="32"/>
      <c r="AA221" s="33" t="s">
        <v>266</v>
      </c>
      <c r="AB221" s="16" t="s">
        <v>262</v>
      </c>
      <c r="AC221" s="38" t="s">
        <v>263</v>
      </c>
    </row>
    <row r="222" spans="1:29" ht="24.75" customHeight="1">
      <c r="A222" s="1"/>
      <c r="B222" s="21" t="s">
        <v>30</v>
      </c>
      <c r="C222" s="29" t="s">
        <v>274</v>
      </c>
      <c r="D222" s="23">
        <v>1</v>
      </c>
      <c r="E222" s="24" t="s">
        <v>265</v>
      </c>
      <c r="F222" s="32"/>
      <c r="G222" s="32"/>
      <c r="H222" s="32"/>
      <c r="I222" s="32"/>
      <c r="J222" s="32"/>
      <c r="K222" s="32"/>
      <c r="L222" s="32"/>
      <c r="M222" s="32"/>
      <c r="N222" s="32">
        <f t="shared" ref="N222:U222" si="307">(2990/1.25)/1.18</f>
        <v>2027.1186440677968</v>
      </c>
      <c r="O222" s="32">
        <f t="shared" si="307"/>
        <v>2027.1186440677968</v>
      </c>
      <c r="P222" s="32">
        <f t="shared" si="307"/>
        <v>2027.1186440677968</v>
      </c>
      <c r="Q222" s="32">
        <f t="shared" si="307"/>
        <v>2027.1186440677968</v>
      </c>
      <c r="R222" s="32">
        <f t="shared" si="307"/>
        <v>2027.1186440677968</v>
      </c>
      <c r="S222" s="32">
        <f t="shared" si="307"/>
        <v>2027.1186440677968</v>
      </c>
      <c r="T222" s="32">
        <f t="shared" si="307"/>
        <v>2027.1186440677968</v>
      </c>
      <c r="U222" s="32">
        <f t="shared" si="307"/>
        <v>2027.1186440677968</v>
      </c>
      <c r="V222" s="32">
        <f>2000/1.18</f>
        <v>1694.9152542372883</v>
      </c>
      <c r="W222" s="32">
        <f t="shared" ref="W222:X222" si="308">2200/1.18</f>
        <v>1864.406779661017</v>
      </c>
      <c r="X222" s="32">
        <f t="shared" si="308"/>
        <v>1864.406779661017</v>
      </c>
      <c r="Y222" s="32">
        <f>1800/1.18</f>
        <v>1525.4237288135594</v>
      </c>
      <c r="Z222" s="32"/>
      <c r="AA222" s="33" t="s">
        <v>266</v>
      </c>
      <c r="AB222" s="16" t="s">
        <v>262</v>
      </c>
      <c r="AC222" s="38" t="s">
        <v>263</v>
      </c>
    </row>
    <row r="223" spans="1:29" ht="24.75" customHeight="1">
      <c r="A223" s="1"/>
      <c r="B223" s="21" t="s">
        <v>32</v>
      </c>
      <c r="C223" s="29" t="s">
        <v>275</v>
      </c>
      <c r="D223" s="23">
        <v>1</v>
      </c>
      <c r="E223" s="24" t="s">
        <v>276</v>
      </c>
      <c r="F223" s="32"/>
      <c r="G223" s="32"/>
      <c r="H223" s="32"/>
      <c r="I223" s="32"/>
      <c r="J223" s="32"/>
      <c r="K223" s="32"/>
      <c r="L223" s="32"/>
      <c r="M223" s="32"/>
      <c r="N223" s="32">
        <f t="shared" ref="N223:U223" si="309">(1890/1.25)/1.18</f>
        <v>1281.35593220339</v>
      </c>
      <c r="O223" s="32">
        <f t="shared" si="309"/>
        <v>1281.35593220339</v>
      </c>
      <c r="P223" s="32">
        <f t="shared" si="309"/>
        <v>1281.35593220339</v>
      </c>
      <c r="Q223" s="32">
        <f t="shared" si="309"/>
        <v>1281.35593220339</v>
      </c>
      <c r="R223" s="32">
        <f t="shared" si="309"/>
        <v>1281.35593220339</v>
      </c>
      <c r="S223" s="32">
        <f t="shared" si="309"/>
        <v>1281.35593220339</v>
      </c>
      <c r="T223" s="32">
        <f t="shared" si="309"/>
        <v>1281.35593220339</v>
      </c>
      <c r="U223" s="32">
        <f t="shared" si="309"/>
        <v>1281.35593220339</v>
      </c>
      <c r="V223" s="32">
        <f>800/1.18</f>
        <v>677.96610169491532</v>
      </c>
      <c r="W223" s="32">
        <f t="shared" ref="W223:X223" si="310">850/1.18</f>
        <v>720.33898305084745</v>
      </c>
      <c r="X223" s="32">
        <f t="shared" si="310"/>
        <v>720.33898305084745</v>
      </c>
      <c r="Y223" s="32">
        <f>(2500/3)/1.18</f>
        <v>706.21468926553678</v>
      </c>
      <c r="Z223" s="32"/>
      <c r="AA223" s="33" t="s">
        <v>266</v>
      </c>
      <c r="AB223" s="16" t="s">
        <v>262</v>
      </c>
      <c r="AC223" s="38" t="s">
        <v>263</v>
      </c>
    </row>
    <row r="224" spans="1:29" ht="24.75" customHeight="1">
      <c r="A224" s="1"/>
      <c r="B224" s="21" t="s">
        <v>35</v>
      </c>
      <c r="C224" s="29" t="s">
        <v>277</v>
      </c>
      <c r="D224" s="23">
        <v>1</v>
      </c>
      <c r="E224" s="24" t="s">
        <v>278</v>
      </c>
      <c r="F224" s="32"/>
      <c r="G224" s="32"/>
      <c r="H224" s="32"/>
      <c r="I224" s="32"/>
      <c r="J224" s="32"/>
      <c r="K224" s="32"/>
      <c r="L224" s="32"/>
      <c r="M224" s="32"/>
      <c r="N224" s="32">
        <f t="shared" ref="N224:U224" si="311">(18490/1.25)/1.18</f>
        <v>12535.593220338984</v>
      </c>
      <c r="O224" s="32">
        <f t="shared" si="311"/>
        <v>12535.593220338984</v>
      </c>
      <c r="P224" s="32">
        <f t="shared" si="311"/>
        <v>12535.593220338984</v>
      </c>
      <c r="Q224" s="32">
        <f t="shared" si="311"/>
        <v>12535.593220338984</v>
      </c>
      <c r="R224" s="32">
        <f t="shared" si="311"/>
        <v>12535.593220338984</v>
      </c>
      <c r="S224" s="32">
        <f t="shared" si="311"/>
        <v>12535.593220338984</v>
      </c>
      <c r="T224" s="32">
        <f t="shared" si="311"/>
        <v>12535.593220338984</v>
      </c>
      <c r="U224" s="32">
        <f t="shared" si="311"/>
        <v>12535.593220338984</v>
      </c>
      <c r="V224" s="32">
        <f>8000/1.18</f>
        <v>6779.6610169491532</v>
      </c>
      <c r="W224" s="32">
        <f t="shared" ref="W224:X224" si="312">8500/1.18</f>
        <v>7203.3898305084749</v>
      </c>
      <c r="X224" s="32">
        <f t="shared" si="312"/>
        <v>7203.3898305084749</v>
      </c>
      <c r="Y224" s="32">
        <f>6000/1.18</f>
        <v>5084.7457627118647</v>
      </c>
      <c r="Z224" s="32"/>
      <c r="AA224" s="33" t="s">
        <v>266</v>
      </c>
      <c r="AB224" s="16" t="s">
        <v>262</v>
      </c>
      <c r="AC224" s="38" t="s">
        <v>263</v>
      </c>
    </row>
    <row r="225" spans="1:30" ht="24.75" customHeight="1">
      <c r="A225" s="1"/>
      <c r="B225" s="21"/>
      <c r="C225" s="38" t="s">
        <v>279</v>
      </c>
      <c r="D225" s="23"/>
      <c r="E225" s="24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3"/>
      <c r="AB225" s="16" t="s">
        <v>262</v>
      </c>
    </row>
    <row r="226" spans="1:30" ht="24.75" customHeight="1">
      <c r="A226" s="1"/>
      <c r="B226" s="21" t="s">
        <v>8</v>
      </c>
      <c r="C226" s="29" t="s">
        <v>280</v>
      </c>
      <c r="D226" s="35">
        <v>1</v>
      </c>
      <c r="E226" s="36" t="s">
        <v>281</v>
      </c>
      <c r="F226" s="32"/>
      <c r="G226" s="32"/>
      <c r="H226" s="32"/>
      <c r="I226" s="32"/>
      <c r="J226" s="32"/>
      <c r="K226" s="32"/>
      <c r="L226" s="32"/>
      <c r="M226" s="32"/>
      <c r="N226" s="32">
        <f t="shared" ref="N226:U226" si="313">(2650*0.75)/1.18</f>
        <v>1684.3220338983051</v>
      </c>
      <c r="O226" s="32">
        <f t="shared" si="313"/>
        <v>1684.3220338983051</v>
      </c>
      <c r="P226" s="32">
        <f t="shared" si="313"/>
        <v>1684.3220338983051</v>
      </c>
      <c r="Q226" s="32">
        <f t="shared" si="313"/>
        <v>1684.3220338983051</v>
      </c>
      <c r="R226" s="32">
        <f t="shared" si="313"/>
        <v>1684.3220338983051</v>
      </c>
      <c r="S226" s="32">
        <f t="shared" si="313"/>
        <v>1684.3220338983051</v>
      </c>
      <c r="T226" s="32">
        <f t="shared" si="313"/>
        <v>1684.3220338983051</v>
      </c>
      <c r="U226" s="32">
        <f t="shared" si="313"/>
        <v>1684.3220338983051</v>
      </c>
      <c r="V226" s="32">
        <f>1350/1.18</f>
        <v>1144.0677966101696</v>
      </c>
      <c r="W226" s="32">
        <f t="shared" ref="W226:X226" si="314">1850/1.18</f>
        <v>1567.7966101694917</v>
      </c>
      <c r="X226" s="32">
        <f t="shared" si="314"/>
        <v>1567.7966101694917</v>
      </c>
      <c r="Y226" s="32">
        <f>1800/1.18</f>
        <v>1525.4237288135594</v>
      </c>
      <c r="Z226" s="32"/>
      <c r="AA226" s="33" t="s">
        <v>266</v>
      </c>
      <c r="AB226" s="16" t="s">
        <v>262</v>
      </c>
      <c r="AC226" s="38" t="s">
        <v>279</v>
      </c>
    </row>
    <row r="227" spans="1:30" ht="24.75" customHeight="1">
      <c r="A227" s="1"/>
      <c r="B227" s="21" t="s">
        <v>11</v>
      </c>
      <c r="C227" s="29" t="s">
        <v>282</v>
      </c>
      <c r="D227" s="35">
        <v>1</v>
      </c>
      <c r="E227" s="36" t="s">
        <v>281</v>
      </c>
      <c r="F227" s="32"/>
      <c r="G227" s="32"/>
      <c r="H227" s="32"/>
      <c r="I227" s="32"/>
      <c r="J227" s="32"/>
      <c r="K227" s="32"/>
      <c r="L227" s="32"/>
      <c r="M227" s="32"/>
      <c r="N227" s="32">
        <f t="shared" ref="N227:U227" si="315">(2650*0.75)/1.18</f>
        <v>1684.3220338983051</v>
      </c>
      <c r="O227" s="32">
        <f t="shared" si="315"/>
        <v>1684.3220338983051</v>
      </c>
      <c r="P227" s="32">
        <f t="shared" si="315"/>
        <v>1684.3220338983051</v>
      </c>
      <c r="Q227" s="32">
        <f t="shared" si="315"/>
        <v>1684.3220338983051</v>
      </c>
      <c r="R227" s="32">
        <f t="shared" si="315"/>
        <v>1684.3220338983051</v>
      </c>
      <c r="S227" s="32">
        <f t="shared" si="315"/>
        <v>1684.3220338983051</v>
      </c>
      <c r="T227" s="32">
        <f t="shared" si="315"/>
        <v>1684.3220338983051</v>
      </c>
      <c r="U227" s="32">
        <f t="shared" si="315"/>
        <v>1684.3220338983051</v>
      </c>
      <c r="V227" s="32">
        <f>2000/1.18</f>
        <v>1694.9152542372883</v>
      </c>
      <c r="W227" s="32">
        <f t="shared" ref="W227:X227" si="316">2200/1.18</f>
        <v>1864.406779661017</v>
      </c>
      <c r="X227" s="32">
        <f t="shared" si="316"/>
        <v>1864.406779661017</v>
      </c>
      <c r="Y227" s="32">
        <f>(4560/2)/1.18</f>
        <v>1932.2033898305085</v>
      </c>
      <c r="Z227" s="32"/>
      <c r="AA227" s="33" t="s">
        <v>266</v>
      </c>
      <c r="AB227" s="16" t="s">
        <v>262</v>
      </c>
      <c r="AC227" s="38" t="s">
        <v>279</v>
      </c>
    </row>
    <row r="228" spans="1:30" ht="24.75" customHeight="1">
      <c r="A228" s="1"/>
      <c r="B228" s="21"/>
      <c r="C228" s="38" t="s">
        <v>283</v>
      </c>
      <c r="D228" s="35"/>
      <c r="E228" s="36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3"/>
      <c r="AB228" s="16" t="s">
        <v>262</v>
      </c>
    </row>
    <row r="229" spans="1:30" ht="24.75" customHeight="1">
      <c r="A229" s="1"/>
      <c r="B229" s="21" t="s">
        <v>8</v>
      </c>
      <c r="C229" s="29" t="s">
        <v>284</v>
      </c>
      <c r="D229" s="23">
        <v>1</v>
      </c>
      <c r="E229" s="24" t="s">
        <v>52</v>
      </c>
      <c r="F229" s="32"/>
      <c r="G229" s="32"/>
      <c r="H229" s="32"/>
      <c r="I229" s="32"/>
      <c r="J229" s="32"/>
      <c r="K229" s="32"/>
      <c r="L229" s="32"/>
      <c r="M229" s="32"/>
      <c r="N229" s="32">
        <f t="shared" ref="N229:S229" si="317">360/1.18</f>
        <v>305.08474576271186</v>
      </c>
      <c r="O229" s="32">
        <f t="shared" si="317"/>
        <v>305.08474576271186</v>
      </c>
      <c r="P229" s="32">
        <f t="shared" si="317"/>
        <v>305.08474576271186</v>
      </c>
      <c r="Q229" s="32">
        <f t="shared" si="317"/>
        <v>305.08474576271186</v>
      </c>
      <c r="R229" s="32">
        <f t="shared" si="317"/>
        <v>305.08474576271186</v>
      </c>
      <c r="S229" s="32">
        <f t="shared" si="317"/>
        <v>305.08474576271186</v>
      </c>
      <c r="T229" s="32">
        <v>350</v>
      </c>
      <c r="U229" s="40">
        <v>350</v>
      </c>
      <c r="V229" s="32">
        <f t="shared" ref="V229:X229" si="318">350/1.18</f>
        <v>296.61016949152543</v>
      </c>
      <c r="W229" s="32">
        <f t="shared" si="318"/>
        <v>296.61016949152543</v>
      </c>
      <c r="X229" s="32">
        <f t="shared" si="318"/>
        <v>296.61016949152543</v>
      </c>
      <c r="Y229" s="32">
        <f>345/1.18</f>
        <v>292.37288135593224</v>
      </c>
      <c r="Z229" s="32"/>
      <c r="AA229" s="33"/>
      <c r="AB229" s="16" t="s">
        <v>262</v>
      </c>
      <c r="AC229" s="38" t="s">
        <v>283</v>
      </c>
    </row>
    <row r="230" spans="1:30" ht="24.75" customHeight="1">
      <c r="A230" s="1"/>
      <c r="B230" s="21" t="s">
        <v>11</v>
      </c>
      <c r="C230" s="29" t="s">
        <v>285</v>
      </c>
      <c r="D230" s="23">
        <v>1</v>
      </c>
      <c r="E230" s="24" t="s">
        <v>52</v>
      </c>
      <c r="F230" s="32"/>
      <c r="G230" s="32"/>
      <c r="H230" s="32"/>
      <c r="I230" s="32"/>
      <c r="J230" s="32"/>
      <c r="K230" s="32"/>
      <c r="L230" s="32"/>
      <c r="M230" s="32"/>
      <c r="N230" s="32">
        <v>490</v>
      </c>
      <c r="O230" s="32">
        <v>490</v>
      </c>
      <c r="P230" s="32">
        <v>490</v>
      </c>
      <c r="Q230" s="32">
        <v>490</v>
      </c>
      <c r="R230" s="32">
        <v>490</v>
      </c>
      <c r="S230" s="32">
        <v>490</v>
      </c>
      <c r="T230" s="32">
        <v>320</v>
      </c>
      <c r="U230" s="40">
        <f>333/1.18</f>
        <v>282.20338983050851</v>
      </c>
      <c r="V230" s="32">
        <f>300/1.18</f>
        <v>254.23728813559325</v>
      </c>
      <c r="W230" s="32">
        <f t="shared" ref="W230:X230" si="319">340/1.18</f>
        <v>288.13559322033899</v>
      </c>
      <c r="X230" s="32">
        <f t="shared" si="319"/>
        <v>288.13559322033899</v>
      </c>
      <c r="Y230" s="32">
        <f>277.5/1.18</f>
        <v>235.16949152542375</v>
      </c>
      <c r="Z230" s="32"/>
      <c r="AA230" s="33"/>
      <c r="AB230" s="16" t="s">
        <v>262</v>
      </c>
      <c r="AC230" s="38" t="s">
        <v>283</v>
      </c>
    </row>
    <row r="231" spans="1:30" ht="24.75" customHeight="1">
      <c r="A231" s="1"/>
      <c r="B231" s="21" t="s">
        <v>13</v>
      </c>
      <c r="C231" s="29" t="s">
        <v>286</v>
      </c>
      <c r="D231" s="23">
        <v>1</v>
      </c>
      <c r="E231" s="24" t="s">
        <v>52</v>
      </c>
      <c r="F231" s="32"/>
      <c r="G231" s="32"/>
      <c r="H231" s="32"/>
      <c r="I231" s="32"/>
      <c r="J231" s="32"/>
      <c r="K231" s="32"/>
      <c r="L231" s="32"/>
      <c r="M231" s="32"/>
      <c r="N231" s="32">
        <v>987</v>
      </c>
      <c r="O231" s="32">
        <v>944</v>
      </c>
      <c r="P231" s="32">
        <v>944</v>
      </c>
      <c r="Q231" s="32">
        <v>944</v>
      </c>
      <c r="R231" s="32">
        <v>944</v>
      </c>
      <c r="S231" s="32">
        <v>944</v>
      </c>
      <c r="T231" s="32">
        <v>500</v>
      </c>
      <c r="U231" s="40">
        <f>491/1.18</f>
        <v>416.10169491525426</v>
      </c>
      <c r="V231" s="32">
        <f t="shared" ref="V231:X231" si="320">450/1.18</f>
        <v>381.35593220338984</v>
      </c>
      <c r="W231" s="32">
        <f t="shared" si="320"/>
        <v>381.35593220338984</v>
      </c>
      <c r="X231" s="32">
        <f t="shared" si="320"/>
        <v>381.35593220338984</v>
      </c>
      <c r="Y231" s="32">
        <f>495/1.18</f>
        <v>419.49152542372883</v>
      </c>
      <c r="Z231" s="32"/>
      <c r="AA231" s="33"/>
      <c r="AB231" s="16" t="s">
        <v>262</v>
      </c>
      <c r="AC231" s="38" t="s">
        <v>283</v>
      </c>
    </row>
    <row r="232" spans="1:30" ht="24.75" customHeight="1">
      <c r="A232" s="1"/>
      <c r="B232" s="21" t="s">
        <v>15</v>
      </c>
      <c r="C232" s="29" t="s">
        <v>287</v>
      </c>
      <c r="D232" s="23">
        <v>1</v>
      </c>
      <c r="E232" s="24" t="s">
        <v>52</v>
      </c>
      <c r="F232" s="32"/>
      <c r="G232" s="32"/>
      <c r="H232" s="32"/>
      <c r="I232" s="32"/>
      <c r="J232" s="32"/>
      <c r="K232" s="32"/>
      <c r="L232" s="32"/>
      <c r="M232" s="32"/>
      <c r="N232" s="32">
        <v>1695</v>
      </c>
      <c r="O232" s="32">
        <v>1690</v>
      </c>
      <c r="P232" s="32">
        <v>1690</v>
      </c>
      <c r="Q232" s="32">
        <v>1690</v>
      </c>
      <c r="R232" s="32">
        <v>1690</v>
      </c>
      <c r="S232" s="32">
        <v>1690</v>
      </c>
      <c r="T232" s="32">
        <v>850</v>
      </c>
      <c r="U232" s="40">
        <f>859/1.18</f>
        <v>727.96610169491532</v>
      </c>
      <c r="V232" s="32">
        <f>850/1.18</f>
        <v>720.33898305084745</v>
      </c>
      <c r="W232" s="32">
        <f t="shared" ref="W232:X232" si="321">950/1.18</f>
        <v>805.08474576271192</v>
      </c>
      <c r="X232" s="32">
        <f t="shared" si="321"/>
        <v>805.08474576271192</v>
      </c>
      <c r="Y232" s="32">
        <f>1080/1.18</f>
        <v>915.25423728813564</v>
      </c>
      <c r="Z232" s="32"/>
      <c r="AA232" s="33"/>
      <c r="AB232" s="16" t="s">
        <v>262</v>
      </c>
      <c r="AC232" s="38" t="s">
        <v>283</v>
      </c>
    </row>
    <row r="233" spans="1:30" ht="24.75" customHeight="1">
      <c r="A233" s="1"/>
      <c r="B233" s="21" t="s">
        <v>18</v>
      </c>
      <c r="C233" s="29" t="s">
        <v>288</v>
      </c>
      <c r="D233" s="23">
        <v>1</v>
      </c>
      <c r="E233" s="24" t="s">
        <v>52</v>
      </c>
      <c r="F233" s="32"/>
      <c r="G233" s="32"/>
      <c r="H233" s="32"/>
      <c r="I233" s="32"/>
      <c r="J233" s="32">
        <v>1300</v>
      </c>
      <c r="K233" s="32"/>
      <c r="L233" s="32"/>
      <c r="M233" s="32"/>
      <c r="N233" s="32">
        <f>1495/1.18</f>
        <v>1266.949152542373</v>
      </c>
      <c r="O233" s="32">
        <f t="shared" ref="O233:S233" si="322">1590/1.18</f>
        <v>1347.457627118644</v>
      </c>
      <c r="P233" s="32">
        <f t="shared" si="322"/>
        <v>1347.457627118644</v>
      </c>
      <c r="Q233" s="32">
        <f t="shared" si="322"/>
        <v>1347.457627118644</v>
      </c>
      <c r="R233" s="32">
        <f t="shared" si="322"/>
        <v>1347.457627118644</v>
      </c>
      <c r="S233" s="32">
        <f t="shared" si="322"/>
        <v>1347.457627118644</v>
      </c>
      <c r="T233" s="32">
        <v>800</v>
      </c>
      <c r="U233" s="40">
        <f>1521/1.18</f>
        <v>1288.9830508474577</v>
      </c>
      <c r="V233" s="32">
        <f>800/1.18</f>
        <v>677.96610169491532</v>
      </c>
      <c r="W233" s="32">
        <f t="shared" ref="W233:X233" si="323">1200/1.18</f>
        <v>1016.949152542373</v>
      </c>
      <c r="X233" s="32">
        <f t="shared" si="323"/>
        <v>1016.949152542373</v>
      </c>
      <c r="Y233" s="32">
        <f>945/1.18</f>
        <v>800.84745762711873</v>
      </c>
      <c r="Z233" s="32"/>
      <c r="AA233" s="33"/>
      <c r="AB233" s="16" t="s">
        <v>262</v>
      </c>
      <c r="AC233" s="38" t="s">
        <v>283</v>
      </c>
    </row>
    <row r="234" spans="1:30" ht="24.75" customHeight="1">
      <c r="A234" s="1"/>
      <c r="B234" s="21" t="s">
        <v>20</v>
      </c>
      <c r="C234" s="29" t="s">
        <v>289</v>
      </c>
      <c r="D234" s="23">
        <v>1</v>
      </c>
      <c r="E234" s="24" t="s">
        <v>52</v>
      </c>
      <c r="F234" s="32"/>
      <c r="G234" s="32"/>
      <c r="H234" s="32"/>
      <c r="I234" s="32"/>
      <c r="J234" s="32">
        <v>240</v>
      </c>
      <c r="K234" s="32"/>
      <c r="L234" s="32"/>
      <c r="M234" s="32"/>
      <c r="N234" s="32">
        <v>240</v>
      </c>
      <c r="O234" s="32">
        <v>250</v>
      </c>
      <c r="P234" s="32">
        <v>250</v>
      </c>
      <c r="Q234" s="32">
        <v>250</v>
      </c>
      <c r="R234" s="32">
        <v>250</v>
      </c>
      <c r="S234" s="32">
        <v>250</v>
      </c>
      <c r="T234" s="32">
        <v>220</v>
      </c>
      <c r="U234" s="40">
        <f>170/1.18</f>
        <v>144.06779661016949</v>
      </c>
      <c r="V234" s="32">
        <f>150/1.18</f>
        <v>127.11864406779662</v>
      </c>
      <c r="W234" s="32">
        <f t="shared" ref="W234:X234" si="324">220/1.18</f>
        <v>186.4406779661017</v>
      </c>
      <c r="X234" s="32">
        <f t="shared" si="324"/>
        <v>186.4406779661017</v>
      </c>
      <c r="Y234" s="32">
        <f>190/1.18</f>
        <v>161.0169491525424</v>
      </c>
      <c r="Z234" s="32"/>
      <c r="AA234" s="33"/>
      <c r="AB234" s="16" t="s">
        <v>262</v>
      </c>
      <c r="AC234" s="38" t="s">
        <v>283</v>
      </c>
    </row>
    <row r="235" spans="1:30" ht="24.75" customHeight="1">
      <c r="A235" s="1"/>
      <c r="B235" s="21" t="s">
        <v>24</v>
      </c>
      <c r="C235" s="29" t="s">
        <v>290</v>
      </c>
      <c r="D235" s="23">
        <v>1</v>
      </c>
      <c r="E235" s="24" t="s">
        <v>52</v>
      </c>
      <c r="F235" s="32"/>
      <c r="G235" s="32"/>
      <c r="H235" s="32"/>
      <c r="I235" s="32"/>
      <c r="J235" s="32"/>
      <c r="K235" s="32"/>
      <c r="L235" s="32"/>
      <c r="M235" s="32"/>
      <c r="N235" s="32">
        <v>240</v>
      </c>
      <c r="O235" s="32">
        <v>250</v>
      </c>
      <c r="P235" s="32">
        <v>250</v>
      </c>
      <c r="Q235" s="32">
        <v>250</v>
      </c>
      <c r="R235" s="32">
        <v>250</v>
      </c>
      <c r="S235" s="32">
        <v>250</v>
      </c>
      <c r="T235" s="32">
        <v>250</v>
      </c>
      <c r="U235" s="40">
        <f t="shared" ref="U235:X235" si="325">220/1.18</f>
        <v>186.4406779661017</v>
      </c>
      <c r="V235" s="32">
        <f t="shared" si="325"/>
        <v>186.4406779661017</v>
      </c>
      <c r="W235" s="32">
        <f t="shared" si="325"/>
        <v>186.4406779661017</v>
      </c>
      <c r="X235" s="32">
        <f t="shared" si="325"/>
        <v>186.4406779661017</v>
      </c>
      <c r="Y235" s="32">
        <f>210/1.18</f>
        <v>177.96610169491527</v>
      </c>
      <c r="Z235" s="32"/>
      <c r="AA235" s="33"/>
      <c r="AB235" s="16" t="s">
        <v>262</v>
      </c>
      <c r="AC235" s="38" t="s">
        <v>283</v>
      </c>
    </row>
    <row r="236" spans="1:30" ht="24.75" customHeight="1">
      <c r="A236" s="1"/>
      <c r="B236" s="15"/>
      <c r="C236" s="16" t="s">
        <v>291</v>
      </c>
      <c r="D236" s="35"/>
      <c r="E236" s="36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3"/>
    </row>
    <row r="237" spans="1:30" ht="24.75" customHeight="1">
      <c r="A237" s="1"/>
      <c r="B237" s="15"/>
      <c r="C237" s="38" t="s">
        <v>292</v>
      </c>
      <c r="D237" s="35"/>
      <c r="E237" s="36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3"/>
    </row>
    <row r="238" spans="1:30" ht="24.75" customHeight="1">
      <c r="A238" s="1"/>
      <c r="B238" s="21"/>
      <c r="C238" s="42" t="s">
        <v>293</v>
      </c>
      <c r="D238" s="35"/>
      <c r="E238" s="36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3"/>
    </row>
    <row r="239" spans="1:30" ht="24.75" customHeight="1">
      <c r="A239" s="1"/>
      <c r="B239" s="21" t="s">
        <v>8</v>
      </c>
      <c r="C239" s="29" t="s">
        <v>294</v>
      </c>
      <c r="D239" s="23">
        <v>1</v>
      </c>
      <c r="E239" s="24" t="s">
        <v>52</v>
      </c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>
        <f t="shared" ref="S239:T239" si="326">925/1.18</f>
        <v>783.89830508474586</v>
      </c>
      <c r="T239" s="32">
        <f t="shared" si="326"/>
        <v>783.89830508474586</v>
      </c>
      <c r="U239" s="32">
        <f>980/1.18</f>
        <v>830.50847457627128</v>
      </c>
      <c r="V239" s="32">
        <f>618/1.18</f>
        <v>523.72881355932202</v>
      </c>
      <c r="W239" s="32">
        <f t="shared" ref="W239:X239" si="327">761/1.18</f>
        <v>644.9152542372882</v>
      </c>
      <c r="X239" s="32">
        <f t="shared" si="327"/>
        <v>644.9152542372882</v>
      </c>
      <c r="Y239" s="32">
        <f>475/1.18</f>
        <v>402.54237288135596</v>
      </c>
      <c r="Z239" s="32"/>
      <c r="AA239" s="33" t="s">
        <v>295</v>
      </c>
      <c r="AB239" s="16" t="s">
        <v>291</v>
      </c>
      <c r="AC239" s="38" t="s">
        <v>292</v>
      </c>
      <c r="AD239" s="42" t="s">
        <v>293</v>
      </c>
    </row>
    <row r="240" spans="1:30" ht="24.75" customHeight="1">
      <c r="A240" s="1"/>
      <c r="B240" s="21" t="s">
        <v>11</v>
      </c>
      <c r="C240" s="29" t="s">
        <v>296</v>
      </c>
      <c r="D240" s="23">
        <v>1</v>
      </c>
      <c r="E240" s="24" t="s">
        <v>52</v>
      </c>
      <c r="F240" s="32"/>
      <c r="G240" s="32"/>
      <c r="H240" s="32"/>
      <c r="I240" s="32"/>
      <c r="J240" s="32">
        <v>4722</v>
      </c>
      <c r="K240" s="32"/>
      <c r="L240" s="32"/>
      <c r="M240" s="32"/>
      <c r="N240" s="32"/>
      <c r="O240" s="32"/>
      <c r="P240" s="32"/>
      <c r="Q240" s="32"/>
      <c r="R240" s="32"/>
      <c r="S240" s="32">
        <f t="shared" ref="S240:T240" si="328">650/1.18</f>
        <v>550.84745762711873</v>
      </c>
      <c r="T240" s="32">
        <f t="shared" si="328"/>
        <v>550.84745762711873</v>
      </c>
      <c r="U240" s="32">
        <f>841/1.18</f>
        <v>712.71186440677968</v>
      </c>
      <c r="V240" s="32">
        <f>525/1.18</f>
        <v>444.91525423728814</v>
      </c>
      <c r="W240" s="32">
        <f t="shared" ref="W240:X240" si="329">630/1.18</f>
        <v>533.89830508474574</v>
      </c>
      <c r="X240" s="32">
        <f t="shared" si="329"/>
        <v>533.89830508474574</v>
      </c>
      <c r="Y240" s="32">
        <f>495/1.18</f>
        <v>419.49152542372883</v>
      </c>
      <c r="Z240" s="32"/>
      <c r="AA240" s="33" t="s">
        <v>297</v>
      </c>
      <c r="AB240" s="16" t="s">
        <v>291</v>
      </c>
      <c r="AC240" s="38" t="s">
        <v>292</v>
      </c>
      <c r="AD240" s="42" t="s">
        <v>293</v>
      </c>
    </row>
    <row r="241" spans="1:30" ht="24.75" customHeight="1">
      <c r="A241" s="1"/>
      <c r="B241" s="21" t="s">
        <v>13</v>
      </c>
      <c r="C241" s="29" t="s">
        <v>298</v>
      </c>
      <c r="D241" s="23">
        <v>1</v>
      </c>
      <c r="E241" s="24" t="s">
        <v>52</v>
      </c>
      <c r="F241" s="32"/>
      <c r="G241" s="32"/>
      <c r="H241" s="32"/>
      <c r="I241" s="32"/>
      <c r="J241" s="32">
        <v>5150</v>
      </c>
      <c r="K241" s="32"/>
      <c r="L241" s="32"/>
      <c r="M241" s="32"/>
      <c r="N241" s="32"/>
      <c r="O241" s="32"/>
      <c r="P241" s="32"/>
      <c r="Q241" s="32"/>
      <c r="R241" s="32"/>
      <c r="S241" s="32">
        <f t="shared" ref="S241:T241" si="330">928/1.18</f>
        <v>786.4406779661017</v>
      </c>
      <c r="T241" s="32">
        <f t="shared" si="330"/>
        <v>786.4406779661017</v>
      </c>
      <c r="U241" s="32">
        <f>908/1.18</f>
        <v>769.49152542372883</v>
      </c>
      <c r="V241" s="32">
        <f>612/1.18</f>
        <v>518.64406779661022</v>
      </c>
      <c r="W241" s="32">
        <f t="shared" ref="W241:X241" si="331">686/1.18</f>
        <v>581.3559322033899</v>
      </c>
      <c r="X241" s="32">
        <f t="shared" si="331"/>
        <v>581.3559322033899</v>
      </c>
      <c r="Y241" s="32">
        <f>550/1.18</f>
        <v>466.10169491525426</v>
      </c>
      <c r="Z241" s="32"/>
      <c r="AA241" s="33" t="s">
        <v>297</v>
      </c>
      <c r="AB241" s="16" t="s">
        <v>291</v>
      </c>
      <c r="AC241" s="38" t="s">
        <v>292</v>
      </c>
      <c r="AD241" s="42" t="s">
        <v>293</v>
      </c>
    </row>
    <row r="242" spans="1:30" ht="24.75" customHeight="1">
      <c r="A242" s="1"/>
      <c r="B242" s="21"/>
      <c r="C242" s="42" t="s">
        <v>299</v>
      </c>
      <c r="D242" s="35"/>
      <c r="E242" s="36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3"/>
      <c r="AB242" s="16" t="s">
        <v>291</v>
      </c>
      <c r="AC242" s="38" t="s">
        <v>292</v>
      </c>
    </row>
    <row r="243" spans="1:30" ht="24.75" customHeight="1">
      <c r="A243" s="1"/>
      <c r="B243" s="21" t="s">
        <v>8</v>
      </c>
      <c r="C243" s="29" t="s">
        <v>300</v>
      </c>
      <c r="D243" s="23">
        <v>1</v>
      </c>
      <c r="E243" s="24" t="s">
        <v>52</v>
      </c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>
        <f t="shared" ref="S243:T243" si="332">670/1.18</f>
        <v>567.7966101694916</v>
      </c>
      <c r="T243" s="32">
        <f t="shared" si="332"/>
        <v>567.7966101694916</v>
      </c>
      <c r="U243" s="32">
        <f t="shared" ref="U243:V243" si="333">550/1.18</f>
        <v>466.10169491525426</v>
      </c>
      <c r="V243" s="32">
        <f t="shared" si="333"/>
        <v>466.10169491525426</v>
      </c>
      <c r="W243" s="32">
        <v>750</v>
      </c>
      <c r="X243" s="32">
        <v>750</v>
      </c>
      <c r="Y243" s="32"/>
      <c r="Z243" s="32"/>
      <c r="AA243" s="33"/>
      <c r="AB243" s="16" t="s">
        <v>291</v>
      </c>
      <c r="AC243" s="38" t="s">
        <v>292</v>
      </c>
      <c r="AD243" s="42" t="s">
        <v>299</v>
      </c>
    </row>
    <row r="244" spans="1:30" ht="24.75" customHeight="1">
      <c r="A244" s="1"/>
      <c r="B244" s="21" t="s">
        <v>11</v>
      </c>
      <c r="C244" s="29" t="s">
        <v>301</v>
      </c>
      <c r="D244" s="23">
        <v>1</v>
      </c>
      <c r="E244" s="24" t="s">
        <v>52</v>
      </c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>
        <f t="shared" ref="S244:T244" si="334">555/1.18</f>
        <v>470.3389830508475</v>
      </c>
      <c r="T244" s="32">
        <f t="shared" si="334"/>
        <v>470.3389830508475</v>
      </c>
      <c r="U244" s="32">
        <f>595/1.18</f>
        <v>504.23728813559325</v>
      </c>
      <c r="V244" s="32">
        <f>570/1.18</f>
        <v>483.05084745762713</v>
      </c>
      <c r="W244" s="32">
        <v>550</v>
      </c>
      <c r="X244" s="32">
        <v>550</v>
      </c>
      <c r="Y244" s="32"/>
      <c r="Z244" s="32"/>
      <c r="AA244" s="33"/>
      <c r="AB244" s="16" t="s">
        <v>291</v>
      </c>
      <c r="AC244" s="38" t="s">
        <v>292</v>
      </c>
      <c r="AD244" s="42" t="s">
        <v>299</v>
      </c>
    </row>
    <row r="245" spans="1:30" ht="24.75" customHeight="1">
      <c r="A245" s="1"/>
      <c r="B245" s="21" t="s">
        <v>13</v>
      </c>
      <c r="C245" s="29" t="s">
        <v>302</v>
      </c>
      <c r="D245" s="23">
        <v>1</v>
      </c>
      <c r="E245" s="24" t="s">
        <v>52</v>
      </c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>
        <f t="shared" ref="S245:T245" si="335">1250/1.18</f>
        <v>1059.3220338983051</v>
      </c>
      <c r="T245" s="32">
        <f t="shared" si="335"/>
        <v>1059.3220338983051</v>
      </c>
      <c r="U245" s="32">
        <f>1175/1.18</f>
        <v>995.76271186440681</v>
      </c>
      <c r="V245" s="32">
        <f>1200/1.18</f>
        <v>1016.949152542373</v>
      </c>
      <c r="W245" s="32">
        <v>750</v>
      </c>
      <c r="X245" s="32">
        <v>750</v>
      </c>
      <c r="Y245" s="32"/>
      <c r="Z245" s="32"/>
      <c r="AA245" s="33"/>
      <c r="AB245" s="16" t="s">
        <v>291</v>
      </c>
      <c r="AC245" s="38" t="s">
        <v>292</v>
      </c>
      <c r="AD245" s="42" t="s">
        <v>299</v>
      </c>
    </row>
    <row r="246" spans="1:30" ht="24.75" customHeight="1">
      <c r="A246" s="1"/>
      <c r="B246" s="21"/>
      <c r="C246" s="38" t="s">
        <v>303</v>
      </c>
      <c r="D246" s="35"/>
      <c r="E246" s="36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3"/>
      <c r="AB246" s="16" t="s">
        <v>291</v>
      </c>
    </row>
    <row r="247" spans="1:30" ht="24.75" customHeight="1">
      <c r="A247" s="1"/>
      <c r="B247" s="21" t="s">
        <v>8</v>
      </c>
      <c r="C247" s="29" t="s">
        <v>304</v>
      </c>
      <c r="D247" s="23">
        <v>1</v>
      </c>
      <c r="E247" s="24" t="s">
        <v>52</v>
      </c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>
        <f t="shared" ref="S247:T247" si="336">4000/1.18</f>
        <v>3389.8305084745766</v>
      </c>
      <c r="T247" s="32">
        <f t="shared" si="336"/>
        <v>3389.8305084745766</v>
      </c>
      <c r="U247" s="32">
        <f>4500/1.18</f>
        <v>3813.5593220338983</v>
      </c>
      <c r="V247" s="32">
        <f>2500</f>
        <v>2500</v>
      </c>
      <c r="W247" s="32">
        <v>4500</v>
      </c>
      <c r="X247" s="32">
        <v>4500</v>
      </c>
      <c r="Y247" s="32">
        <f>2850*2</f>
        <v>5700</v>
      </c>
      <c r="Z247" s="32"/>
      <c r="AA247" s="33"/>
      <c r="AB247" s="16" t="s">
        <v>291</v>
      </c>
      <c r="AC247" s="38" t="s">
        <v>303</v>
      </c>
    </row>
    <row r="248" spans="1:30" ht="24.75" customHeight="1">
      <c r="A248" s="1"/>
      <c r="B248" s="21" t="s">
        <v>11</v>
      </c>
      <c r="C248" s="29" t="s">
        <v>305</v>
      </c>
      <c r="D248" s="23">
        <v>1</v>
      </c>
      <c r="E248" s="24" t="s">
        <v>52</v>
      </c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>
        <f t="shared" ref="S248:T248" si="337">5400/1.18</f>
        <v>4576.2711864406783</v>
      </c>
      <c r="T248" s="32">
        <f t="shared" si="337"/>
        <v>4576.2711864406783</v>
      </c>
      <c r="U248" s="32">
        <f>5074/1.18</f>
        <v>4300</v>
      </c>
      <c r="V248" s="32">
        <v>3300</v>
      </c>
      <c r="W248" s="32">
        <v>6500</v>
      </c>
      <c r="X248" s="32">
        <v>6500</v>
      </c>
      <c r="Y248" s="32">
        <f>3500*2</f>
        <v>7000</v>
      </c>
      <c r="Z248" s="32"/>
      <c r="AA248" s="33"/>
      <c r="AB248" s="16" t="s">
        <v>291</v>
      </c>
      <c r="AC248" s="38" t="s">
        <v>303</v>
      </c>
    </row>
    <row r="249" spans="1:30" ht="24.75" customHeight="1">
      <c r="A249" s="1"/>
      <c r="B249" s="21" t="s">
        <v>13</v>
      </c>
      <c r="C249" s="29" t="s">
        <v>306</v>
      </c>
      <c r="D249" s="23">
        <v>1</v>
      </c>
      <c r="E249" s="24" t="s">
        <v>52</v>
      </c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>
        <f t="shared" ref="S249:T249" si="338">6900/1.18</f>
        <v>5847.4576271186443</v>
      </c>
      <c r="T249" s="32">
        <f t="shared" si="338"/>
        <v>5847.4576271186443</v>
      </c>
      <c r="U249" s="32">
        <f>8500/1.18</f>
        <v>7203.3898305084749</v>
      </c>
      <c r="V249" s="32">
        <f>7400/1.18</f>
        <v>6271.1864406779669</v>
      </c>
      <c r="W249" s="32">
        <v>5400</v>
      </c>
      <c r="X249" s="32">
        <v>5400</v>
      </c>
      <c r="Y249" s="32">
        <f>4750</f>
        <v>4750</v>
      </c>
      <c r="Z249" s="32"/>
      <c r="AA249" s="33"/>
      <c r="AB249" s="16" t="s">
        <v>291</v>
      </c>
      <c r="AC249" s="38" t="s">
        <v>303</v>
      </c>
    </row>
    <row r="250" spans="1:30" ht="24.75" customHeight="1">
      <c r="A250" s="1"/>
      <c r="B250" s="21"/>
      <c r="C250" s="38" t="s">
        <v>307</v>
      </c>
      <c r="D250" s="35"/>
      <c r="E250" s="36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3"/>
      <c r="AB250" s="16" t="s">
        <v>291</v>
      </c>
    </row>
    <row r="251" spans="1:30" ht="24.75" customHeight="1">
      <c r="A251" s="1"/>
      <c r="B251" s="21" t="s">
        <v>8</v>
      </c>
      <c r="C251" s="29" t="s">
        <v>308</v>
      </c>
      <c r="D251" s="35">
        <v>1</v>
      </c>
      <c r="E251" s="36" t="s">
        <v>29</v>
      </c>
      <c r="F251" s="32"/>
      <c r="G251" s="32"/>
      <c r="H251" s="32"/>
      <c r="I251" s="32"/>
      <c r="J251" s="32"/>
      <c r="K251" s="32"/>
      <c r="L251" s="32"/>
      <c r="M251" s="32"/>
      <c r="N251" s="32">
        <f t="shared" ref="N251:U251" si="339">330/1.18</f>
        <v>279.66101694915255</v>
      </c>
      <c r="O251" s="32">
        <f t="shared" si="339"/>
        <v>279.66101694915255</v>
      </c>
      <c r="P251" s="32">
        <f t="shared" si="339"/>
        <v>279.66101694915255</v>
      </c>
      <c r="Q251" s="32">
        <f t="shared" si="339"/>
        <v>279.66101694915255</v>
      </c>
      <c r="R251" s="32">
        <f t="shared" si="339"/>
        <v>279.66101694915255</v>
      </c>
      <c r="S251" s="32">
        <f t="shared" si="339"/>
        <v>279.66101694915255</v>
      </c>
      <c r="T251" s="32">
        <f t="shared" si="339"/>
        <v>279.66101694915255</v>
      </c>
      <c r="U251" s="32">
        <f t="shared" si="339"/>
        <v>279.66101694915255</v>
      </c>
      <c r="V251" s="32">
        <f>300/1.18</f>
        <v>254.23728813559325</v>
      </c>
      <c r="W251" s="32">
        <f t="shared" ref="W251:X251" si="340">330/1.18</f>
        <v>279.66101694915255</v>
      </c>
      <c r="X251" s="32">
        <f t="shared" si="340"/>
        <v>279.66101694915255</v>
      </c>
      <c r="Y251" s="32">
        <f>240/1.18</f>
        <v>203.38983050847457</v>
      </c>
      <c r="Z251" s="32"/>
      <c r="AA251" s="33" t="s">
        <v>309</v>
      </c>
      <c r="AB251" s="16" t="s">
        <v>291</v>
      </c>
      <c r="AC251" s="38" t="s">
        <v>307</v>
      </c>
    </row>
    <row r="252" spans="1:30" ht="24.75" customHeight="1">
      <c r="A252" s="1"/>
      <c r="B252" s="21" t="s">
        <v>11</v>
      </c>
      <c r="C252" s="29" t="s">
        <v>310</v>
      </c>
      <c r="D252" s="35">
        <v>1</v>
      </c>
      <c r="E252" s="36" t="s">
        <v>89</v>
      </c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>
        <f t="shared" ref="S252:U252" si="341">1136/1.18</f>
        <v>962.71186440677968</v>
      </c>
      <c r="T252" s="32">
        <f t="shared" si="341"/>
        <v>962.71186440677968</v>
      </c>
      <c r="U252" s="32">
        <f t="shared" si="341"/>
        <v>962.71186440677968</v>
      </c>
      <c r="V252" s="32">
        <f>1200/1.18</f>
        <v>1016.949152542373</v>
      </c>
      <c r="W252" s="32">
        <f t="shared" ref="W252:X252" si="342">1400/1.18</f>
        <v>1186.4406779661017</v>
      </c>
      <c r="X252" s="32">
        <f t="shared" si="342"/>
        <v>1186.4406779661017</v>
      </c>
      <c r="Y252" s="32">
        <f>1300/1.18</f>
        <v>1101.6949152542375</v>
      </c>
      <c r="Z252" s="32"/>
      <c r="AA252" s="33"/>
      <c r="AB252" s="16" t="s">
        <v>291</v>
      </c>
      <c r="AC252" s="38" t="s">
        <v>307</v>
      </c>
    </row>
    <row r="253" spans="1:30" ht="24.75" customHeight="1">
      <c r="A253" s="1"/>
      <c r="B253" s="21" t="s">
        <v>13</v>
      </c>
      <c r="C253" s="29" t="s">
        <v>311</v>
      </c>
      <c r="D253" s="35">
        <v>1</v>
      </c>
      <c r="E253" s="36" t="s">
        <v>312</v>
      </c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>
        <f t="shared" ref="S253:U253" si="343">550/1.18</f>
        <v>466.10169491525426</v>
      </c>
      <c r="T253" s="32">
        <f t="shared" si="343"/>
        <v>466.10169491525426</v>
      </c>
      <c r="U253" s="40">
        <f t="shared" si="343"/>
        <v>466.10169491525426</v>
      </c>
      <c r="V253" s="32">
        <f>600/1.18</f>
        <v>508.47457627118649</v>
      </c>
      <c r="W253" s="32">
        <f t="shared" ref="W253:X253" si="344">550/1.18</f>
        <v>466.10169491525426</v>
      </c>
      <c r="X253" s="32">
        <f t="shared" si="344"/>
        <v>466.10169491525426</v>
      </c>
      <c r="Y253" s="32">
        <f>580/1.18</f>
        <v>491.52542372881356</v>
      </c>
      <c r="Z253" s="32"/>
      <c r="AA253" s="33"/>
      <c r="AB253" s="16" t="s">
        <v>291</v>
      </c>
      <c r="AC253" s="38" t="s">
        <v>307</v>
      </c>
    </row>
    <row r="254" spans="1:30" ht="24.75" customHeight="1">
      <c r="A254" s="1"/>
      <c r="B254" s="15"/>
      <c r="C254" s="16" t="s">
        <v>313</v>
      </c>
      <c r="D254" s="35"/>
      <c r="E254" s="36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3"/>
    </row>
    <row r="255" spans="1:30" ht="24.75" customHeight="1">
      <c r="A255" s="1"/>
      <c r="B255" s="15"/>
      <c r="C255" s="38" t="s">
        <v>314</v>
      </c>
      <c r="D255" s="35"/>
      <c r="E255" s="36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3"/>
    </row>
    <row r="256" spans="1:30" ht="24.75" customHeight="1">
      <c r="A256" s="1"/>
      <c r="B256" s="21" t="s">
        <v>8</v>
      </c>
      <c r="C256" s="46" t="s">
        <v>315</v>
      </c>
      <c r="D256" s="35"/>
      <c r="E256" s="36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47">
        <v>3860.6440677966107</v>
      </c>
      <c r="V256" s="47">
        <v>3860.6440677966107</v>
      </c>
      <c r="W256" s="47">
        <v>3860.6440677966107</v>
      </c>
      <c r="X256" s="47">
        <v>3860.6440677966107</v>
      </c>
      <c r="Y256" s="47">
        <v>3860.6440677966107</v>
      </c>
      <c r="Z256" s="47"/>
      <c r="AA256" s="33" t="s">
        <v>316</v>
      </c>
      <c r="AB256" s="16" t="s">
        <v>313</v>
      </c>
      <c r="AC256" s="38" t="s">
        <v>314</v>
      </c>
    </row>
    <row r="257" spans="1:29" ht="24.75" customHeight="1">
      <c r="A257" s="1"/>
      <c r="B257" s="21" t="s">
        <v>11</v>
      </c>
      <c r="C257" s="46" t="s">
        <v>317</v>
      </c>
      <c r="D257" s="35"/>
      <c r="E257" s="36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47">
        <v>3860.6440677966107</v>
      </c>
      <c r="V257" s="47">
        <v>3860.6440677966107</v>
      </c>
      <c r="W257" s="47">
        <v>3860.6440677966107</v>
      </c>
      <c r="X257" s="47">
        <v>3860.6440677966107</v>
      </c>
      <c r="Y257" s="47">
        <v>3860.6440677966107</v>
      </c>
      <c r="Z257" s="47"/>
      <c r="AA257" s="33" t="s">
        <v>316</v>
      </c>
      <c r="AB257" s="16" t="s">
        <v>313</v>
      </c>
      <c r="AC257" s="38" t="s">
        <v>314</v>
      </c>
    </row>
    <row r="258" spans="1:29" ht="24.75" customHeight="1">
      <c r="A258" s="1"/>
      <c r="B258" s="21" t="s">
        <v>13</v>
      </c>
      <c r="C258" s="46" t="s">
        <v>318</v>
      </c>
      <c r="D258" s="35"/>
      <c r="E258" s="36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47">
        <v>6214.703389830509</v>
      </c>
      <c r="V258" s="47">
        <v>6214.703389830509</v>
      </c>
      <c r="W258" s="47">
        <v>6214.703389830509</v>
      </c>
      <c r="X258" s="47">
        <v>6214.703389830509</v>
      </c>
      <c r="Y258" s="47">
        <v>6214.703389830509</v>
      </c>
      <c r="Z258" s="47"/>
      <c r="AA258" s="33" t="s">
        <v>316</v>
      </c>
      <c r="AB258" s="16" t="s">
        <v>313</v>
      </c>
      <c r="AC258" s="38" t="s">
        <v>314</v>
      </c>
    </row>
    <row r="259" spans="1:29" ht="24.75" customHeight="1">
      <c r="A259" s="1"/>
      <c r="B259" s="21" t="s">
        <v>15</v>
      </c>
      <c r="C259" s="46" t="s">
        <v>319</v>
      </c>
      <c r="D259" s="35"/>
      <c r="E259" s="36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47">
        <v>11299.576271186441</v>
      </c>
      <c r="V259" s="47">
        <v>11299.576271186441</v>
      </c>
      <c r="W259" s="47">
        <v>11299.576271186441</v>
      </c>
      <c r="X259" s="47">
        <v>11299.576271186441</v>
      </c>
      <c r="Y259" s="47">
        <v>11299.576271186441</v>
      </c>
      <c r="Z259" s="47"/>
      <c r="AA259" s="33" t="s">
        <v>316</v>
      </c>
      <c r="AB259" s="16" t="s">
        <v>313</v>
      </c>
      <c r="AC259" s="38" t="s">
        <v>314</v>
      </c>
    </row>
    <row r="260" spans="1:29" ht="24.75" customHeight="1">
      <c r="A260" s="1"/>
      <c r="B260" s="21" t="s">
        <v>18</v>
      </c>
      <c r="C260" s="46" t="s">
        <v>320</v>
      </c>
      <c r="D260" s="35"/>
      <c r="E260" s="36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47">
        <v>12806.059322033898</v>
      </c>
      <c r="V260" s="47">
        <v>12806.059322033898</v>
      </c>
      <c r="W260" s="47">
        <v>12806.059322033898</v>
      </c>
      <c r="X260" s="47">
        <v>12806.059322033898</v>
      </c>
      <c r="Y260" s="47">
        <v>12806.059322033898</v>
      </c>
      <c r="Z260" s="47"/>
      <c r="AA260" s="33" t="s">
        <v>316</v>
      </c>
      <c r="AB260" s="16" t="s">
        <v>313</v>
      </c>
      <c r="AC260" s="38" t="s">
        <v>314</v>
      </c>
    </row>
    <row r="261" spans="1:29" ht="24.75" customHeight="1">
      <c r="A261" s="1"/>
      <c r="B261" s="21" t="s">
        <v>20</v>
      </c>
      <c r="C261" s="46" t="s">
        <v>321</v>
      </c>
      <c r="D261" s="35"/>
      <c r="E261" s="36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47">
        <v>12052.796610169491</v>
      </c>
      <c r="V261" s="47">
        <v>12052.796610169491</v>
      </c>
      <c r="W261" s="47">
        <v>12052.796610169491</v>
      </c>
      <c r="X261" s="47">
        <v>12052.796610169491</v>
      </c>
      <c r="Y261" s="47">
        <v>12052.796610169491</v>
      </c>
      <c r="Z261" s="47"/>
      <c r="AA261" s="33" t="s">
        <v>316</v>
      </c>
      <c r="AB261" s="16" t="s">
        <v>313</v>
      </c>
      <c r="AC261" s="38" t="s">
        <v>314</v>
      </c>
    </row>
    <row r="262" spans="1:29" ht="24.75" customHeight="1">
      <c r="A262" s="1"/>
      <c r="B262" s="21" t="s">
        <v>24</v>
      </c>
      <c r="C262" s="46" t="s">
        <v>322</v>
      </c>
      <c r="D262" s="35"/>
      <c r="E262" s="36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47">
        <v>14689.279661016948</v>
      </c>
      <c r="V262" s="47">
        <v>14689.279661016948</v>
      </c>
      <c r="W262" s="47">
        <v>14689.279661016948</v>
      </c>
      <c r="X262" s="47">
        <v>14689.279661016948</v>
      </c>
      <c r="Y262" s="47">
        <v>14689.279661016948</v>
      </c>
      <c r="Z262" s="47"/>
      <c r="AA262" s="33" t="s">
        <v>316</v>
      </c>
      <c r="AB262" s="16" t="s">
        <v>313</v>
      </c>
      <c r="AC262" s="38" t="s">
        <v>314</v>
      </c>
    </row>
    <row r="263" spans="1:29" ht="24.75" customHeight="1">
      <c r="A263" s="1"/>
      <c r="B263" s="21" t="s">
        <v>27</v>
      </c>
      <c r="C263" s="46" t="s">
        <v>323</v>
      </c>
      <c r="D263" s="35"/>
      <c r="E263" s="36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47">
        <v>20809.796610169495</v>
      </c>
      <c r="V263" s="47">
        <v>20809.796610169495</v>
      </c>
      <c r="W263" s="47">
        <v>20809.796610169495</v>
      </c>
      <c r="X263" s="47">
        <v>20809.796610169495</v>
      </c>
      <c r="Y263" s="47">
        <v>20809.796610169495</v>
      </c>
      <c r="Z263" s="47"/>
      <c r="AA263" s="33" t="s">
        <v>316</v>
      </c>
      <c r="AB263" s="16" t="s">
        <v>313</v>
      </c>
      <c r="AC263" s="38" t="s">
        <v>314</v>
      </c>
    </row>
    <row r="264" spans="1:29" ht="24.75" customHeight="1">
      <c r="A264" s="1"/>
      <c r="B264" s="21" t="s">
        <v>30</v>
      </c>
      <c r="C264" s="46" t="s">
        <v>324</v>
      </c>
      <c r="D264" s="35"/>
      <c r="E264" s="36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47">
        <v>19491.525423728814</v>
      </c>
      <c r="V264" s="47">
        <v>19491.525423728814</v>
      </c>
      <c r="W264" s="47">
        <v>19491.525423728814</v>
      </c>
      <c r="X264" s="47">
        <v>19491.525423728814</v>
      </c>
      <c r="Y264" s="47">
        <v>19491.525423728814</v>
      </c>
      <c r="Z264" s="47"/>
      <c r="AA264" s="33" t="s">
        <v>316</v>
      </c>
      <c r="AB264" s="16" t="s">
        <v>313</v>
      </c>
      <c r="AC264" s="38" t="s">
        <v>314</v>
      </c>
    </row>
    <row r="265" spans="1:29" ht="24.75" customHeight="1">
      <c r="A265" s="1"/>
      <c r="B265" s="21" t="s">
        <v>32</v>
      </c>
      <c r="C265" s="46" t="s">
        <v>325</v>
      </c>
      <c r="D265" s="35"/>
      <c r="E265" s="36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47">
        <v>41525.423728813563</v>
      </c>
      <c r="V265" s="47">
        <v>41525.423728813563</v>
      </c>
      <c r="W265" s="47">
        <v>41525.423728813563</v>
      </c>
      <c r="X265" s="47">
        <v>41525.423728813563</v>
      </c>
      <c r="Y265" s="47">
        <v>41525.423728813563</v>
      </c>
      <c r="Z265" s="47"/>
      <c r="AA265" s="33" t="s">
        <v>316</v>
      </c>
      <c r="AB265" s="16" t="s">
        <v>313</v>
      </c>
      <c r="AC265" s="38" t="s">
        <v>314</v>
      </c>
    </row>
    <row r="266" spans="1:29" ht="24.75" customHeight="1">
      <c r="A266" s="1"/>
      <c r="B266" s="21" t="s">
        <v>35</v>
      </c>
      <c r="C266" s="46" t="s">
        <v>326</v>
      </c>
      <c r="D266" s="35"/>
      <c r="E266" s="36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47">
        <v>55508.47457627119</v>
      </c>
      <c r="V266" s="47">
        <v>55508.47457627119</v>
      </c>
      <c r="W266" s="47">
        <v>55508.47457627119</v>
      </c>
      <c r="X266" s="47">
        <v>55508.47457627119</v>
      </c>
      <c r="Y266" s="47">
        <v>55508.47457627119</v>
      </c>
      <c r="Z266" s="47"/>
      <c r="AA266" s="33" t="s">
        <v>316</v>
      </c>
      <c r="AB266" s="16" t="s">
        <v>313</v>
      </c>
      <c r="AC266" s="38" t="s">
        <v>314</v>
      </c>
    </row>
    <row r="267" spans="1:29" ht="24.75" customHeight="1">
      <c r="A267" s="1"/>
      <c r="B267" s="21"/>
      <c r="C267" s="38" t="s">
        <v>327</v>
      </c>
      <c r="D267" s="35"/>
      <c r="E267" s="36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3"/>
      <c r="AB267" s="16" t="s">
        <v>313</v>
      </c>
    </row>
    <row r="268" spans="1:29" ht="24.75" customHeight="1">
      <c r="A268" s="1"/>
      <c r="B268" s="21" t="s">
        <v>8</v>
      </c>
      <c r="C268" s="48" t="s">
        <v>328</v>
      </c>
      <c r="D268" s="35"/>
      <c r="E268" s="36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49">
        <v>5008.0508474576272</v>
      </c>
      <c r="V268" s="49">
        <v>5008.0508474576272</v>
      </c>
      <c r="W268" s="49">
        <v>5008.0508474576272</v>
      </c>
      <c r="X268" s="49">
        <v>5008.0508474576272</v>
      </c>
      <c r="Y268" s="49">
        <v>5008.0508474576272</v>
      </c>
      <c r="Z268" s="49"/>
      <c r="AA268" s="33" t="s">
        <v>316</v>
      </c>
      <c r="AB268" s="16" t="s">
        <v>313</v>
      </c>
      <c r="AC268" s="38" t="s">
        <v>327</v>
      </c>
    </row>
    <row r="269" spans="1:29" ht="24.75" customHeight="1">
      <c r="A269" s="1"/>
      <c r="B269" s="21" t="s">
        <v>11</v>
      </c>
      <c r="C269" s="48" t="s">
        <v>329</v>
      </c>
      <c r="D269" s="35"/>
      <c r="E269" s="36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49">
        <v>11171.186440677966</v>
      </c>
      <c r="V269" s="49">
        <v>11171.186440677966</v>
      </c>
      <c r="W269" s="49">
        <v>11171.186440677966</v>
      </c>
      <c r="X269" s="49">
        <v>11171.186440677966</v>
      </c>
      <c r="Y269" s="49">
        <v>11171.186440677966</v>
      </c>
      <c r="Z269" s="49"/>
      <c r="AA269" s="33" t="s">
        <v>316</v>
      </c>
      <c r="AB269" s="16" t="s">
        <v>313</v>
      </c>
      <c r="AC269" s="38" t="s">
        <v>327</v>
      </c>
    </row>
    <row r="270" spans="1:29" ht="24.75" customHeight="1">
      <c r="A270" s="1"/>
      <c r="B270" s="21" t="s">
        <v>13</v>
      </c>
      <c r="C270" s="48" t="s">
        <v>330</v>
      </c>
      <c r="D270" s="35"/>
      <c r="E270" s="36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49">
        <v>6259.7457627118647</v>
      </c>
      <c r="V270" s="49">
        <v>6259.7457627118647</v>
      </c>
      <c r="W270" s="49">
        <v>6259.7457627118647</v>
      </c>
      <c r="X270" s="49">
        <v>6259.7457627118647</v>
      </c>
      <c r="Y270" s="49">
        <v>6259.7457627118647</v>
      </c>
      <c r="Z270" s="49"/>
      <c r="AA270" s="33" t="s">
        <v>316</v>
      </c>
      <c r="AB270" s="16" t="s">
        <v>313</v>
      </c>
      <c r="AC270" s="38" t="s">
        <v>327</v>
      </c>
    </row>
    <row r="271" spans="1:29" ht="24.75" customHeight="1">
      <c r="A271" s="1"/>
      <c r="B271" s="21" t="s">
        <v>15</v>
      </c>
      <c r="C271" s="48" t="s">
        <v>331</v>
      </c>
      <c r="D271" s="35"/>
      <c r="E271" s="36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49">
        <v>13097.457627118645</v>
      </c>
      <c r="V271" s="49">
        <v>13097.457627118645</v>
      </c>
      <c r="W271" s="49">
        <v>13097.457627118645</v>
      </c>
      <c r="X271" s="49">
        <v>13097.457627118645</v>
      </c>
      <c r="Y271" s="49">
        <v>13097.457627118645</v>
      </c>
      <c r="Z271" s="49"/>
      <c r="AA271" s="33" t="s">
        <v>316</v>
      </c>
      <c r="AB271" s="16" t="s">
        <v>313</v>
      </c>
      <c r="AC271" s="38" t="s">
        <v>327</v>
      </c>
    </row>
    <row r="272" spans="1:29" ht="24.75" customHeight="1">
      <c r="A272" s="1"/>
      <c r="B272" s="21" t="s">
        <v>18</v>
      </c>
      <c r="C272" s="48" t="s">
        <v>332</v>
      </c>
      <c r="D272" s="35"/>
      <c r="E272" s="36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49">
        <v>15889.830508474577</v>
      </c>
      <c r="V272" s="49">
        <v>15889.830508474577</v>
      </c>
      <c r="W272" s="49">
        <v>15889.830508474577</v>
      </c>
      <c r="X272" s="49">
        <v>15889.830508474577</v>
      </c>
      <c r="Y272" s="49">
        <v>15889.830508474577</v>
      </c>
      <c r="Z272" s="49"/>
      <c r="AA272" s="33" t="s">
        <v>316</v>
      </c>
      <c r="AB272" s="16" t="s">
        <v>313</v>
      </c>
      <c r="AC272" s="38" t="s">
        <v>327</v>
      </c>
    </row>
    <row r="273" spans="1:29" ht="24.75" customHeight="1">
      <c r="A273" s="1"/>
      <c r="B273" s="21" t="s">
        <v>20</v>
      </c>
      <c r="C273" s="48" t="s">
        <v>333</v>
      </c>
      <c r="D273" s="35"/>
      <c r="E273" s="36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49">
        <v>31779.661016949154</v>
      </c>
      <c r="V273" s="49">
        <v>31779.661016949154</v>
      </c>
      <c r="W273" s="49">
        <v>31779.661016949154</v>
      </c>
      <c r="X273" s="49">
        <v>31779.661016949154</v>
      </c>
      <c r="Y273" s="49">
        <v>31779.661016949154</v>
      </c>
      <c r="Z273" s="49"/>
      <c r="AA273" s="33" t="s">
        <v>316</v>
      </c>
      <c r="AB273" s="16" t="s">
        <v>313</v>
      </c>
      <c r="AC273" s="38" t="s">
        <v>327</v>
      </c>
    </row>
    <row r="274" spans="1:29" ht="24.75" customHeight="1">
      <c r="A274" s="1"/>
      <c r="B274" s="21" t="s">
        <v>24</v>
      </c>
      <c r="C274" s="46" t="s">
        <v>334</v>
      </c>
      <c r="D274" s="35"/>
      <c r="E274" s="36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49">
        <v>6644.9152542372885</v>
      </c>
      <c r="V274" s="49">
        <v>6644.9152542372885</v>
      </c>
      <c r="W274" s="49">
        <v>6644.9152542372885</v>
      </c>
      <c r="X274" s="49">
        <v>6644.9152542372885</v>
      </c>
      <c r="Y274" s="49">
        <v>6644.9152542372885</v>
      </c>
      <c r="Z274" s="49"/>
      <c r="AA274" s="33" t="s">
        <v>316</v>
      </c>
      <c r="AB274" s="16" t="s">
        <v>313</v>
      </c>
      <c r="AC274" s="38" t="s">
        <v>327</v>
      </c>
    </row>
    <row r="275" spans="1:29" ht="24.75" customHeight="1">
      <c r="A275" s="1"/>
      <c r="B275" s="21" t="s">
        <v>27</v>
      </c>
      <c r="C275" s="46" t="s">
        <v>335</v>
      </c>
      <c r="D275" s="35"/>
      <c r="E275" s="36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49">
        <v>12615.677966101695</v>
      </c>
      <c r="V275" s="49">
        <v>12615.677966101695</v>
      </c>
      <c r="W275" s="49">
        <v>12615.677966101695</v>
      </c>
      <c r="X275" s="49">
        <v>12615.677966101695</v>
      </c>
      <c r="Y275" s="49">
        <v>12615.677966101695</v>
      </c>
      <c r="Z275" s="49"/>
      <c r="AA275" s="33" t="s">
        <v>316</v>
      </c>
      <c r="AB275" s="16" t="s">
        <v>313</v>
      </c>
      <c r="AC275" s="38" t="s">
        <v>327</v>
      </c>
    </row>
    <row r="276" spans="1:29" ht="24.75" customHeight="1">
      <c r="A276" s="1"/>
      <c r="B276" s="21" t="s">
        <v>30</v>
      </c>
      <c r="C276" s="46" t="s">
        <v>336</v>
      </c>
      <c r="D276" s="35"/>
      <c r="E276" s="36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49">
        <v>14541.949152542373</v>
      </c>
      <c r="V276" s="49">
        <v>14541.949152542373</v>
      </c>
      <c r="W276" s="49">
        <v>14541.949152542373</v>
      </c>
      <c r="X276" s="49">
        <v>14541.949152542373</v>
      </c>
      <c r="Y276" s="49">
        <v>14541.949152542373</v>
      </c>
      <c r="Z276" s="49"/>
      <c r="AA276" s="33" t="s">
        <v>316</v>
      </c>
      <c r="AB276" s="16" t="s">
        <v>313</v>
      </c>
      <c r="AC276" s="38" t="s">
        <v>327</v>
      </c>
    </row>
    <row r="277" spans="1:29" ht="24.75" customHeight="1">
      <c r="A277" s="1"/>
      <c r="B277" s="21" t="s">
        <v>32</v>
      </c>
      <c r="C277" s="46" t="s">
        <v>337</v>
      </c>
      <c r="D277" s="35"/>
      <c r="E277" s="36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49">
        <v>9822.8813559322043</v>
      </c>
      <c r="V277" s="49">
        <v>9822.8813559322043</v>
      </c>
      <c r="W277" s="49">
        <v>9822.8813559322043</v>
      </c>
      <c r="X277" s="49">
        <v>9822.8813559322043</v>
      </c>
      <c r="Y277" s="49">
        <v>9822.8813559322043</v>
      </c>
      <c r="Z277" s="49"/>
      <c r="AA277" s="33" t="s">
        <v>316</v>
      </c>
      <c r="AB277" s="16" t="s">
        <v>313</v>
      </c>
      <c r="AC277" s="38" t="s">
        <v>327</v>
      </c>
    </row>
    <row r="278" spans="1:29" ht="24.75" customHeight="1">
      <c r="A278" s="1"/>
      <c r="B278" s="21" t="s">
        <v>35</v>
      </c>
      <c r="C278" s="46" t="s">
        <v>338</v>
      </c>
      <c r="D278" s="35"/>
      <c r="E278" s="36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49">
        <v>13675</v>
      </c>
      <c r="V278" s="49">
        <v>13675</v>
      </c>
      <c r="W278" s="49">
        <v>13675</v>
      </c>
      <c r="X278" s="49">
        <v>13675</v>
      </c>
      <c r="Y278" s="49">
        <v>13675</v>
      </c>
      <c r="Z278" s="49"/>
      <c r="AA278" s="33" t="s">
        <v>316</v>
      </c>
      <c r="AB278" s="16" t="s">
        <v>313</v>
      </c>
      <c r="AC278" s="38" t="s">
        <v>327</v>
      </c>
    </row>
    <row r="279" spans="1:29" ht="24.75" customHeight="1">
      <c r="A279" s="1"/>
      <c r="B279" s="15"/>
      <c r="C279" s="16" t="s">
        <v>339</v>
      </c>
      <c r="D279" s="35"/>
      <c r="E279" s="36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3"/>
    </row>
    <row r="280" spans="1:29" ht="24.75" customHeight="1">
      <c r="A280" s="1"/>
      <c r="B280" s="15"/>
      <c r="C280" s="38" t="s">
        <v>340</v>
      </c>
      <c r="D280" s="35"/>
      <c r="E280" s="36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3"/>
    </row>
    <row r="281" spans="1:29" ht="24.75" customHeight="1">
      <c r="A281" s="1"/>
      <c r="B281" s="21" t="s">
        <v>8</v>
      </c>
      <c r="C281" s="29" t="s">
        <v>341</v>
      </c>
      <c r="D281" s="23">
        <v>1</v>
      </c>
      <c r="E281" s="24" t="s">
        <v>52</v>
      </c>
      <c r="F281" s="32"/>
      <c r="G281" s="32"/>
      <c r="H281" s="32"/>
      <c r="I281" s="32"/>
      <c r="J281" s="32">
        <v>5120</v>
      </c>
      <c r="K281" s="32"/>
      <c r="L281" s="32"/>
      <c r="M281" s="32"/>
      <c r="N281" s="32">
        <f t="shared" ref="N281:S281" si="345">5620/1.18</f>
        <v>4762.7118644067796</v>
      </c>
      <c r="O281" s="32">
        <f t="shared" si="345"/>
        <v>4762.7118644067796</v>
      </c>
      <c r="P281" s="32">
        <f t="shared" si="345"/>
        <v>4762.7118644067796</v>
      </c>
      <c r="Q281" s="32">
        <f t="shared" si="345"/>
        <v>4762.7118644067796</v>
      </c>
      <c r="R281" s="32">
        <f t="shared" si="345"/>
        <v>4762.7118644067796</v>
      </c>
      <c r="S281" s="32">
        <f t="shared" si="345"/>
        <v>4762.7118644067796</v>
      </c>
      <c r="T281" s="32">
        <f t="shared" ref="T281:V281" si="346">4775/1.18</f>
        <v>4046.6101694915255</v>
      </c>
      <c r="U281" s="32">
        <f t="shared" si="346"/>
        <v>4046.6101694915255</v>
      </c>
      <c r="V281" s="32">
        <f t="shared" si="346"/>
        <v>4046.6101694915255</v>
      </c>
      <c r="W281" s="32">
        <f t="shared" ref="W281:X281" si="347">5060/1.18</f>
        <v>4288.1355932203396</v>
      </c>
      <c r="X281" s="32">
        <f t="shared" si="347"/>
        <v>4288.1355932203396</v>
      </c>
      <c r="Y281" s="32">
        <f>5058/1.18</f>
        <v>4286.4406779661022</v>
      </c>
      <c r="Z281" s="32"/>
      <c r="AA281" s="33"/>
      <c r="AB281" s="16" t="s">
        <v>339</v>
      </c>
      <c r="AC281" s="38" t="s">
        <v>340</v>
      </c>
    </row>
    <row r="282" spans="1:29" ht="24.75" customHeight="1">
      <c r="A282" s="1"/>
      <c r="B282" s="21" t="s">
        <v>11</v>
      </c>
      <c r="C282" s="29" t="s">
        <v>342</v>
      </c>
      <c r="D282" s="23">
        <v>1</v>
      </c>
      <c r="E282" s="24" t="s">
        <v>52</v>
      </c>
      <c r="F282" s="32"/>
      <c r="G282" s="32"/>
      <c r="H282" s="32"/>
      <c r="I282" s="32"/>
      <c r="J282" s="32">
        <v>5960</v>
      </c>
      <c r="K282" s="32"/>
      <c r="L282" s="32"/>
      <c r="M282" s="32"/>
      <c r="N282" s="32">
        <f t="shared" ref="N282:S282" si="348">6545/1.18</f>
        <v>5546.610169491526</v>
      </c>
      <c r="O282" s="32">
        <f t="shared" si="348"/>
        <v>5546.610169491526</v>
      </c>
      <c r="P282" s="32">
        <f t="shared" si="348"/>
        <v>5546.610169491526</v>
      </c>
      <c r="Q282" s="32">
        <f t="shared" si="348"/>
        <v>5546.610169491526</v>
      </c>
      <c r="R282" s="32">
        <f t="shared" si="348"/>
        <v>5546.610169491526</v>
      </c>
      <c r="S282" s="32">
        <f t="shared" si="348"/>
        <v>5546.610169491526</v>
      </c>
      <c r="T282" s="32">
        <f t="shared" ref="T282:V282" si="349">5500/1.18</f>
        <v>4661.016949152543</v>
      </c>
      <c r="U282" s="32">
        <f t="shared" si="349"/>
        <v>4661.016949152543</v>
      </c>
      <c r="V282" s="32">
        <f t="shared" si="349"/>
        <v>4661.016949152543</v>
      </c>
      <c r="W282" s="32">
        <f t="shared" ref="W282:X282" si="350">5810/1.18</f>
        <v>4923.7288135593226</v>
      </c>
      <c r="X282" s="32">
        <f t="shared" si="350"/>
        <v>4923.7288135593226</v>
      </c>
      <c r="Y282" s="32">
        <f>5890/1.18</f>
        <v>4991.5254237288136</v>
      </c>
      <c r="Z282" s="32"/>
      <c r="AA282" s="33"/>
      <c r="AB282" s="16" t="s">
        <v>339</v>
      </c>
      <c r="AC282" s="38" t="s">
        <v>340</v>
      </c>
    </row>
    <row r="283" spans="1:29" ht="24.75" customHeight="1">
      <c r="A283" s="1"/>
      <c r="B283" s="21" t="s">
        <v>13</v>
      </c>
      <c r="C283" s="29" t="s">
        <v>343</v>
      </c>
      <c r="D283" s="23">
        <v>1</v>
      </c>
      <c r="E283" s="24" t="s">
        <v>52</v>
      </c>
      <c r="F283" s="32"/>
      <c r="G283" s="32"/>
      <c r="H283" s="32"/>
      <c r="I283" s="32"/>
      <c r="J283" s="32">
        <v>7375</v>
      </c>
      <c r="K283" s="32"/>
      <c r="L283" s="32"/>
      <c r="M283" s="32"/>
      <c r="N283" s="32">
        <f t="shared" ref="N283:S283" si="351">8100/1.18</f>
        <v>6864.406779661017</v>
      </c>
      <c r="O283" s="32">
        <f t="shared" si="351"/>
        <v>6864.406779661017</v>
      </c>
      <c r="P283" s="32">
        <f t="shared" si="351"/>
        <v>6864.406779661017</v>
      </c>
      <c r="Q283" s="32">
        <f t="shared" si="351"/>
        <v>6864.406779661017</v>
      </c>
      <c r="R283" s="32">
        <f t="shared" si="351"/>
        <v>6864.406779661017</v>
      </c>
      <c r="S283" s="32">
        <f t="shared" si="351"/>
        <v>6864.406779661017</v>
      </c>
      <c r="T283" s="32">
        <f t="shared" ref="T283:U283" si="352">5950/1.18</f>
        <v>5042.3728813559328</v>
      </c>
      <c r="U283" s="32">
        <f t="shared" si="352"/>
        <v>5042.3728813559328</v>
      </c>
      <c r="V283" s="32">
        <f>6950/1.18</f>
        <v>5889.8305084745762</v>
      </c>
      <c r="W283" s="32">
        <f t="shared" ref="W283:X283" si="353">7210/1.18</f>
        <v>6110.1694915254238</v>
      </c>
      <c r="X283" s="32">
        <f t="shared" si="353"/>
        <v>6110.1694915254238</v>
      </c>
      <c r="Y283" s="32">
        <f>7210/1.18</f>
        <v>6110.1694915254238</v>
      </c>
      <c r="Z283" s="32"/>
      <c r="AA283" s="33"/>
      <c r="AB283" s="16" t="s">
        <v>339</v>
      </c>
      <c r="AC283" s="38" t="s">
        <v>340</v>
      </c>
    </row>
    <row r="284" spans="1:29" ht="24.75" customHeight="1">
      <c r="A284" s="1"/>
      <c r="B284" s="21" t="s">
        <v>15</v>
      </c>
      <c r="C284" s="29" t="s">
        <v>344</v>
      </c>
      <c r="D284" s="23">
        <v>1</v>
      </c>
      <c r="E284" s="24" t="s">
        <v>214</v>
      </c>
      <c r="F284" s="32"/>
      <c r="G284" s="32"/>
      <c r="H284" s="32"/>
      <c r="I284" s="32"/>
      <c r="J284" s="32">
        <v>3264.75</v>
      </c>
      <c r="K284" s="32"/>
      <c r="L284" s="32"/>
      <c r="M284" s="32"/>
      <c r="N284" s="32">
        <f>775*3.28</f>
        <v>2542</v>
      </c>
      <c r="O284" s="32"/>
      <c r="P284" s="32"/>
      <c r="Q284" s="32"/>
      <c r="R284" s="32"/>
      <c r="S284" s="32">
        <f t="shared" ref="S284:T284" si="354">3385/1.18</f>
        <v>2868.6440677966102</v>
      </c>
      <c r="T284" s="32">
        <f t="shared" si="354"/>
        <v>2868.6440677966102</v>
      </c>
      <c r="U284" s="40">
        <f t="shared" ref="U284:X284" si="355">2985/1.18</f>
        <v>2529.6610169491528</v>
      </c>
      <c r="V284" s="40">
        <f t="shared" si="355"/>
        <v>2529.6610169491528</v>
      </c>
      <c r="W284" s="40">
        <f t="shared" si="355"/>
        <v>2529.6610169491528</v>
      </c>
      <c r="X284" s="40">
        <f t="shared" si="355"/>
        <v>2529.6610169491528</v>
      </c>
      <c r="Y284" s="41"/>
      <c r="Z284" s="41"/>
      <c r="AA284" s="33" t="s">
        <v>345</v>
      </c>
      <c r="AB284" s="16" t="s">
        <v>339</v>
      </c>
      <c r="AC284" s="38" t="s">
        <v>340</v>
      </c>
    </row>
    <row r="285" spans="1:29" ht="24.75" customHeight="1">
      <c r="A285" s="1"/>
      <c r="B285" s="21" t="s">
        <v>18</v>
      </c>
      <c r="C285" s="29" t="s">
        <v>346</v>
      </c>
      <c r="D285" s="23"/>
      <c r="E285" s="24" t="s">
        <v>98</v>
      </c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>
        <f>220/1.18</f>
        <v>186.4406779661017</v>
      </c>
      <c r="U285" s="32">
        <f t="shared" ref="U285:U286" si="356">175/1.18</f>
        <v>148.30508474576271</v>
      </c>
      <c r="V285" s="32">
        <f>190/1.18</f>
        <v>161.0169491525424</v>
      </c>
      <c r="W285" s="32">
        <f t="shared" ref="W285:Y285" si="357">185/1.18</f>
        <v>156.77966101694915</v>
      </c>
      <c r="X285" s="32">
        <f t="shared" si="357"/>
        <v>156.77966101694915</v>
      </c>
      <c r="Y285" s="32">
        <f t="shared" si="357"/>
        <v>156.77966101694915</v>
      </c>
      <c r="Z285" s="32"/>
      <c r="AA285" s="33"/>
      <c r="AB285" s="16" t="s">
        <v>339</v>
      </c>
      <c r="AC285" s="38" t="s">
        <v>340</v>
      </c>
    </row>
    <row r="286" spans="1:29" ht="24.75" customHeight="1">
      <c r="A286" s="1"/>
      <c r="B286" s="21" t="s">
        <v>20</v>
      </c>
      <c r="C286" s="29" t="s">
        <v>347</v>
      </c>
      <c r="D286" s="23"/>
      <c r="E286" s="24" t="s">
        <v>98</v>
      </c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>
        <f>350/1.18</f>
        <v>296.61016949152543</v>
      </c>
      <c r="U286" s="32">
        <f t="shared" si="356"/>
        <v>148.30508474576271</v>
      </c>
      <c r="V286" s="32">
        <f t="shared" ref="V286:Y286" si="358">300/1.18</f>
        <v>254.23728813559325</v>
      </c>
      <c r="W286" s="32">
        <f t="shared" si="358"/>
        <v>254.23728813559325</v>
      </c>
      <c r="X286" s="32">
        <f t="shared" si="358"/>
        <v>254.23728813559325</v>
      </c>
      <c r="Y286" s="32">
        <f t="shared" si="358"/>
        <v>254.23728813559325</v>
      </c>
      <c r="Z286" s="32"/>
      <c r="AA286" s="33"/>
      <c r="AB286" s="16" t="s">
        <v>339</v>
      </c>
      <c r="AC286" s="38" t="s">
        <v>340</v>
      </c>
    </row>
    <row r="287" spans="1:29" ht="24.75" customHeight="1">
      <c r="A287" s="1"/>
      <c r="B287" s="21" t="s">
        <v>24</v>
      </c>
      <c r="C287" s="29" t="s">
        <v>348</v>
      </c>
      <c r="D287" s="23"/>
      <c r="E287" s="24" t="s">
        <v>98</v>
      </c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>
        <f>420/1.18</f>
        <v>355.93220338983053</v>
      </c>
      <c r="U287" s="32">
        <f>330/1.18</f>
        <v>279.66101694915255</v>
      </c>
      <c r="V287" s="32">
        <f t="shared" ref="V287:Y287" si="359">350/1.18</f>
        <v>296.61016949152543</v>
      </c>
      <c r="W287" s="32">
        <f t="shared" si="359"/>
        <v>296.61016949152543</v>
      </c>
      <c r="X287" s="32">
        <f t="shared" si="359"/>
        <v>296.61016949152543</v>
      </c>
      <c r="Y287" s="32">
        <f t="shared" si="359"/>
        <v>296.61016949152543</v>
      </c>
      <c r="Z287" s="32"/>
      <c r="AA287" s="33"/>
      <c r="AB287" s="16" t="s">
        <v>339</v>
      </c>
      <c r="AC287" s="38" t="s">
        <v>340</v>
      </c>
    </row>
    <row r="288" spans="1:29" ht="24.75" customHeight="1">
      <c r="A288" s="1"/>
      <c r="B288" s="21" t="s">
        <v>27</v>
      </c>
      <c r="C288" s="29" t="s">
        <v>349</v>
      </c>
      <c r="D288" s="23"/>
      <c r="E288" s="24" t="s">
        <v>98</v>
      </c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>
        <f>465/1.18</f>
        <v>394.06779661016952</v>
      </c>
      <c r="U288" s="32">
        <f>405/1.18</f>
        <v>343.22033898305085</v>
      </c>
      <c r="V288" s="32">
        <f>440/1.18</f>
        <v>372.88135593220341</v>
      </c>
      <c r="W288" s="32">
        <f t="shared" ref="W288:Y288" si="360">415/1.18</f>
        <v>351.69491525423729</v>
      </c>
      <c r="X288" s="32">
        <f t="shared" si="360"/>
        <v>351.69491525423729</v>
      </c>
      <c r="Y288" s="32">
        <f t="shared" si="360"/>
        <v>351.69491525423729</v>
      </c>
      <c r="Z288" s="32"/>
      <c r="AA288" s="33"/>
      <c r="AB288" s="16" t="s">
        <v>339</v>
      </c>
      <c r="AC288" s="38" t="s">
        <v>340</v>
      </c>
    </row>
    <row r="289" spans="1:29" ht="24.75" customHeight="1">
      <c r="A289" s="1"/>
      <c r="B289" s="21"/>
      <c r="C289" s="38" t="s">
        <v>350</v>
      </c>
      <c r="D289" s="35"/>
      <c r="E289" s="36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16" t="s">
        <v>339</v>
      </c>
    </row>
    <row r="290" spans="1:29" ht="24.75" customHeight="1">
      <c r="A290" s="1"/>
      <c r="B290" s="21" t="s">
        <v>8</v>
      </c>
      <c r="C290" s="29" t="s">
        <v>351</v>
      </c>
      <c r="D290" s="23">
        <v>1</v>
      </c>
      <c r="E290" s="24" t="s">
        <v>52</v>
      </c>
      <c r="F290" s="32"/>
      <c r="G290" s="32"/>
      <c r="H290" s="32"/>
      <c r="I290" s="32"/>
      <c r="J290" s="32"/>
      <c r="K290" s="32"/>
      <c r="L290" s="32"/>
      <c r="M290" s="32"/>
      <c r="N290" s="32">
        <f t="shared" ref="N290:S290" si="361">1650/1.18</f>
        <v>1398.3050847457628</v>
      </c>
      <c r="O290" s="32">
        <f t="shared" si="361"/>
        <v>1398.3050847457628</v>
      </c>
      <c r="P290" s="32">
        <f t="shared" si="361"/>
        <v>1398.3050847457628</v>
      </c>
      <c r="Q290" s="32">
        <f t="shared" si="361"/>
        <v>1398.3050847457628</v>
      </c>
      <c r="R290" s="32">
        <f t="shared" si="361"/>
        <v>1398.3050847457628</v>
      </c>
      <c r="S290" s="32">
        <f t="shared" si="361"/>
        <v>1398.3050847457628</v>
      </c>
      <c r="T290" s="32">
        <f t="shared" ref="T290:U290" si="362">1050/1.18</f>
        <v>889.83050847457628</v>
      </c>
      <c r="U290" s="32">
        <f t="shared" si="362"/>
        <v>889.83050847457628</v>
      </c>
      <c r="V290" s="32"/>
      <c r="W290" s="32">
        <f t="shared" ref="W290:X290" si="363">860/1.18</f>
        <v>728.81355932203394</v>
      </c>
      <c r="X290" s="32">
        <f t="shared" si="363"/>
        <v>728.81355932203394</v>
      </c>
      <c r="Y290" s="32">
        <f>1076/1.18</f>
        <v>911.86440677966107</v>
      </c>
      <c r="Z290" s="32"/>
      <c r="AA290" s="33"/>
      <c r="AB290" s="16" t="s">
        <v>339</v>
      </c>
      <c r="AC290" s="38" t="s">
        <v>350</v>
      </c>
    </row>
    <row r="291" spans="1:29" ht="24.75" customHeight="1">
      <c r="A291" s="1"/>
      <c r="B291" s="21" t="s">
        <v>11</v>
      </c>
      <c r="C291" s="29" t="s">
        <v>352</v>
      </c>
      <c r="D291" s="23">
        <v>1</v>
      </c>
      <c r="E291" s="24" t="s">
        <v>52</v>
      </c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>
        <v>17</v>
      </c>
      <c r="T291" s="32">
        <v>17</v>
      </c>
      <c r="U291" s="32">
        <v>17</v>
      </c>
      <c r="V291" s="32">
        <v>17</v>
      </c>
      <c r="W291" s="32">
        <v>17</v>
      </c>
      <c r="X291" s="32">
        <v>17</v>
      </c>
      <c r="Y291" s="32"/>
      <c r="Z291" s="32"/>
      <c r="AA291" s="33"/>
      <c r="AB291" s="16" t="s">
        <v>339</v>
      </c>
      <c r="AC291" s="38" t="s">
        <v>350</v>
      </c>
    </row>
    <row r="292" spans="1:29" ht="24.75" customHeight="1">
      <c r="A292" s="1"/>
      <c r="B292" s="21" t="s">
        <v>13</v>
      </c>
      <c r="C292" s="29" t="s">
        <v>353</v>
      </c>
      <c r="D292" s="23">
        <v>1</v>
      </c>
      <c r="E292" s="24" t="s">
        <v>52</v>
      </c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>
        <v>21</v>
      </c>
      <c r="T292" s="32">
        <v>21</v>
      </c>
      <c r="U292" s="32">
        <v>21</v>
      </c>
      <c r="V292" s="32">
        <v>21</v>
      </c>
      <c r="W292" s="32">
        <v>21</v>
      </c>
      <c r="X292" s="32">
        <v>21</v>
      </c>
      <c r="Y292" s="32"/>
      <c r="Z292" s="32"/>
      <c r="AA292" s="33"/>
      <c r="AB292" s="16" t="s">
        <v>339</v>
      </c>
      <c r="AC292" s="38" t="s">
        <v>350</v>
      </c>
    </row>
    <row r="293" spans="1:29" ht="24.75" customHeight="1">
      <c r="A293" s="1"/>
      <c r="B293" s="21" t="s">
        <v>15</v>
      </c>
      <c r="C293" s="29" t="s">
        <v>354</v>
      </c>
      <c r="D293" s="23">
        <v>1</v>
      </c>
      <c r="E293" s="24" t="s">
        <v>214</v>
      </c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>
        <f t="shared" ref="S293:U293" si="364">1500/1.18</f>
        <v>1271.1864406779662</v>
      </c>
      <c r="T293" s="32">
        <f t="shared" si="364"/>
        <v>1271.1864406779662</v>
      </c>
      <c r="U293" s="32">
        <f t="shared" si="364"/>
        <v>1271.1864406779662</v>
      </c>
      <c r="V293" s="32"/>
      <c r="W293" s="32"/>
      <c r="X293" s="32"/>
      <c r="Y293" s="32"/>
      <c r="Z293" s="32"/>
      <c r="AA293" s="33"/>
      <c r="AB293" s="16" t="s">
        <v>339</v>
      </c>
      <c r="AC293" s="38" t="s">
        <v>350</v>
      </c>
    </row>
    <row r="294" spans="1:29" ht="24.75" customHeight="1">
      <c r="A294" s="1"/>
      <c r="B294" s="21" t="s">
        <v>18</v>
      </c>
      <c r="C294" s="29" t="s">
        <v>355</v>
      </c>
      <c r="D294" s="23">
        <v>1</v>
      </c>
      <c r="E294" s="24" t="s">
        <v>52</v>
      </c>
      <c r="F294" s="32"/>
      <c r="G294" s="32"/>
      <c r="H294" s="32"/>
      <c r="I294" s="32"/>
      <c r="J294" s="32"/>
      <c r="K294" s="32"/>
      <c r="L294" s="32"/>
      <c r="M294" s="32"/>
      <c r="N294" s="32">
        <v>15</v>
      </c>
      <c r="O294" s="32"/>
      <c r="P294" s="32"/>
      <c r="Q294" s="32"/>
      <c r="R294" s="32"/>
      <c r="S294" s="32">
        <f t="shared" ref="S294:X294" si="365">16/1.18</f>
        <v>13.559322033898306</v>
      </c>
      <c r="T294" s="32">
        <f t="shared" si="365"/>
        <v>13.559322033898306</v>
      </c>
      <c r="U294" s="32">
        <f t="shared" si="365"/>
        <v>13.559322033898306</v>
      </c>
      <c r="V294" s="32">
        <f t="shared" si="365"/>
        <v>13.559322033898306</v>
      </c>
      <c r="W294" s="32">
        <f t="shared" si="365"/>
        <v>13.559322033898306</v>
      </c>
      <c r="X294" s="32">
        <f t="shared" si="365"/>
        <v>13.559322033898306</v>
      </c>
      <c r="Y294" s="32"/>
      <c r="Z294" s="32"/>
      <c r="AA294" s="33" t="s">
        <v>345</v>
      </c>
      <c r="AB294" s="16" t="s">
        <v>339</v>
      </c>
      <c r="AC294" s="38" t="s">
        <v>350</v>
      </c>
    </row>
    <row r="295" spans="1:29" ht="24.75" customHeight="1">
      <c r="A295" s="1"/>
      <c r="B295" s="21" t="s">
        <v>20</v>
      </c>
      <c r="C295" s="29" t="s">
        <v>356</v>
      </c>
      <c r="D295" s="23">
        <v>1</v>
      </c>
      <c r="E295" s="24" t="s">
        <v>89</v>
      </c>
      <c r="F295" s="32"/>
      <c r="G295" s="32"/>
      <c r="H295" s="32"/>
      <c r="I295" s="32"/>
      <c r="J295" s="32"/>
      <c r="K295" s="32"/>
      <c r="L295" s="32"/>
      <c r="M295" s="32"/>
      <c r="N295" s="32">
        <f t="shared" ref="N295:N296" si="366">450*3.28</f>
        <v>1476</v>
      </c>
      <c r="O295" s="32"/>
      <c r="P295" s="32"/>
      <c r="Q295" s="32"/>
      <c r="R295" s="32"/>
      <c r="S295" s="32">
        <f t="shared" ref="S295:X295" si="367">1476/1.18</f>
        <v>1250.8474576271187</v>
      </c>
      <c r="T295" s="32">
        <f t="shared" si="367"/>
        <v>1250.8474576271187</v>
      </c>
      <c r="U295" s="32">
        <f t="shared" si="367"/>
        <v>1250.8474576271187</v>
      </c>
      <c r="V295" s="32">
        <f t="shared" si="367"/>
        <v>1250.8474576271187</v>
      </c>
      <c r="W295" s="32">
        <f t="shared" si="367"/>
        <v>1250.8474576271187</v>
      </c>
      <c r="X295" s="32">
        <f t="shared" si="367"/>
        <v>1250.8474576271187</v>
      </c>
      <c r="Y295" s="32"/>
      <c r="Z295" s="32"/>
      <c r="AA295" s="33" t="s">
        <v>345</v>
      </c>
      <c r="AB295" s="16" t="s">
        <v>339</v>
      </c>
      <c r="AC295" s="38" t="s">
        <v>350</v>
      </c>
    </row>
    <row r="296" spans="1:29" ht="24.75" customHeight="1">
      <c r="A296" s="1"/>
      <c r="B296" s="21" t="s">
        <v>24</v>
      </c>
      <c r="C296" s="29" t="s">
        <v>357</v>
      </c>
      <c r="D296" s="23">
        <v>1</v>
      </c>
      <c r="E296" s="24" t="s">
        <v>89</v>
      </c>
      <c r="F296" s="32"/>
      <c r="G296" s="32"/>
      <c r="H296" s="32"/>
      <c r="I296" s="32"/>
      <c r="J296" s="32"/>
      <c r="K296" s="32"/>
      <c r="L296" s="32"/>
      <c r="M296" s="32"/>
      <c r="N296" s="32">
        <f t="shared" si="366"/>
        <v>1476</v>
      </c>
      <c r="O296" s="32"/>
      <c r="P296" s="32"/>
      <c r="Q296" s="32"/>
      <c r="R296" s="32"/>
      <c r="S296" s="32">
        <f t="shared" ref="S296:X296" si="368">1476/1.18</f>
        <v>1250.8474576271187</v>
      </c>
      <c r="T296" s="32">
        <f t="shared" si="368"/>
        <v>1250.8474576271187</v>
      </c>
      <c r="U296" s="32">
        <f t="shared" si="368"/>
        <v>1250.8474576271187</v>
      </c>
      <c r="V296" s="32">
        <f t="shared" si="368"/>
        <v>1250.8474576271187</v>
      </c>
      <c r="W296" s="32">
        <f t="shared" si="368"/>
        <v>1250.8474576271187</v>
      </c>
      <c r="X296" s="32">
        <f t="shared" si="368"/>
        <v>1250.8474576271187</v>
      </c>
      <c r="Y296" s="32"/>
      <c r="Z296" s="32"/>
      <c r="AA296" s="33" t="s">
        <v>345</v>
      </c>
      <c r="AB296" s="16" t="s">
        <v>339</v>
      </c>
      <c r="AC296" s="38" t="s">
        <v>350</v>
      </c>
    </row>
    <row r="297" spans="1:29" ht="24.75" customHeight="1">
      <c r="A297" s="1"/>
      <c r="B297" s="21" t="s">
        <v>27</v>
      </c>
      <c r="C297" s="29" t="s">
        <v>358</v>
      </c>
      <c r="D297" s="23">
        <v>1</v>
      </c>
      <c r="E297" s="24" t="s">
        <v>89</v>
      </c>
      <c r="F297" s="32"/>
      <c r="G297" s="32"/>
      <c r="H297" s="32"/>
      <c r="I297" s="32"/>
      <c r="J297" s="32">
        <v>1017</v>
      </c>
      <c r="K297" s="32"/>
      <c r="L297" s="32"/>
      <c r="M297" s="32"/>
      <c r="N297" s="32">
        <f>325*3.28</f>
        <v>1066</v>
      </c>
      <c r="O297" s="32"/>
      <c r="P297" s="32"/>
      <c r="Q297" s="32"/>
      <c r="R297" s="32"/>
      <c r="S297" s="32">
        <f t="shared" ref="S297:X297" si="369">1000/1.18</f>
        <v>847.45762711864415</v>
      </c>
      <c r="T297" s="32">
        <f t="shared" si="369"/>
        <v>847.45762711864415</v>
      </c>
      <c r="U297" s="32">
        <f t="shared" si="369"/>
        <v>847.45762711864415</v>
      </c>
      <c r="V297" s="32">
        <f t="shared" si="369"/>
        <v>847.45762711864415</v>
      </c>
      <c r="W297" s="32">
        <f t="shared" si="369"/>
        <v>847.45762711864415</v>
      </c>
      <c r="X297" s="32">
        <f t="shared" si="369"/>
        <v>847.45762711864415</v>
      </c>
      <c r="Y297" s="32"/>
      <c r="Z297" s="32"/>
      <c r="AA297" s="33" t="s">
        <v>345</v>
      </c>
      <c r="AB297" s="16" t="s">
        <v>339</v>
      </c>
      <c r="AC297" s="38" t="s">
        <v>350</v>
      </c>
    </row>
    <row r="298" spans="1:29" ht="24.75" customHeight="1">
      <c r="A298" s="1"/>
      <c r="B298" s="21" t="s">
        <v>30</v>
      </c>
      <c r="C298" s="29" t="s">
        <v>359</v>
      </c>
      <c r="D298" s="23">
        <v>1</v>
      </c>
      <c r="E298" s="24" t="s">
        <v>89</v>
      </c>
      <c r="F298" s="32"/>
      <c r="G298" s="32"/>
      <c r="H298" s="32"/>
      <c r="I298" s="32"/>
      <c r="J298" s="32">
        <v>1476</v>
      </c>
      <c r="K298" s="32"/>
      <c r="L298" s="32"/>
      <c r="M298" s="32"/>
      <c r="N298" s="32">
        <f>450*3.28</f>
        <v>1476</v>
      </c>
      <c r="O298" s="32"/>
      <c r="P298" s="32"/>
      <c r="Q298" s="32"/>
      <c r="R298" s="32"/>
      <c r="S298" s="32">
        <f t="shared" ref="S298:X298" si="370">1476/1.18</f>
        <v>1250.8474576271187</v>
      </c>
      <c r="T298" s="32">
        <f t="shared" si="370"/>
        <v>1250.8474576271187</v>
      </c>
      <c r="U298" s="32">
        <f t="shared" si="370"/>
        <v>1250.8474576271187</v>
      </c>
      <c r="V298" s="32">
        <f t="shared" si="370"/>
        <v>1250.8474576271187</v>
      </c>
      <c r="W298" s="32">
        <f t="shared" si="370"/>
        <v>1250.8474576271187</v>
      </c>
      <c r="X298" s="32">
        <f t="shared" si="370"/>
        <v>1250.8474576271187</v>
      </c>
      <c r="Y298" s="32"/>
      <c r="Z298" s="32"/>
      <c r="AA298" s="33" t="s">
        <v>345</v>
      </c>
      <c r="AB298" s="16" t="s">
        <v>339</v>
      </c>
      <c r="AC298" s="38" t="s">
        <v>350</v>
      </c>
    </row>
    <row r="299" spans="1:29" ht="24.75" customHeight="1">
      <c r="A299" s="1"/>
      <c r="B299" s="21" t="s">
        <v>32</v>
      </c>
      <c r="C299" s="29" t="s">
        <v>360</v>
      </c>
      <c r="D299" s="23">
        <v>1</v>
      </c>
      <c r="E299" s="24" t="s">
        <v>361</v>
      </c>
      <c r="F299" s="32"/>
      <c r="G299" s="32"/>
      <c r="H299" s="32"/>
      <c r="I299" s="32"/>
      <c r="J299" s="32">
        <v>360</v>
      </c>
      <c r="K299" s="32"/>
      <c r="L299" s="32"/>
      <c r="M299" s="32"/>
      <c r="N299" s="32">
        <v>1000</v>
      </c>
      <c r="O299" s="32"/>
      <c r="P299" s="32"/>
      <c r="Q299" s="32"/>
      <c r="R299" s="32"/>
      <c r="S299" s="32">
        <f t="shared" ref="S299:X299" si="371">800/1.18</f>
        <v>677.96610169491532</v>
      </c>
      <c r="T299" s="32">
        <f t="shared" si="371"/>
        <v>677.96610169491532</v>
      </c>
      <c r="U299" s="32">
        <f t="shared" si="371"/>
        <v>677.96610169491532</v>
      </c>
      <c r="V299" s="32">
        <f t="shared" si="371"/>
        <v>677.96610169491532</v>
      </c>
      <c r="W299" s="32">
        <f t="shared" si="371"/>
        <v>677.96610169491532</v>
      </c>
      <c r="X299" s="32">
        <f t="shared" si="371"/>
        <v>677.96610169491532</v>
      </c>
      <c r="Y299" s="32"/>
      <c r="Z299" s="32"/>
      <c r="AA299" s="33" t="s">
        <v>345</v>
      </c>
      <c r="AB299" s="16" t="s">
        <v>339</v>
      </c>
      <c r="AC299" s="38" t="s">
        <v>350</v>
      </c>
    </row>
    <row r="300" spans="1:29" ht="24.75" customHeight="1">
      <c r="A300" s="1"/>
      <c r="B300" s="21" t="s">
        <v>35</v>
      </c>
      <c r="C300" s="29" t="s">
        <v>362</v>
      </c>
      <c r="D300" s="23">
        <v>1</v>
      </c>
      <c r="E300" s="24" t="s">
        <v>52</v>
      </c>
      <c r="F300" s="32"/>
      <c r="G300" s="32"/>
      <c r="H300" s="32"/>
      <c r="I300" s="32"/>
      <c r="J300" s="32">
        <v>140</v>
      </c>
      <c r="K300" s="32"/>
      <c r="L300" s="32"/>
      <c r="M300" s="32"/>
      <c r="N300" s="32">
        <v>300</v>
      </c>
      <c r="O300" s="32"/>
      <c r="P300" s="32"/>
      <c r="Q300" s="32"/>
      <c r="R300" s="32"/>
      <c r="S300" s="32">
        <f t="shared" ref="S300:X300" si="372">70/1.18</f>
        <v>59.322033898305087</v>
      </c>
      <c r="T300" s="32">
        <f t="shared" si="372"/>
        <v>59.322033898305087</v>
      </c>
      <c r="U300" s="32">
        <f t="shared" si="372"/>
        <v>59.322033898305087</v>
      </c>
      <c r="V300" s="32">
        <f t="shared" si="372"/>
        <v>59.322033898305087</v>
      </c>
      <c r="W300" s="32">
        <f t="shared" si="372"/>
        <v>59.322033898305087</v>
      </c>
      <c r="X300" s="32">
        <f t="shared" si="372"/>
        <v>59.322033898305087</v>
      </c>
      <c r="Y300" s="32"/>
      <c r="Z300" s="32"/>
      <c r="AA300" s="33" t="s">
        <v>345</v>
      </c>
      <c r="AB300" s="16" t="s">
        <v>339</v>
      </c>
      <c r="AC300" s="38" t="s">
        <v>350</v>
      </c>
    </row>
    <row r="301" spans="1:29" ht="24.75" customHeight="1">
      <c r="A301" s="1"/>
      <c r="B301" s="21" t="s">
        <v>37</v>
      </c>
      <c r="C301" s="29" t="s">
        <v>363</v>
      </c>
      <c r="D301" s="23">
        <v>1</v>
      </c>
      <c r="E301" s="24" t="s">
        <v>89</v>
      </c>
      <c r="F301" s="32"/>
      <c r="G301" s="32"/>
      <c r="H301" s="32"/>
      <c r="I301" s="32"/>
      <c r="J301" s="32"/>
      <c r="K301" s="32"/>
      <c r="L301" s="32"/>
      <c r="M301" s="32"/>
      <c r="N301" s="32">
        <f t="shared" ref="N301:N302" si="373">450*3.28</f>
        <v>1476</v>
      </c>
      <c r="O301" s="32"/>
      <c r="P301" s="32"/>
      <c r="Q301" s="32"/>
      <c r="R301" s="32"/>
      <c r="S301" s="32">
        <f t="shared" ref="S301:X301" si="374">1476/1.18</f>
        <v>1250.8474576271187</v>
      </c>
      <c r="T301" s="32">
        <f t="shared" si="374"/>
        <v>1250.8474576271187</v>
      </c>
      <c r="U301" s="32">
        <f t="shared" si="374"/>
        <v>1250.8474576271187</v>
      </c>
      <c r="V301" s="32">
        <f t="shared" si="374"/>
        <v>1250.8474576271187</v>
      </c>
      <c r="W301" s="32">
        <f t="shared" si="374"/>
        <v>1250.8474576271187</v>
      </c>
      <c r="X301" s="32">
        <f t="shared" si="374"/>
        <v>1250.8474576271187</v>
      </c>
      <c r="Y301" s="32"/>
      <c r="Z301" s="32"/>
      <c r="AA301" s="33" t="s">
        <v>345</v>
      </c>
      <c r="AB301" s="16" t="s">
        <v>339</v>
      </c>
      <c r="AC301" s="38" t="s">
        <v>350</v>
      </c>
    </row>
    <row r="302" spans="1:29" ht="24.75" customHeight="1">
      <c r="A302" s="1"/>
      <c r="B302" s="21" t="s">
        <v>40</v>
      </c>
      <c r="C302" s="29" t="s">
        <v>364</v>
      </c>
      <c r="D302" s="23">
        <v>1</v>
      </c>
      <c r="E302" s="24" t="s">
        <v>89</v>
      </c>
      <c r="F302" s="32"/>
      <c r="G302" s="32"/>
      <c r="H302" s="32"/>
      <c r="I302" s="32"/>
      <c r="J302" s="32"/>
      <c r="K302" s="32"/>
      <c r="L302" s="32"/>
      <c r="M302" s="32"/>
      <c r="N302" s="32">
        <f t="shared" si="373"/>
        <v>1476</v>
      </c>
      <c r="O302" s="32"/>
      <c r="P302" s="32"/>
      <c r="Q302" s="32"/>
      <c r="R302" s="32"/>
      <c r="S302" s="32">
        <f t="shared" ref="S302:X302" si="375">1476/1.18</f>
        <v>1250.8474576271187</v>
      </c>
      <c r="T302" s="32">
        <f t="shared" si="375"/>
        <v>1250.8474576271187</v>
      </c>
      <c r="U302" s="32">
        <f t="shared" si="375"/>
        <v>1250.8474576271187</v>
      </c>
      <c r="V302" s="32">
        <f t="shared" si="375"/>
        <v>1250.8474576271187</v>
      </c>
      <c r="W302" s="32">
        <f t="shared" si="375"/>
        <v>1250.8474576271187</v>
      </c>
      <c r="X302" s="32">
        <f t="shared" si="375"/>
        <v>1250.8474576271187</v>
      </c>
      <c r="Y302" s="32"/>
      <c r="Z302" s="32"/>
      <c r="AA302" s="33" t="s">
        <v>345</v>
      </c>
      <c r="AB302" s="16" t="s">
        <v>339</v>
      </c>
      <c r="AC302" s="38" t="s">
        <v>350</v>
      </c>
    </row>
    <row r="303" spans="1:29" ht="24.75" customHeight="1">
      <c r="A303" s="1"/>
      <c r="B303" s="21" t="s">
        <v>67</v>
      </c>
      <c r="C303" s="29" t="s">
        <v>365</v>
      </c>
      <c r="D303" s="23">
        <v>1</v>
      </c>
      <c r="E303" s="24" t="s">
        <v>89</v>
      </c>
      <c r="F303" s="32"/>
      <c r="G303" s="32"/>
      <c r="H303" s="32"/>
      <c r="I303" s="32"/>
      <c r="J303" s="32"/>
      <c r="K303" s="32"/>
      <c r="L303" s="32"/>
      <c r="M303" s="32"/>
      <c r="N303" s="32">
        <v>1000</v>
      </c>
      <c r="O303" s="32"/>
      <c r="P303" s="32"/>
      <c r="Q303" s="32"/>
      <c r="R303" s="32"/>
      <c r="S303" s="32">
        <f t="shared" ref="S303:X303" si="376">950/1.18</f>
        <v>805.08474576271192</v>
      </c>
      <c r="T303" s="32">
        <f t="shared" si="376"/>
        <v>805.08474576271192</v>
      </c>
      <c r="U303" s="32">
        <f t="shared" si="376"/>
        <v>805.08474576271192</v>
      </c>
      <c r="V303" s="32">
        <f t="shared" si="376"/>
        <v>805.08474576271192</v>
      </c>
      <c r="W303" s="32">
        <f t="shared" si="376"/>
        <v>805.08474576271192</v>
      </c>
      <c r="X303" s="32">
        <f t="shared" si="376"/>
        <v>805.08474576271192</v>
      </c>
      <c r="Y303" s="32"/>
      <c r="Z303" s="32"/>
      <c r="AA303" s="33" t="s">
        <v>345</v>
      </c>
      <c r="AB303" s="16" t="s">
        <v>339</v>
      </c>
      <c r="AC303" s="38" t="s">
        <v>350</v>
      </c>
    </row>
    <row r="304" spans="1:29" ht="24.75" customHeight="1">
      <c r="A304" s="1"/>
      <c r="B304" s="21" t="s">
        <v>71</v>
      </c>
      <c r="C304" s="29" t="s">
        <v>366</v>
      </c>
      <c r="D304" s="23">
        <v>1</v>
      </c>
      <c r="E304" s="24" t="s">
        <v>89</v>
      </c>
      <c r="F304" s="32"/>
      <c r="G304" s="32"/>
      <c r="H304" s="32"/>
      <c r="I304" s="32"/>
      <c r="J304" s="32"/>
      <c r="K304" s="32"/>
      <c r="L304" s="32"/>
      <c r="M304" s="32"/>
      <c r="N304" s="32">
        <v>50</v>
      </c>
      <c r="O304" s="32"/>
      <c r="P304" s="32"/>
      <c r="Q304" s="32"/>
      <c r="R304" s="32"/>
      <c r="S304" s="32">
        <f t="shared" ref="S304:X304" si="377">75/1.18</f>
        <v>63.559322033898312</v>
      </c>
      <c r="T304" s="32">
        <f t="shared" si="377"/>
        <v>63.559322033898312</v>
      </c>
      <c r="U304" s="32">
        <f t="shared" si="377"/>
        <v>63.559322033898312</v>
      </c>
      <c r="V304" s="32">
        <f t="shared" si="377"/>
        <v>63.559322033898312</v>
      </c>
      <c r="W304" s="32">
        <f t="shared" si="377"/>
        <v>63.559322033898312</v>
      </c>
      <c r="X304" s="32">
        <f t="shared" si="377"/>
        <v>63.559322033898312</v>
      </c>
      <c r="Y304" s="32"/>
      <c r="Z304" s="32"/>
      <c r="AA304" s="33" t="s">
        <v>345</v>
      </c>
      <c r="AB304" s="16" t="s">
        <v>339</v>
      </c>
      <c r="AC304" s="38" t="s">
        <v>350</v>
      </c>
    </row>
    <row r="305" spans="1:29" ht="24.75" customHeight="1">
      <c r="A305" s="1"/>
      <c r="B305" s="21" t="s">
        <v>73</v>
      </c>
      <c r="C305" s="29" t="s">
        <v>367</v>
      </c>
      <c r="D305" s="23">
        <v>1</v>
      </c>
      <c r="E305" s="24" t="s">
        <v>52</v>
      </c>
      <c r="F305" s="32"/>
      <c r="G305" s="32"/>
      <c r="H305" s="32"/>
      <c r="I305" s="32"/>
      <c r="J305" s="32"/>
      <c r="K305" s="32"/>
      <c r="L305" s="32"/>
      <c r="M305" s="32"/>
      <c r="N305" s="32">
        <v>1000</v>
      </c>
      <c r="O305" s="32"/>
      <c r="P305" s="32"/>
      <c r="Q305" s="32"/>
      <c r="R305" s="32"/>
      <c r="S305" s="32">
        <f t="shared" ref="S305:X305" si="378">700/1.18</f>
        <v>593.22033898305085</v>
      </c>
      <c r="T305" s="32">
        <f t="shared" si="378"/>
        <v>593.22033898305085</v>
      </c>
      <c r="U305" s="32">
        <f t="shared" si="378"/>
        <v>593.22033898305085</v>
      </c>
      <c r="V305" s="32">
        <f t="shared" si="378"/>
        <v>593.22033898305085</v>
      </c>
      <c r="W305" s="32">
        <f t="shared" si="378"/>
        <v>593.22033898305085</v>
      </c>
      <c r="X305" s="32">
        <f t="shared" si="378"/>
        <v>593.22033898305085</v>
      </c>
      <c r="Y305" s="32"/>
      <c r="Z305" s="32"/>
      <c r="AA305" s="33" t="s">
        <v>345</v>
      </c>
      <c r="AB305" s="16" t="s">
        <v>339</v>
      </c>
      <c r="AC305" s="38" t="s">
        <v>350</v>
      </c>
    </row>
    <row r="306" spans="1:29" ht="24.75" customHeight="1">
      <c r="A306" s="1"/>
      <c r="B306" s="21"/>
      <c r="C306" s="38" t="s">
        <v>368</v>
      </c>
      <c r="D306" s="35"/>
      <c r="E306" s="36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16" t="s">
        <v>339</v>
      </c>
    </row>
    <row r="307" spans="1:29" ht="24.75" customHeight="1">
      <c r="A307" s="1"/>
      <c r="B307" s="21" t="s">
        <v>8</v>
      </c>
      <c r="C307" s="29" t="s">
        <v>369</v>
      </c>
      <c r="D307" s="23">
        <v>1</v>
      </c>
      <c r="E307" s="24" t="s">
        <v>52</v>
      </c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>
        <v>305.08</v>
      </c>
      <c r="W307" s="32">
        <v>305.08</v>
      </c>
      <c r="X307" s="32">
        <v>305.08</v>
      </c>
      <c r="Y307" s="32">
        <v>305.08</v>
      </c>
      <c r="Z307" s="32"/>
      <c r="AA307" s="33" t="s">
        <v>227</v>
      </c>
      <c r="AB307" s="16" t="s">
        <v>339</v>
      </c>
      <c r="AC307" s="38" t="s">
        <v>368</v>
      </c>
    </row>
    <row r="308" spans="1:29" ht="24.75" customHeight="1">
      <c r="A308" s="1"/>
      <c r="B308" s="21" t="s">
        <v>11</v>
      </c>
      <c r="C308" s="29" t="s">
        <v>370</v>
      </c>
      <c r="D308" s="23">
        <v>1</v>
      </c>
      <c r="E308" s="24" t="s">
        <v>52</v>
      </c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>
        <v>288.14</v>
      </c>
      <c r="W308" s="32">
        <v>288.14</v>
      </c>
      <c r="X308" s="32">
        <v>288.14</v>
      </c>
      <c r="Y308" s="32">
        <v>288.14</v>
      </c>
      <c r="Z308" s="32"/>
      <c r="AA308" s="33"/>
      <c r="AB308" s="16" t="s">
        <v>339</v>
      </c>
      <c r="AC308" s="38" t="s">
        <v>368</v>
      </c>
    </row>
    <row r="309" spans="1:29" ht="24.75" customHeight="1">
      <c r="A309" s="1"/>
      <c r="B309" s="21" t="s">
        <v>13</v>
      </c>
      <c r="C309" s="29" t="s">
        <v>371</v>
      </c>
      <c r="D309" s="23">
        <v>1</v>
      </c>
      <c r="E309" s="24" t="s">
        <v>52</v>
      </c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>
        <v>330.51</v>
      </c>
      <c r="W309" s="32">
        <v>330.51</v>
      </c>
      <c r="X309" s="32">
        <v>330.51</v>
      </c>
      <c r="Y309" s="32">
        <v>330.51</v>
      </c>
      <c r="Z309" s="32"/>
      <c r="AA309" s="33"/>
      <c r="AB309" s="16" t="s">
        <v>339</v>
      </c>
      <c r="AC309" s="38" t="s">
        <v>368</v>
      </c>
    </row>
    <row r="310" spans="1:29" ht="24.75" customHeight="1">
      <c r="A310" s="1"/>
      <c r="B310" s="21" t="s">
        <v>15</v>
      </c>
      <c r="C310" s="29" t="s">
        <v>372</v>
      </c>
      <c r="D310" s="23">
        <v>1</v>
      </c>
      <c r="E310" s="24" t="s">
        <v>52</v>
      </c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>
        <v>233.05</v>
      </c>
      <c r="W310" s="32">
        <v>233.05</v>
      </c>
      <c r="X310" s="32">
        <v>233.05</v>
      </c>
      <c r="Y310" s="32">
        <v>233.05</v>
      </c>
      <c r="Z310" s="32"/>
      <c r="AA310" s="33"/>
      <c r="AB310" s="16" t="s">
        <v>339</v>
      </c>
      <c r="AC310" s="38" t="s">
        <v>368</v>
      </c>
    </row>
    <row r="311" spans="1:29" ht="24.75" customHeight="1">
      <c r="A311" s="1"/>
      <c r="B311" s="21" t="s">
        <v>18</v>
      </c>
      <c r="C311" s="29" t="s">
        <v>373</v>
      </c>
      <c r="D311" s="23">
        <v>1</v>
      </c>
      <c r="E311" s="24" t="s">
        <v>52</v>
      </c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>
        <v>309.32</v>
      </c>
      <c r="W311" s="32">
        <v>309.32</v>
      </c>
      <c r="X311" s="32">
        <v>309.32</v>
      </c>
      <c r="Y311" s="32">
        <v>309.32</v>
      </c>
      <c r="Z311" s="32"/>
      <c r="AA311" s="33"/>
      <c r="AB311" s="16" t="s">
        <v>339</v>
      </c>
      <c r="AC311" s="38" t="s">
        <v>368</v>
      </c>
    </row>
    <row r="312" spans="1:29" ht="24.75" customHeight="1">
      <c r="A312" s="1"/>
      <c r="B312" s="21" t="s">
        <v>20</v>
      </c>
      <c r="C312" s="29" t="s">
        <v>374</v>
      </c>
      <c r="D312" s="23">
        <v>1</v>
      </c>
      <c r="E312" s="24" t="s">
        <v>52</v>
      </c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>
        <v>305.08</v>
      </c>
      <c r="W312" s="32">
        <v>305.08</v>
      </c>
      <c r="X312" s="32">
        <v>305.08</v>
      </c>
      <c r="Y312" s="32">
        <v>305.08</v>
      </c>
      <c r="Z312" s="32"/>
      <c r="AA312" s="33"/>
      <c r="AB312" s="16" t="s">
        <v>339</v>
      </c>
      <c r="AC312" s="38" t="s">
        <v>368</v>
      </c>
    </row>
    <row r="313" spans="1:29" ht="24.75" customHeight="1">
      <c r="A313" s="1"/>
      <c r="B313" s="21" t="s">
        <v>24</v>
      </c>
      <c r="C313" s="29" t="s">
        <v>375</v>
      </c>
      <c r="D313" s="23">
        <v>1</v>
      </c>
      <c r="E313" s="24" t="s">
        <v>52</v>
      </c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>
        <v>572.03</v>
      </c>
      <c r="W313" s="32">
        <v>572.03</v>
      </c>
      <c r="X313" s="32">
        <v>572.03</v>
      </c>
      <c r="Y313" s="32">
        <v>572.03</v>
      </c>
      <c r="Z313" s="32"/>
      <c r="AA313" s="33"/>
      <c r="AB313" s="16" t="s">
        <v>339</v>
      </c>
      <c r="AC313" s="38" t="s">
        <v>368</v>
      </c>
    </row>
    <row r="314" spans="1:29" ht="24.75" customHeight="1">
      <c r="A314" s="1"/>
      <c r="B314" s="21" t="s">
        <v>27</v>
      </c>
      <c r="C314" s="29" t="s">
        <v>376</v>
      </c>
      <c r="D314" s="23">
        <v>1</v>
      </c>
      <c r="E314" s="24" t="s">
        <v>52</v>
      </c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>
        <v>449.15</v>
      </c>
      <c r="W314" s="32">
        <v>449.15</v>
      </c>
      <c r="X314" s="32">
        <v>449.15</v>
      </c>
      <c r="Y314" s="32">
        <v>449.15</v>
      </c>
      <c r="Z314" s="32"/>
      <c r="AA314" s="33"/>
      <c r="AB314" s="16" t="s">
        <v>339</v>
      </c>
      <c r="AC314" s="38" t="s">
        <v>368</v>
      </c>
    </row>
    <row r="315" spans="1:29" ht="24.75" customHeight="1">
      <c r="A315" s="1"/>
      <c r="B315" s="21" t="s">
        <v>30</v>
      </c>
      <c r="C315" s="29" t="s">
        <v>377</v>
      </c>
      <c r="D315" s="23">
        <v>1</v>
      </c>
      <c r="E315" s="24" t="s">
        <v>52</v>
      </c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>
        <v>1470.34</v>
      </c>
      <c r="W315" s="32">
        <v>1470.34</v>
      </c>
      <c r="X315" s="32">
        <v>1470.34</v>
      </c>
      <c r="Y315" s="32">
        <v>1470.34</v>
      </c>
      <c r="Z315" s="32"/>
      <c r="AA315" s="33"/>
      <c r="AB315" s="16" t="s">
        <v>339</v>
      </c>
      <c r="AC315" s="38" t="s">
        <v>368</v>
      </c>
    </row>
    <row r="316" spans="1:29" ht="24.75" customHeight="1">
      <c r="A316" s="1"/>
      <c r="B316" s="21" t="s">
        <v>32</v>
      </c>
      <c r="C316" s="29" t="s">
        <v>378</v>
      </c>
      <c r="D316" s="23">
        <v>1</v>
      </c>
      <c r="E316" s="24" t="s">
        <v>52</v>
      </c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>
        <v>1470.34</v>
      </c>
      <c r="W316" s="32">
        <v>1470.34</v>
      </c>
      <c r="X316" s="32">
        <v>1470.34</v>
      </c>
      <c r="Y316" s="32">
        <v>1470.34</v>
      </c>
      <c r="Z316" s="32"/>
      <c r="AA316" s="33"/>
      <c r="AB316" s="16" t="s">
        <v>339</v>
      </c>
      <c r="AC316" s="38" t="s">
        <v>368</v>
      </c>
    </row>
    <row r="317" spans="1:29" ht="24.75" customHeight="1">
      <c r="A317" s="1"/>
      <c r="B317" s="21" t="s">
        <v>35</v>
      </c>
      <c r="C317" s="29" t="s">
        <v>379</v>
      </c>
      <c r="D317" s="23">
        <v>1</v>
      </c>
      <c r="E317" s="24" t="s">
        <v>52</v>
      </c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>
        <v>1173.73</v>
      </c>
      <c r="W317" s="32">
        <v>1173.73</v>
      </c>
      <c r="X317" s="32">
        <v>1173.73</v>
      </c>
      <c r="Y317" s="32">
        <v>1173.73</v>
      </c>
      <c r="Z317" s="32"/>
      <c r="AA317" s="33"/>
      <c r="AB317" s="16" t="s">
        <v>339</v>
      </c>
      <c r="AC317" s="38" t="s">
        <v>368</v>
      </c>
    </row>
    <row r="318" spans="1:29" ht="24.75" customHeight="1">
      <c r="A318" s="1"/>
      <c r="B318" s="21" t="s">
        <v>37</v>
      </c>
      <c r="C318" s="29" t="s">
        <v>380</v>
      </c>
      <c r="D318" s="23">
        <v>1</v>
      </c>
      <c r="E318" s="24" t="s">
        <v>52</v>
      </c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>
        <v>1173.73</v>
      </c>
      <c r="W318" s="32">
        <v>1173.73</v>
      </c>
      <c r="X318" s="32">
        <v>1173.73</v>
      </c>
      <c r="Y318" s="32">
        <v>1173.73</v>
      </c>
      <c r="Z318" s="32"/>
      <c r="AA318" s="33"/>
      <c r="AB318" s="16" t="s">
        <v>339</v>
      </c>
      <c r="AC318" s="38" t="s">
        <v>368</v>
      </c>
    </row>
    <row r="319" spans="1:29" ht="24.75" customHeight="1">
      <c r="A319" s="1"/>
      <c r="B319" s="21" t="s">
        <v>40</v>
      </c>
      <c r="C319" s="29" t="s">
        <v>381</v>
      </c>
      <c r="D319" s="23">
        <v>1</v>
      </c>
      <c r="E319" s="24" t="s">
        <v>52</v>
      </c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>
        <v>1271.19</v>
      </c>
      <c r="W319" s="32">
        <v>1271.19</v>
      </c>
      <c r="X319" s="32">
        <v>1271.19</v>
      </c>
      <c r="Y319" s="32">
        <v>1271.19</v>
      </c>
      <c r="Z319" s="32"/>
      <c r="AA319" s="33"/>
      <c r="AB319" s="16" t="s">
        <v>339</v>
      </c>
      <c r="AC319" s="38" t="s">
        <v>368</v>
      </c>
    </row>
    <row r="320" spans="1:29" ht="24.75" customHeight="1">
      <c r="A320" s="1"/>
      <c r="B320" s="21" t="s">
        <v>67</v>
      </c>
      <c r="C320" s="29" t="s">
        <v>382</v>
      </c>
      <c r="D320" s="23">
        <v>1</v>
      </c>
      <c r="E320" s="24" t="s">
        <v>52</v>
      </c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>
        <v>1271.19</v>
      </c>
      <c r="W320" s="32">
        <v>1271.19</v>
      </c>
      <c r="X320" s="32">
        <v>1271.19</v>
      </c>
      <c r="Y320" s="32">
        <v>1271.19</v>
      </c>
      <c r="Z320" s="32"/>
      <c r="AA320" s="33"/>
      <c r="AB320" s="16" t="s">
        <v>339</v>
      </c>
      <c r="AC320" s="38" t="s">
        <v>368</v>
      </c>
    </row>
    <row r="321" spans="1:29" ht="24.75" customHeight="1">
      <c r="A321" s="1"/>
      <c r="B321" s="21" t="s">
        <v>71</v>
      </c>
      <c r="C321" s="29" t="s">
        <v>383</v>
      </c>
      <c r="D321" s="23">
        <v>1</v>
      </c>
      <c r="E321" s="24" t="s">
        <v>52</v>
      </c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>
        <v>2478.81</v>
      </c>
      <c r="W321" s="32">
        <v>2478.81</v>
      </c>
      <c r="X321" s="32">
        <v>2478.81</v>
      </c>
      <c r="Y321" s="32">
        <v>2478.81</v>
      </c>
      <c r="Z321" s="32"/>
      <c r="AA321" s="33"/>
      <c r="AB321" s="16" t="s">
        <v>339</v>
      </c>
      <c r="AC321" s="38" t="s">
        <v>368</v>
      </c>
    </row>
    <row r="322" spans="1:29" ht="24.75" customHeight="1">
      <c r="A322" s="1"/>
      <c r="B322" s="21"/>
      <c r="C322" s="38" t="s">
        <v>384</v>
      </c>
      <c r="D322" s="23"/>
      <c r="E322" s="24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16" t="s">
        <v>339</v>
      </c>
    </row>
    <row r="323" spans="1:29" ht="24.75" customHeight="1">
      <c r="A323" s="1"/>
      <c r="B323" s="21" t="s">
        <v>8</v>
      </c>
      <c r="C323" s="29" t="s">
        <v>385</v>
      </c>
      <c r="D323" s="23">
        <v>1</v>
      </c>
      <c r="E323" s="24" t="s">
        <v>386</v>
      </c>
      <c r="F323" s="32"/>
      <c r="G323" s="32"/>
      <c r="H323" s="32"/>
      <c r="I323" s="32"/>
      <c r="J323" s="32">
        <v>250</v>
      </c>
      <c r="K323" s="32"/>
      <c r="L323" s="32"/>
      <c r="M323" s="32"/>
      <c r="N323" s="32"/>
      <c r="O323" s="32"/>
      <c r="P323" s="32"/>
      <c r="Q323" s="32"/>
      <c r="R323" s="32"/>
      <c r="S323" s="32">
        <v>635.59322033898309</v>
      </c>
      <c r="T323" s="32">
        <f>750/1.18</f>
        <v>635.59322033898309</v>
      </c>
      <c r="U323" s="32">
        <f>485/1.18</f>
        <v>411.0169491525424</v>
      </c>
      <c r="V323" s="32">
        <f t="shared" ref="V323:X323" si="379">450/1.18</f>
        <v>381.35593220338984</v>
      </c>
      <c r="W323" s="32">
        <f t="shared" si="379"/>
        <v>381.35593220338984</v>
      </c>
      <c r="X323" s="32">
        <f t="shared" si="379"/>
        <v>381.35593220338984</v>
      </c>
      <c r="Y323" s="32"/>
      <c r="Z323" s="32"/>
      <c r="AA323" s="33"/>
      <c r="AB323" s="16" t="s">
        <v>339</v>
      </c>
      <c r="AC323" s="38" t="s">
        <v>384</v>
      </c>
    </row>
    <row r="324" spans="1:29" ht="24.75" customHeight="1">
      <c r="A324" s="1"/>
      <c r="B324" s="21" t="s">
        <v>11</v>
      </c>
      <c r="C324" s="29" t="s">
        <v>387</v>
      </c>
      <c r="D324" s="23">
        <v>1</v>
      </c>
      <c r="E324" s="24" t="s">
        <v>388</v>
      </c>
      <c r="F324" s="32"/>
      <c r="G324" s="32"/>
      <c r="H324" s="32"/>
      <c r="I324" s="32"/>
      <c r="J324" s="32">
        <v>200</v>
      </c>
      <c r="K324" s="32"/>
      <c r="L324" s="32"/>
      <c r="M324" s="32"/>
      <c r="N324" s="32"/>
      <c r="O324" s="32"/>
      <c r="P324" s="32"/>
      <c r="Q324" s="32"/>
      <c r="R324" s="32"/>
      <c r="S324" s="32">
        <v>101.69491525423729</v>
      </c>
      <c r="T324" s="32">
        <f>120/1.18</f>
        <v>101.69491525423729</v>
      </c>
      <c r="U324" s="32">
        <f>72/1.18</f>
        <v>61.016949152542374</v>
      </c>
      <c r="V324" s="32">
        <f t="shared" ref="V324:X324" si="380">90/1.18</f>
        <v>76.271186440677965</v>
      </c>
      <c r="W324" s="32">
        <f t="shared" si="380"/>
        <v>76.271186440677965</v>
      </c>
      <c r="X324" s="32">
        <f t="shared" si="380"/>
        <v>76.271186440677965</v>
      </c>
      <c r="Y324" s="32"/>
      <c r="Z324" s="32"/>
      <c r="AA324" s="33"/>
      <c r="AB324" s="16" t="s">
        <v>339</v>
      </c>
      <c r="AC324" s="38" t="s">
        <v>384</v>
      </c>
    </row>
    <row r="325" spans="1:29" ht="24.75" customHeight="1">
      <c r="A325" s="1"/>
      <c r="B325" s="21" t="s">
        <v>13</v>
      </c>
      <c r="C325" s="29" t="s">
        <v>389</v>
      </c>
      <c r="D325" s="23">
        <v>1</v>
      </c>
      <c r="E325" s="24" t="s">
        <v>312</v>
      </c>
      <c r="F325" s="32"/>
      <c r="G325" s="32"/>
      <c r="H325" s="32"/>
      <c r="I325" s="32"/>
      <c r="J325" s="32">
        <v>167</v>
      </c>
      <c r="K325" s="32"/>
      <c r="L325" s="32"/>
      <c r="M325" s="32"/>
      <c r="N325" s="32"/>
      <c r="O325" s="32"/>
      <c r="P325" s="32"/>
      <c r="Q325" s="32"/>
      <c r="R325" s="32"/>
      <c r="S325" s="32">
        <v>720.33898305084745</v>
      </c>
      <c r="T325" s="32">
        <f>850/1.18</f>
        <v>720.33898305084745</v>
      </c>
      <c r="U325" s="32">
        <f>195/1.18</f>
        <v>165.25423728813561</v>
      </c>
      <c r="V325" s="32">
        <f t="shared" ref="V325:X325" si="381">200/1.18</f>
        <v>169.49152542372883</v>
      </c>
      <c r="W325" s="32">
        <f t="shared" si="381"/>
        <v>169.49152542372883</v>
      </c>
      <c r="X325" s="32">
        <f t="shared" si="381"/>
        <v>169.49152542372883</v>
      </c>
      <c r="Y325" s="32"/>
      <c r="Z325" s="32"/>
      <c r="AA325" s="33"/>
      <c r="AB325" s="16" t="s">
        <v>339</v>
      </c>
      <c r="AC325" s="38" t="s">
        <v>384</v>
      </c>
    </row>
    <row r="326" spans="1:29" ht="15.75" customHeight="1">
      <c r="E326" s="50"/>
      <c r="AA326" s="43"/>
    </row>
    <row r="327" spans="1:29" ht="15.75" customHeight="1">
      <c r="E327" s="50"/>
      <c r="AA327" s="43"/>
    </row>
    <row r="328" spans="1:29" ht="15.75" customHeight="1">
      <c r="E328" s="50"/>
      <c r="AA328" s="43"/>
    </row>
    <row r="329" spans="1:29" ht="15.75" customHeight="1">
      <c r="E329" s="50"/>
      <c r="AA329" s="43"/>
    </row>
    <row r="330" spans="1:29" ht="15.75" customHeight="1">
      <c r="E330" s="50"/>
      <c r="AA330" s="43"/>
    </row>
    <row r="331" spans="1:29" ht="15.75" customHeight="1">
      <c r="E331" s="50"/>
      <c r="AA331" s="43"/>
    </row>
    <row r="332" spans="1:29" ht="15.75" customHeight="1">
      <c r="E332" s="50"/>
      <c r="AA332" s="43"/>
    </row>
    <row r="333" spans="1:29" ht="15.75" customHeight="1">
      <c r="E333" s="50"/>
      <c r="AA333" s="43"/>
    </row>
    <row r="334" spans="1:29" ht="15.75" customHeight="1">
      <c r="E334" s="50"/>
      <c r="AA334" s="43"/>
    </row>
    <row r="335" spans="1:29" ht="15.75" customHeight="1">
      <c r="E335" s="50"/>
      <c r="AA335" s="43"/>
    </row>
    <row r="336" spans="1:29" ht="15.75" customHeight="1">
      <c r="E336" s="50"/>
      <c r="AA336" s="43"/>
    </row>
    <row r="337" spans="5:27" ht="15.75" customHeight="1">
      <c r="E337" s="50"/>
      <c r="AA337" s="43"/>
    </row>
    <row r="338" spans="5:27" ht="15.75" customHeight="1">
      <c r="E338" s="50"/>
      <c r="AA338" s="43"/>
    </row>
    <row r="339" spans="5:27" ht="15.75" customHeight="1">
      <c r="E339" s="50"/>
      <c r="AA339" s="43"/>
    </row>
    <row r="340" spans="5:27" ht="15.75" customHeight="1">
      <c r="E340" s="50"/>
      <c r="AA340" s="43"/>
    </row>
    <row r="341" spans="5:27" ht="15.75" customHeight="1">
      <c r="E341" s="50"/>
      <c r="AA341" s="43"/>
    </row>
    <row r="342" spans="5:27" ht="15.75" customHeight="1">
      <c r="E342" s="50"/>
      <c r="AA342" s="43"/>
    </row>
    <row r="343" spans="5:27" ht="15.75" customHeight="1">
      <c r="E343" s="50"/>
      <c r="AA343" s="43"/>
    </row>
    <row r="344" spans="5:27" ht="15.75" customHeight="1">
      <c r="E344" s="50"/>
      <c r="AA344" s="43"/>
    </row>
    <row r="345" spans="5:27" ht="15.75" customHeight="1">
      <c r="E345" s="50"/>
      <c r="AA345" s="43"/>
    </row>
    <row r="346" spans="5:27" ht="15.75" customHeight="1">
      <c r="E346" s="50"/>
      <c r="AA346" s="43"/>
    </row>
    <row r="347" spans="5:27" ht="15.75" customHeight="1">
      <c r="E347" s="50"/>
      <c r="AA347" s="43"/>
    </row>
    <row r="348" spans="5:27" ht="15.75" customHeight="1">
      <c r="E348" s="50"/>
      <c r="AA348" s="43"/>
    </row>
    <row r="349" spans="5:27" ht="15.75" customHeight="1">
      <c r="E349" s="50"/>
      <c r="AA349" s="43"/>
    </row>
    <row r="350" spans="5:27" ht="15.75" customHeight="1">
      <c r="E350" s="50"/>
      <c r="AA350" s="43"/>
    </row>
    <row r="351" spans="5:27" ht="15.75" customHeight="1">
      <c r="E351" s="50"/>
      <c r="AA351" s="43"/>
    </row>
    <row r="352" spans="5:27" ht="15.75" customHeight="1">
      <c r="E352" s="50"/>
      <c r="AA352" s="43"/>
    </row>
    <row r="353" spans="5:27" ht="15.75" customHeight="1">
      <c r="E353" s="50"/>
      <c r="AA353" s="43"/>
    </row>
    <row r="354" spans="5:27" ht="15.75" customHeight="1">
      <c r="E354" s="50"/>
      <c r="AA354" s="43"/>
    </row>
    <row r="355" spans="5:27" ht="15.75" customHeight="1">
      <c r="E355" s="50"/>
      <c r="AA355" s="43"/>
    </row>
    <row r="356" spans="5:27" ht="15.75" customHeight="1">
      <c r="E356" s="50"/>
      <c r="AA356" s="43"/>
    </row>
    <row r="357" spans="5:27" ht="15.75" customHeight="1">
      <c r="E357" s="50"/>
      <c r="AA357" s="43"/>
    </row>
    <row r="358" spans="5:27" ht="15.75" customHeight="1">
      <c r="E358" s="50"/>
      <c r="AA358" s="43"/>
    </row>
    <row r="359" spans="5:27" ht="15.75" customHeight="1">
      <c r="E359" s="50"/>
      <c r="AA359" s="43"/>
    </row>
    <row r="360" spans="5:27" ht="15.75" customHeight="1">
      <c r="E360" s="50"/>
      <c r="AA360" s="43"/>
    </row>
    <row r="361" spans="5:27" ht="15.75" customHeight="1">
      <c r="E361" s="50"/>
      <c r="AA361" s="43"/>
    </row>
    <row r="362" spans="5:27" ht="15.75" customHeight="1">
      <c r="E362" s="50"/>
      <c r="AA362" s="43"/>
    </row>
    <row r="363" spans="5:27" ht="15.75" customHeight="1">
      <c r="E363" s="50"/>
      <c r="AA363" s="43"/>
    </row>
    <row r="364" spans="5:27" ht="15.75" customHeight="1">
      <c r="E364" s="50"/>
      <c r="AA364" s="43"/>
    </row>
    <row r="365" spans="5:27" ht="15.75" customHeight="1">
      <c r="E365" s="50"/>
      <c r="AA365" s="43"/>
    </row>
    <row r="366" spans="5:27" ht="15.75" customHeight="1">
      <c r="E366" s="50"/>
      <c r="AA366" s="43"/>
    </row>
    <row r="367" spans="5:27" ht="15.75" customHeight="1">
      <c r="E367" s="50"/>
      <c r="AA367" s="43"/>
    </row>
    <row r="368" spans="5:27" ht="15.75" customHeight="1">
      <c r="E368" s="50"/>
      <c r="AA368" s="43"/>
    </row>
    <row r="369" spans="5:27" ht="15.75" customHeight="1">
      <c r="E369" s="50"/>
      <c r="AA369" s="43"/>
    </row>
    <row r="370" spans="5:27" ht="15.75" customHeight="1">
      <c r="E370" s="50"/>
      <c r="AA370" s="43"/>
    </row>
    <row r="371" spans="5:27" ht="15.75" customHeight="1">
      <c r="E371" s="50"/>
      <c r="AA371" s="43"/>
    </row>
    <row r="372" spans="5:27" ht="15.75" customHeight="1">
      <c r="E372" s="50"/>
      <c r="AA372" s="43"/>
    </row>
    <row r="373" spans="5:27" ht="15.75" customHeight="1">
      <c r="E373" s="50"/>
      <c r="AA373" s="43"/>
    </row>
    <row r="374" spans="5:27" ht="15.75" customHeight="1">
      <c r="E374" s="50"/>
      <c r="AA374" s="43"/>
    </row>
    <row r="375" spans="5:27" ht="15.75" customHeight="1">
      <c r="E375" s="50"/>
      <c r="AA375" s="43"/>
    </row>
    <row r="376" spans="5:27" ht="15.75" customHeight="1">
      <c r="E376" s="50"/>
      <c r="AA376" s="43"/>
    </row>
    <row r="377" spans="5:27" ht="15.75" customHeight="1">
      <c r="E377" s="50"/>
      <c r="AA377" s="43"/>
    </row>
    <row r="378" spans="5:27" ht="15.75" customHeight="1">
      <c r="E378" s="50"/>
      <c r="AA378" s="43"/>
    </row>
    <row r="379" spans="5:27" ht="15.75" customHeight="1">
      <c r="E379" s="50"/>
      <c r="AA379" s="43"/>
    </row>
    <row r="380" spans="5:27" ht="15.75" customHeight="1">
      <c r="E380" s="50"/>
      <c r="AA380" s="43"/>
    </row>
    <row r="381" spans="5:27" ht="15.75" customHeight="1">
      <c r="E381" s="50"/>
      <c r="AA381" s="43"/>
    </row>
    <row r="382" spans="5:27" ht="15.75" customHeight="1">
      <c r="E382" s="50"/>
      <c r="AA382" s="43"/>
    </row>
    <row r="383" spans="5:27" ht="15.75" customHeight="1">
      <c r="E383" s="50"/>
      <c r="AA383" s="43"/>
    </row>
    <row r="384" spans="5:27" ht="15.75" customHeight="1">
      <c r="E384" s="50"/>
      <c r="AA384" s="43"/>
    </row>
    <row r="385" spans="5:27" ht="15.75" customHeight="1">
      <c r="E385" s="50"/>
      <c r="AA385" s="43"/>
    </row>
    <row r="386" spans="5:27" ht="15.75" customHeight="1">
      <c r="E386" s="50"/>
      <c r="AA386" s="43"/>
    </row>
    <row r="387" spans="5:27" ht="15.75" customHeight="1">
      <c r="E387" s="50"/>
      <c r="AA387" s="43"/>
    </row>
    <row r="388" spans="5:27" ht="15.75" customHeight="1">
      <c r="E388" s="50"/>
      <c r="AA388" s="43"/>
    </row>
    <row r="389" spans="5:27" ht="15.75" customHeight="1">
      <c r="E389" s="50"/>
      <c r="AA389" s="43"/>
    </row>
    <row r="390" spans="5:27" ht="15.75" customHeight="1">
      <c r="E390" s="50"/>
      <c r="AA390" s="43"/>
    </row>
    <row r="391" spans="5:27" ht="15.75" customHeight="1">
      <c r="E391" s="50"/>
      <c r="AA391" s="43"/>
    </row>
    <row r="392" spans="5:27" ht="15.75" customHeight="1">
      <c r="E392" s="50"/>
      <c r="AA392" s="43"/>
    </row>
    <row r="393" spans="5:27" ht="15.75" customHeight="1">
      <c r="E393" s="50"/>
      <c r="AA393" s="43"/>
    </row>
    <row r="394" spans="5:27" ht="15.75" customHeight="1">
      <c r="E394" s="50"/>
      <c r="AA394" s="43"/>
    </row>
    <row r="395" spans="5:27" ht="15.75" customHeight="1">
      <c r="E395" s="50"/>
      <c r="AA395" s="43"/>
    </row>
    <row r="396" spans="5:27" ht="15.75" customHeight="1">
      <c r="E396" s="50"/>
      <c r="AA396" s="43"/>
    </row>
    <row r="397" spans="5:27" ht="15.75" customHeight="1">
      <c r="E397" s="50"/>
      <c r="AA397" s="43"/>
    </row>
    <row r="398" spans="5:27" ht="15.75" customHeight="1">
      <c r="E398" s="50"/>
      <c r="AA398" s="43"/>
    </row>
    <row r="399" spans="5:27" ht="15.75" customHeight="1">
      <c r="E399" s="50"/>
      <c r="AA399" s="43"/>
    </row>
    <row r="400" spans="5:27" ht="15.75" customHeight="1">
      <c r="E400" s="50"/>
      <c r="AA400" s="43"/>
    </row>
    <row r="401" spans="5:27" ht="15.75" customHeight="1">
      <c r="E401" s="50"/>
      <c r="AA401" s="43"/>
    </row>
    <row r="402" spans="5:27" ht="15.75" customHeight="1">
      <c r="E402" s="50"/>
      <c r="AA402" s="43"/>
    </row>
    <row r="403" spans="5:27" ht="15.75" customHeight="1">
      <c r="E403" s="50"/>
      <c r="AA403" s="43"/>
    </row>
    <row r="404" spans="5:27" ht="15.75" customHeight="1">
      <c r="E404" s="50"/>
      <c r="AA404" s="43"/>
    </row>
    <row r="405" spans="5:27" ht="15.75" customHeight="1">
      <c r="E405" s="50"/>
      <c r="AA405" s="43"/>
    </row>
    <row r="406" spans="5:27" ht="15.75" customHeight="1">
      <c r="E406" s="50"/>
      <c r="AA406" s="43"/>
    </row>
    <row r="407" spans="5:27" ht="15.75" customHeight="1">
      <c r="E407" s="50"/>
      <c r="AA407" s="43"/>
    </row>
    <row r="408" spans="5:27" ht="15.75" customHeight="1">
      <c r="E408" s="50"/>
      <c r="AA408" s="43"/>
    </row>
    <row r="409" spans="5:27" ht="15.75" customHeight="1">
      <c r="E409" s="50"/>
      <c r="AA409" s="43"/>
    </row>
    <row r="410" spans="5:27" ht="15.75" customHeight="1">
      <c r="E410" s="50"/>
      <c r="AA410" s="43"/>
    </row>
    <row r="411" spans="5:27" ht="15.75" customHeight="1">
      <c r="E411" s="50"/>
      <c r="AA411" s="43"/>
    </row>
    <row r="412" spans="5:27" ht="15.75" customHeight="1">
      <c r="E412" s="50"/>
      <c r="AA412" s="43"/>
    </row>
    <row r="413" spans="5:27" ht="15.75" customHeight="1">
      <c r="E413" s="50"/>
      <c r="AA413" s="43"/>
    </row>
    <row r="414" spans="5:27" ht="15.75" customHeight="1">
      <c r="E414" s="50"/>
      <c r="AA414" s="43"/>
    </row>
    <row r="415" spans="5:27" ht="15.75" customHeight="1">
      <c r="E415" s="50"/>
      <c r="AA415" s="43"/>
    </row>
    <row r="416" spans="5:27" ht="15.75" customHeight="1">
      <c r="E416" s="50"/>
      <c r="AA416" s="43"/>
    </row>
    <row r="417" spans="5:27" ht="15.75" customHeight="1">
      <c r="E417" s="50"/>
      <c r="AA417" s="43"/>
    </row>
    <row r="418" spans="5:27" ht="15.75" customHeight="1">
      <c r="E418" s="50"/>
      <c r="AA418" s="43"/>
    </row>
    <row r="419" spans="5:27" ht="15.75" customHeight="1">
      <c r="E419" s="50"/>
      <c r="AA419" s="43"/>
    </row>
    <row r="420" spans="5:27" ht="15.75" customHeight="1">
      <c r="E420" s="50"/>
      <c r="AA420" s="43"/>
    </row>
    <row r="421" spans="5:27" ht="15.75" customHeight="1">
      <c r="E421" s="50"/>
      <c r="AA421" s="43"/>
    </row>
    <row r="422" spans="5:27" ht="15.75" customHeight="1">
      <c r="E422" s="50"/>
      <c r="AA422" s="43"/>
    </row>
    <row r="423" spans="5:27" ht="15.75" customHeight="1">
      <c r="E423" s="50"/>
      <c r="AA423" s="43"/>
    </row>
    <row r="424" spans="5:27" ht="15.75" customHeight="1">
      <c r="E424" s="50"/>
      <c r="AA424" s="43"/>
    </row>
    <row r="425" spans="5:27" ht="15.75" customHeight="1">
      <c r="E425" s="50"/>
      <c r="AA425" s="43"/>
    </row>
    <row r="426" spans="5:27" ht="15.75" customHeight="1">
      <c r="E426" s="50"/>
      <c r="AA426" s="43"/>
    </row>
    <row r="427" spans="5:27" ht="15.75" customHeight="1">
      <c r="E427" s="50"/>
      <c r="AA427" s="43"/>
    </row>
    <row r="428" spans="5:27" ht="15.75" customHeight="1">
      <c r="E428" s="50"/>
      <c r="AA428" s="43"/>
    </row>
    <row r="429" spans="5:27" ht="15.75" customHeight="1">
      <c r="E429" s="50"/>
      <c r="AA429" s="43"/>
    </row>
    <row r="430" spans="5:27" ht="15.75" customHeight="1">
      <c r="E430" s="50"/>
      <c r="AA430" s="43"/>
    </row>
    <row r="431" spans="5:27" ht="15.75" customHeight="1">
      <c r="E431" s="50"/>
      <c r="AA431" s="43"/>
    </row>
    <row r="432" spans="5:27" ht="15.75" customHeight="1">
      <c r="E432" s="50"/>
      <c r="AA432" s="43"/>
    </row>
    <row r="433" spans="5:27" ht="15.75" customHeight="1">
      <c r="E433" s="50"/>
      <c r="AA433" s="43"/>
    </row>
    <row r="434" spans="5:27" ht="15.75" customHeight="1">
      <c r="E434" s="50"/>
      <c r="AA434" s="43"/>
    </row>
    <row r="435" spans="5:27" ht="15.75" customHeight="1">
      <c r="E435" s="50"/>
      <c r="AA435" s="43"/>
    </row>
    <row r="436" spans="5:27" ht="15.75" customHeight="1">
      <c r="E436" s="50"/>
      <c r="AA436" s="43"/>
    </row>
    <row r="437" spans="5:27" ht="15.75" customHeight="1">
      <c r="E437" s="50"/>
      <c r="AA437" s="43"/>
    </row>
    <row r="438" spans="5:27" ht="15.75" customHeight="1">
      <c r="E438" s="50"/>
      <c r="AA438" s="43"/>
    </row>
    <row r="439" spans="5:27" ht="15.75" customHeight="1">
      <c r="E439" s="50"/>
      <c r="AA439" s="43"/>
    </row>
    <row r="440" spans="5:27" ht="15.75" customHeight="1">
      <c r="E440" s="50"/>
      <c r="AA440" s="43"/>
    </row>
    <row r="441" spans="5:27" ht="15.75" customHeight="1">
      <c r="E441" s="50"/>
      <c r="AA441" s="43"/>
    </row>
    <row r="442" spans="5:27" ht="15.75" customHeight="1">
      <c r="E442" s="50"/>
      <c r="AA442" s="43"/>
    </row>
    <row r="443" spans="5:27" ht="15.75" customHeight="1">
      <c r="E443" s="50"/>
      <c r="AA443" s="43"/>
    </row>
    <row r="444" spans="5:27" ht="15.75" customHeight="1">
      <c r="E444" s="50"/>
      <c r="AA444" s="43"/>
    </row>
    <row r="445" spans="5:27" ht="15.75" customHeight="1">
      <c r="E445" s="50"/>
      <c r="AA445" s="43"/>
    </row>
    <row r="446" spans="5:27" ht="15.75" customHeight="1">
      <c r="E446" s="50"/>
      <c r="AA446" s="43"/>
    </row>
    <row r="447" spans="5:27" ht="15.75" customHeight="1">
      <c r="E447" s="50"/>
      <c r="AA447" s="43"/>
    </row>
    <row r="448" spans="5:27" ht="15.75" customHeight="1">
      <c r="E448" s="50"/>
      <c r="AA448" s="43"/>
    </row>
    <row r="449" spans="5:27" ht="15.75" customHeight="1">
      <c r="E449" s="50"/>
      <c r="AA449" s="43"/>
    </row>
    <row r="450" spans="5:27" ht="15.75" customHeight="1">
      <c r="E450" s="50"/>
      <c r="AA450" s="43"/>
    </row>
    <row r="451" spans="5:27" ht="15.75" customHeight="1">
      <c r="E451" s="50"/>
      <c r="AA451" s="43"/>
    </row>
    <row r="452" spans="5:27" ht="15.75" customHeight="1">
      <c r="E452" s="50"/>
      <c r="AA452" s="43"/>
    </row>
    <row r="453" spans="5:27" ht="15.75" customHeight="1">
      <c r="E453" s="50"/>
      <c r="AA453" s="43"/>
    </row>
    <row r="454" spans="5:27" ht="15.75" customHeight="1">
      <c r="E454" s="50"/>
      <c r="AA454" s="43"/>
    </row>
    <row r="455" spans="5:27" ht="15.75" customHeight="1">
      <c r="E455" s="50"/>
      <c r="AA455" s="43"/>
    </row>
    <row r="456" spans="5:27" ht="15.75" customHeight="1">
      <c r="E456" s="50"/>
      <c r="AA456" s="43"/>
    </row>
    <row r="457" spans="5:27" ht="15.75" customHeight="1">
      <c r="E457" s="50"/>
      <c r="AA457" s="43"/>
    </row>
    <row r="458" spans="5:27" ht="15.75" customHeight="1">
      <c r="E458" s="50"/>
      <c r="AA458" s="43"/>
    </row>
    <row r="459" spans="5:27" ht="15.75" customHeight="1">
      <c r="E459" s="50"/>
      <c r="AA459" s="43"/>
    </row>
    <row r="460" spans="5:27" ht="15.75" customHeight="1">
      <c r="E460" s="50"/>
      <c r="AA460" s="43"/>
    </row>
    <row r="461" spans="5:27" ht="15.75" customHeight="1">
      <c r="E461" s="50"/>
      <c r="AA461" s="43"/>
    </row>
    <row r="462" spans="5:27" ht="15.75" customHeight="1">
      <c r="E462" s="50"/>
      <c r="AA462" s="43"/>
    </row>
    <row r="463" spans="5:27" ht="15.75" customHeight="1">
      <c r="E463" s="50"/>
      <c r="AA463" s="43"/>
    </row>
    <row r="464" spans="5:27" ht="15.75" customHeight="1">
      <c r="E464" s="50"/>
      <c r="AA464" s="43"/>
    </row>
    <row r="465" spans="5:27" ht="15.75" customHeight="1">
      <c r="E465" s="50"/>
      <c r="AA465" s="43"/>
    </row>
    <row r="466" spans="5:27" ht="15.75" customHeight="1">
      <c r="E466" s="50"/>
      <c r="AA466" s="43"/>
    </row>
    <row r="467" spans="5:27" ht="15.75" customHeight="1">
      <c r="E467" s="50"/>
      <c r="AA467" s="43"/>
    </row>
    <row r="468" spans="5:27" ht="15.75" customHeight="1">
      <c r="E468" s="50"/>
      <c r="AA468" s="43"/>
    </row>
    <row r="469" spans="5:27" ht="15.75" customHeight="1">
      <c r="E469" s="50"/>
      <c r="AA469" s="43"/>
    </row>
    <row r="470" spans="5:27" ht="15.75" customHeight="1">
      <c r="E470" s="50"/>
      <c r="AA470" s="43"/>
    </row>
    <row r="471" spans="5:27" ht="15.75" customHeight="1">
      <c r="E471" s="50"/>
      <c r="AA471" s="43"/>
    </row>
    <row r="472" spans="5:27" ht="15.75" customHeight="1">
      <c r="E472" s="50"/>
      <c r="AA472" s="43"/>
    </row>
    <row r="473" spans="5:27" ht="15.75" customHeight="1">
      <c r="E473" s="50"/>
      <c r="AA473" s="43"/>
    </row>
    <row r="474" spans="5:27" ht="15.75" customHeight="1">
      <c r="E474" s="50"/>
      <c r="AA474" s="43"/>
    </row>
    <row r="475" spans="5:27" ht="15.75" customHeight="1">
      <c r="E475" s="50"/>
      <c r="AA475" s="43"/>
    </row>
    <row r="476" spans="5:27" ht="15.75" customHeight="1">
      <c r="E476" s="50"/>
      <c r="AA476" s="43"/>
    </row>
    <row r="477" spans="5:27" ht="15.75" customHeight="1">
      <c r="E477" s="50"/>
      <c r="AA477" s="43"/>
    </row>
    <row r="478" spans="5:27" ht="15.75" customHeight="1">
      <c r="E478" s="50"/>
      <c r="AA478" s="43"/>
    </row>
    <row r="479" spans="5:27" ht="15.75" customHeight="1">
      <c r="E479" s="50"/>
      <c r="AA479" s="43"/>
    </row>
    <row r="480" spans="5:27" ht="15.75" customHeight="1">
      <c r="E480" s="50"/>
      <c r="AA480" s="43"/>
    </row>
    <row r="481" spans="5:27" ht="15.75" customHeight="1">
      <c r="E481" s="50"/>
      <c r="AA481" s="43"/>
    </row>
    <row r="482" spans="5:27" ht="15.75" customHeight="1">
      <c r="E482" s="50"/>
      <c r="AA482" s="43"/>
    </row>
    <row r="483" spans="5:27" ht="15.75" customHeight="1">
      <c r="E483" s="50"/>
      <c r="AA483" s="43"/>
    </row>
    <row r="484" spans="5:27" ht="15.75" customHeight="1">
      <c r="E484" s="50"/>
      <c r="AA484" s="43"/>
    </row>
    <row r="485" spans="5:27" ht="15.75" customHeight="1">
      <c r="E485" s="50"/>
      <c r="AA485" s="43"/>
    </row>
    <row r="486" spans="5:27" ht="15.75" customHeight="1">
      <c r="E486" s="50"/>
      <c r="AA486" s="43"/>
    </row>
    <row r="487" spans="5:27" ht="15.75" customHeight="1">
      <c r="E487" s="50"/>
      <c r="AA487" s="43"/>
    </row>
    <row r="488" spans="5:27" ht="15.75" customHeight="1">
      <c r="E488" s="50"/>
      <c r="AA488" s="43"/>
    </row>
    <row r="489" spans="5:27" ht="15.75" customHeight="1">
      <c r="E489" s="50"/>
      <c r="AA489" s="43"/>
    </row>
    <row r="490" spans="5:27" ht="15.75" customHeight="1">
      <c r="E490" s="50"/>
      <c r="AA490" s="43"/>
    </row>
    <row r="491" spans="5:27" ht="15.75" customHeight="1">
      <c r="E491" s="50"/>
      <c r="AA491" s="43"/>
    </row>
    <row r="492" spans="5:27" ht="15.75" customHeight="1">
      <c r="E492" s="50"/>
      <c r="AA492" s="43"/>
    </row>
    <row r="493" spans="5:27" ht="15.75" customHeight="1">
      <c r="E493" s="50"/>
      <c r="AA493" s="43"/>
    </row>
    <row r="494" spans="5:27" ht="15.75" customHeight="1">
      <c r="E494" s="50"/>
      <c r="AA494" s="43"/>
    </row>
    <row r="495" spans="5:27" ht="15.75" customHeight="1">
      <c r="E495" s="50"/>
      <c r="AA495" s="43"/>
    </row>
    <row r="496" spans="5:27" ht="15.75" customHeight="1">
      <c r="E496" s="50"/>
      <c r="AA496" s="43"/>
    </row>
    <row r="497" spans="5:27" ht="15.75" customHeight="1">
      <c r="E497" s="50"/>
      <c r="AA497" s="43"/>
    </row>
    <row r="498" spans="5:27" ht="15.75" customHeight="1">
      <c r="E498" s="50"/>
      <c r="AA498" s="43"/>
    </row>
    <row r="499" spans="5:27" ht="15.75" customHeight="1">
      <c r="E499" s="50"/>
      <c r="AA499" s="43"/>
    </row>
    <row r="500" spans="5:27" ht="15.75" customHeight="1">
      <c r="E500" s="50"/>
      <c r="AA500" s="43"/>
    </row>
    <row r="501" spans="5:27" ht="15.75" customHeight="1">
      <c r="E501" s="50"/>
      <c r="AA501" s="43"/>
    </row>
    <row r="502" spans="5:27" ht="15.75" customHeight="1">
      <c r="E502" s="50"/>
      <c r="AA502" s="43"/>
    </row>
    <row r="503" spans="5:27" ht="15.75" customHeight="1">
      <c r="E503" s="50"/>
      <c r="AA503" s="43"/>
    </row>
    <row r="504" spans="5:27" ht="15.75" customHeight="1">
      <c r="E504" s="50"/>
      <c r="AA504" s="43"/>
    </row>
    <row r="505" spans="5:27" ht="15.75" customHeight="1">
      <c r="E505" s="50"/>
      <c r="AA505" s="43"/>
    </row>
    <row r="506" spans="5:27" ht="15.75" customHeight="1">
      <c r="E506" s="50"/>
      <c r="AA506" s="43"/>
    </row>
    <row r="507" spans="5:27" ht="15.75" customHeight="1">
      <c r="E507" s="50"/>
      <c r="AA507" s="43"/>
    </row>
    <row r="508" spans="5:27" ht="15.75" customHeight="1">
      <c r="E508" s="50"/>
      <c r="AA508" s="43"/>
    </row>
    <row r="509" spans="5:27" ht="15.75" customHeight="1">
      <c r="E509" s="50"/>
      <c r="AA509" s="43"/>
    </row>
    <row r="510" spans="5:27" ht="15.75" customHeight="1">
      <c r="E510" s="50"/>
      <c r="AA510" s="43"/>
    </row>
    <row r="511" spans="5:27" ht="15.75" customHeight="1">
      <c r="E511" s="50"/>
      <c r="AA511" s="43"/>
    </row>
    <row r="512" spans="5:27" ht="15.75" customHeight="1">
      <c r="E512" s="50"/>
      <c r="AA512" s="43"/>
    </row>
    <row r="513" spans="5:27" ht="15.75" customHeight="1">
      <c r="E513" s="50"/>
      <c r="AA513" s="43"/>
    </row>
    <row r="514" spans="5:27" ht="15.75" customHeight="1">
      <c r="E514" s="50"/>
      <c r="AA514" s="43"/>
    </row>
    <row r="515" spans="5:27" ht="15.75" customHeight="1">
      <c r="E515" s="50"/>
      <c r="AA515" s="43"/>
    </row>
    <row r="516" spans="5:27" ht="15.75" customHeight="1">
      <c r="E516" s="50"/>
      <c r="AA516" s="43"/>
    </row>
    <row r="517" spans="5:27" ht="15.75" customHeight="1">
      <c r="E517" s="50"/>
      <c r="AA517" s="43"/>
    </row>
    <row r="518" spans="5:27" ht="15.75" customHeight="1">
      <c r="E518" s="50"/>
      <c r="AA518" s="43"/>
    </row>
    <row r="519" spans="5:27" ht="15.75" customHeight="1">
      <c r="E519" s="50"/>
      <c r="AA519" s="43"/>
    </row>
    <row r="520" spans="5:27" ht="15.75" customHeight="1">
      <c r="E520" s="50"/>
      <c r="AA520" s="43"/>
    </row>
    <row r="521" spans="5:27" ht="15.75" customHeight="1">
      <c r="E521" s="50"/>
      <c r="AA521" s="43"/>
    </row>
    <row r="522" spans="5:27" ht="15.75" customHeight="1">
      <c r="E522" s="50"/>
      <c r="AA522" s="43"/>
    </row>
    <row r="523" spans="5:27" ht="15.75" customHeight="1">
      <c r="E523" s="50"/>
      <c r="AA523" s="43"/>
    </row>
    <row r="524" spans="5:27" ht="15.75" customHeight="1">
      <c r="E524" s="50"/>
      <c r="AA524" s="43"/>
    </row>
    <row r="525" spans="5:27" ht="15.75" customHeight="1">
      <c r="E525" s="50"/>
      <c r="AA525" s="43"/>
    </row>
    <row r="526" spans="5:27" ht="15.75" customHeight="1">
      <c r="E526" s="50"/>
      <c r="AA526" s="43"/>
    </row>
    <row r="527" spans="5:27" ht="15.75" customHeight="1">
      <c r="E527" s="50"/>
      <c r="AA527" s="43"/>
    </row>
    <row r="528" spans="5:27" ht="15.75" customHeight="1">
      <c r="E528" s="50"/>
      <c r="AA528" s="43"/>
    </row>
    <row r="529" spans="5:27" ht="15.75" customHeight="1">
      <c r="E529" s="50"/>
      <c r="AA529" s="43"/>
    </row>
    <row r="530" spans="5:27" ht="15.75" customHeight="1">
      <c r="E530" s="50"/>
      <c r="AA530" s="43"/>
    </row>
    <row r="531" spans="5:27" ht="15.75" customHeight="1">
      <c r="E531" s="50"/>
      <c r="AA531" s="43"/>
    </row>
    <row r="532" spans="5:27" ht="15.75" customHeight="1">
      <c r="E532" s="50"/>
      <c r="AA532" s="43"/>
    </row>
    <row r="533" spans="5:27" ht="15.75" customHeight="1">
      <c r="E533" s="50"/>
      <c r="AA533" s="43"/>
    </row>
    <row r="534" spans="5:27" ht="15.75" customHeight="1">
      <c r="E534" s="50"/>
      <c r="AA534" s="43"/>
    </row>
    <row r="535" spans="5:27" ht="15.75" customHeight="1">
      <c r="E535" s="50"/>
      <c r="AA535" s="43"/>
    </row>
    <row r="536" spans="5:27" ht="15.75" customHeight="1">
      <c r="E536" s="50"/>
      <c r="AA536" s="43"/>
    </row>
    <row r="537" spans="5:27" ht="15.75" customHeight="1">
      <c r="E537" s="50"/>
      <c r="AA537" s="43"/>
    </row>
    <row r="538" spans="5:27" ht="15.75" customHeight="1">
      <c r="E538" s="50"/>
      <c r="AA538" s="43"/>
    </row>
    <row r="539" spans="5:27" ht="15.75" customHeight="1">
      <c r="E539" s="50"/>
      <c r="AA539" s="43"/>
    </row>
    <row r="540" spans="5:27" ht="15.75" customHeight="1">
      <c r="E540" s="50"/>
      <c r="AA540" s="43"/>
    </row>
    <row r="541" spans="5:27" ht="15.75" customHeight="1">
      <c r="E541" s="50"/>
      <c r="AA541" s="43"/>
    </row>
    <row r="542" spans="5:27" ht="15.75" customHeight="1">
      <c r="E542" s="50"/>
      <c r="AA542" s="43"/>
    </row>
    <row r="543" spans="5:27" ht="15.75" customHeight="1">
      <c r="E543" s="50"/>
      <c r="AA543" s="43"/>
    </row>
    <row r="544" spans="5:27" ht="15.75" customHeight="1">
      <c r="E544" s="50"/>
      <c r="AA544" s="43"/>
    </row>
    <row r="545" spans="5:27" ht="15.75" customHeight="1">
      <c r="E545" s="50"/>
      <c r="AA545" s="43"/>
    </row>
    <row r="546" spans="5:27" ht="15.75" customHeight="1">
      <c r="E546" s="50"/>
      <c r="AA546" s="43"/>
    </row>
    <row r="547" spans="5:27" ht="15.75" customHeight="1">
      <c r="E547" s="50"/>
      <c r="AA547" s="43"/>
    </row>
    <row r="548" spans="5:27" ht="15.75" customHeight="1">
      <c r="E548" s="50"/>
      <c r="AA548" s="43"/>
    </row>
    <row r="549" spans="5:27" ht="15.75" customHeight="1">
      <c r="E549" s="50"/>
      <c r="AA549" s="43"/>
    </row>
    <row r="550" spans="5:27" ht="15.75" customHeight="1">
      <c r="E550" s="50"/>
      <c r="AA550" s="43"/>
    </row>
    <row r="551" spans="5:27" ht="15.75" customHeight="1">
      <c r="E551" s="50"/>
      <c r="AA551" s="43"/>
    </row>
    <row r="552" spans="5:27" ht="15.75" customHeight="1">
      <c r="E552" s="50"/>
      <c r="AA552" s="43"/>
    </row>
    <row r="553" spans="5:27" ht="15.75" customHeight="1">
      <c r="E553" s="50"/>
      <c r="AA553" s="43"/>
    </row>
    <row r="554" spans="5:27" ht="15.75" customHeight="1">
      <c r="E554" s="50"/>
      <c r="AA554" s="43"/>
    </row>
    <row r="555" spans="5:27" ht="15.75" customHeight="1">
      <c r="E555" s="50"/>
      <c r="AA555" s="43"/>
    </row>
    <row r="556" spans="5:27" ht="15.75" customHeight="1">
      <c r="E556" s="50"/>
      <c r="AA556" s="43"/>
    </row>
    <row r="557" spans="5:27" ht="15.75" customHeight="1">
      <c r="E557" s="50"/>
      <c r="AA557" s="43"/>
    </row>
    <row r="558" spans="5:27" ht="15.75" customHeight="1">
      <c r="E558" s="50"/>
      <c r="AA558" s="43"/>
    </row>
    <row r="559" spans="5:27" ht="15.75" customHeight="1">
      <c r="E559" s="50"/>
      <c r="AA559" s="43"/>
    </row>
    <row r="560" spans="5:27" ht="15.75" customHeight="1">
      <c r="E560" s="50"/>
      <c r="AA560" s="43"/>
    </row>
    <row r="561" spans="5:27" ht="15.75" customHeight="1">
      <c r="E561" s="50"/>
      <c r="AA561" s="43"/>
    </row>
    <row r="562" spans="5:27" ht="15.75" customHeight="1">
      <c r="E562" s="50"/>
      <c r="AA562" s="43"/>
    </row>
    <row r="563" spans="5:27" ht="15.75" customHeight="1">
      <c r="E563" s="50"/>
      <c r="AA563" s="43"/>
    </row>
    <row r="564" spans="5:27" ht="15.75" customHeight="1">
      <c r="E564" s="50"/>
      <c r="AA564" s="43"/>
    </row>
    <row r="565" spans="5:27" ht="15.75" customHeight="1">
      <c r="E565" s="50"/>
      <c r="AA565" s="43"/>
    </row>
    <row r="566" spans="5:27" ht="15.75" customHeight="1">
      <c r="E566" s="50"/>
      <c r="AA566" s="43"/>
    </row>
    <row r="567" spans="5:27" ht="15.75" customHeight="1">
      <c r="E567" s="50"/>
      <c r="AA567" s="43"/>
    </row>
    <row r="568" spans="5:27" ht="15.75" customHeight="1">
      <c r="E568" s="50"/>
      <c r="AA568" s="43"/>
    </row>
    <row r="569" spans="5:27" ht="15.75" customHeight="1">
      <c r="E569" s="50"/>
      <c r="AA569" s="43"/>
    </row>
    <row r="570" spans="5:27" ht="15.75" customHeight="1">
      <c r="E570" s="50"/>
      <c r="AA570" s="43"/>
    </row>
    <row r="571" spans="5:27" ht="15.75" customHeight="1">
      <c r="E571" s="50"/>
      <c r="AA571" s="43"/>
    </row>
    <row r="572" spans="5:27" ht="15.75" customHeight="1">
      <c r="E572" s="50"/>
      <c r="AA572" s="43"/>
    </row>
    <row r="573" spans="5:27" ht="15.75" customHeight="1">
      <c r="E573" s="50"/>
      <c r="AA573" s="43"/>
    </row>
    <row r="574" spans="5:27" ht="15.75" customHeight="1">
      <c r="E574" s="50"/>
      <c r="AA574" s="43"/>
    </row>
    <row r="575" spans="5:27" ht="15.75" customHeight="1">
      <c r="E575" s="50"/>
      <c r="AA575" s="43"/>
    </row>
    <row r="576" spans="5:27" ht="15.75" customHeight="1">
      <c r="E576" s="50"/>
      <c r="AA576" s="43"/>
    </row>
    <row r="577" spans="5:27" ht="15.75" customHeight="1">
      <c r="E577" s="50"/>
      <c r="AA577" s="43"/>
    </row>
    <row r="578" spans="5:27" ht="15.75" customHeight="1">
      <c r="E578" s="50"/>
      <c r="AA578" s="43"/>
    </row>
    <row r="579" spans="5:27" ht="15.75" customHeight="1">
      <c r="E579" s="50"/>
      <c r="AA579" s="43"/>
    </row>
    <row r="580" spans="5:27" ht="15.75" customHeight="1">
      <c r="E580" s="50"/>
      <c r="AA580" s="43"/>
    </row>
    <row r="581" spans="5:27" ht="15.75" customHeight="1">
      <c r="E581" s="50"/>
      <c r="AA581" s="43"/>
    </row>
    <row r="582" spans="5:27" ht="15.75" customHeight="1">
      <c r="E582" s="50"/>
      <c r="AA582" s="43"/>
    </row>
    <row r="583" spans="5:27" ht="15.75" customHeight="1">
      <c r="E583" s="50"/>
      <c r="AA583" s="43"/>
    </row>
    <row r="584" spans="5:27" ht="15.75" customHeight="1">
      <c r="E584" s="50"/>
      <c r="AA584" s="43"/>
    </row>
    <row r="585" spans="5:27" ht="15.75" customHeight="1">
      <c r="E585" s="50"/>
      <c r="AA585" s="43"/>
    </row>
    <row r="586" spans="5:27" ht="15.75" customHeight="1">
      <c r="E586" s="50"/>
      <c r="AA586" s="43"/>
    </row>
    <row r="587" spans="5:27" ht="15.75" customHeight="1">
      <c r="E587" s="50"/>
      <c r="AA587" s="43"/>
    </row>
    <row r="588" spans="5:27" ht="15.75" customHeight="1">
      <c r="E588" s="50"/>
      <c r="AA588" s="43"/>
    </row>
    <row r="589" spans="5:27" ht="15.75" customHeight="1">
      <c r="E589" s="50"/>
      <c r="AA589" s="43"/>
    </row>
    <row r="590" spans="5:27" ht="15.75" customHeight="1">
      <c r="E590" s="50"/>
      <c r="AA590" s="43"/>
    </row>
    <row r="591" spans="5:27" ht="15.75" customHeight="1">
      <c r="E591" s="50"/>
      <c r="AA591" s="43"/>
    </row>
    <row r="592" spans="5:27" ht="15.75" customHeight="1">
      <c r="E592" s="50"/>
      <c r="AA592" s="43"/>
    </row>
    <row r="593" spans="5:27" ht="15.75" customHeight="1">
      <c r="E593" s="50"/>
      <c r="AA593" s="43"/>
    </row>
    <row r="594" spans="5:27" ht="15.75" customHeight="1">
      <c r="E594" s="50"/>
      <c r="AA594" s="43"/>
    </row>
    <row r="595" spans="5:27" ht="15.75" customHeight="1">
      <c r="E595" s="50"/>
      <c r="AA595" s="43"/>
    </row>
    <row r="596" spans="5:27" ht="15.75" customHeight="1">
      <c r="E596" s="50"/>
      <c r="AA596" s="43"/>
    </row>
    <row r="597" spans="5:27" ht="15.75" customHeight="1">
      <c r="E597" s="50"/>
      <c r="AA597" s="43"/>
    </row>
    <row r="598" spans="5:27" ht="15.75" customHeight="1">
      <c r="E598" s="50"/>
      <c r="AA598" s="43"/>
    </row>
    <row r="599" spans="5:27" ht="15.75" customHeight="1">
      <c r="E599" s="50"/>
      <c r="AA599" s="43"/>
    </row>
    <row r="600" spans="5:27" ht="15.75" customHeight="1">
      <c r="E600" s="50"/>
      <c r="AA600" s="43"/>
    </row>
    <row r="601" spans="5:27" ht="15.75" customHeight="1">
      <c r="E601" s="50"/>
      <c r="AA601" s="43"/>
    </row>
    <row r="602" spans="5:27" ht="15.75" customHeight="1">
      <c r="E602" s="50"/>
      <c r="AA602" s="43"/>
    </row>
    <row r="603" spans="5:27" ht="15.75" customHeight="1">
      <c r="E603" s="50"/>
      <c r="AA603" s="43"/>
    </row>
    <row r="604" spans="5:27" ht="15.75" customHeight="1">
      <c r="E604" s="50"/>
      <c r="AA604" s="43"/>
    </row>
    <row r="605" spans="5:27" ht="15.75" customHeight="1">
      <c r="E605" s="50"/>
      <c r="AA605" s="43"/>
    </row>
    <row r="606" spans="5:27" ht="15.75" customHeight="1">
      <c r="E606" s="50"/>
      <c r="AA606" s="43"/>
    </row>
    <row r="607" spans="5:27" ht="15.75" customHeight="1">
      <c r="E607" s="50"/>
      <c r="AA607" s="43"/>
    </row>
    <row r="608" spans="5:27" ht="15.75" customHeight="1">
      <c r="E608" s="50"/>
      <c r="AA608" s="43"/>
    </row>
    <row r="609" spans="5:27" ht="15.75" customHeight="1">
      <c r="E609" s="50"/>
      <c r="AA609" s="43"/>
    </row>
    <row r="610" spans="5:27" ht="15.75" customHeight="1">
      <c r="E610" s="50"/>
      <c r="AA610" s="43"/>
    </row>
    <row r="611" spans="5:27" ht="15.75" customHeight="1">
      <c r="E611" s="50"/>
      <c r="AA611" s="43"/>
    </row>
    <row r="612" spans="5:27" ht="15.75" customHeight="1">
      <c r="E612" s="50"/>
      <c r="AA612" s="43"/>
    </row>
    <row r="613" spans="5:27" ht="15.75" customHeight="1">
      <c r="E613" s="50"/>
      <c r="AA613" s="43"/>
    </row>
    <row r="614" spans="5:27" ht="15.75" customHeight="1">
      <c r="E614" s="50"/>
      <c r="AA614" s="43"/>
    </row>
    <row r="615" spans="5:27" ht="15.75" customHeight="1">
      <c r="E615" s="50"/>
      <c r="AA615" s="43"/>
    </row>
    <row r="616" spans="5:27" ht="15.75" customHeight="1">
      <c r="E616" s="50"/>
      <c r="AA616" s="43"/>
    </row>
    <row r="617" spans="5:27" ht="15.75" customHeight="1">
      <c r="E617" s="50"/>
      <c r="AA617" s="43"/>
    </row>
    <row r="618" spans="5:27" ht="15.75" customHeight="1">
      <c r="E618" s="50"/>
      <c r="AA618" s="43"/>
    </row>
    <row r="619" spans="5:27" ht="15.75" customHeight="1">
      <c r="E619" s="50"/>
      <c r="AA619" s="43"/>
    </row>
    <row r="620" spans="5:27" ht="15.75" customHeight="1">
      <c r="E620" s="50"/>
      <c r="AA620" s="43"/>
    </row>
    <row r="621" spans="5:27" ht="15.75" customHeight="1">
      <c r="E621" s="50"/>
      <c r="AA621" s="43"/>
    </row>
    <row r="622" spans="5:27" ht="15.75" customHeight="1">
      <c r="E622" s="50"/>
      <c r="AA622" s="43"/>
    </row>
    <row r="623" spans="5:27" ht="15.75" customHeight="1">
      <c r="E623" s="50"/>
      <c r="AA623" s="43"/>
    </row>
    <row r="624" spans="5:27" ht="15.75" customHeight="1">
      <c r="E624" s="50"/>
      <c r="AA624" s="43"/>
    </row>
    <row r="625" spans="5:27" ht="15.75" customHeight="1">
      <c r="E625" s="50"/>
      <c r="AA625" s="43"/>
    </row>
    <row r="626" spans="5:27" ht="15.75" customHeight="1">
      <c r="E626" s="50"/>
      <c r="AA626" s="43"/>
    </row>
    <row r="627" spans="5:27" ht="15.75" customHeight="1">
      <c r="E627" s="50"/>
      <c r="AA627" s="43"/>
    </row>
    <row r="628" spans="5:27" ht="15.75" customHeight="1">
      <c r="E628" s="50"/>
      <c r="AA628" s="43"/>
    </row>
    <row r="629" spans="5:27" ht="15.75" customHeight="1">
      <c r="E629" s="50"/>
      <c r="AA629" s="43"/>
    </row>
    <row r="630" spans="5:27" ht="15.75" customHeight="1">
      <c r="E630" s="50"/>
      <c r="AA630" s="43"/>
    </row>
    <row r="631" spans="5:27" ht="15.75" customHeight="1">
      <c r="E631" s="50"/>
      <c r="AA631" s="43"/>
    </row>
    <row r="632" spans="5:27" ht="15.75" customHeight="1">
      <c r="E632" s="50"/>
      <c r="AA632" s="43"/>
    </row>
    <row r="633" spans="5:27" ht="15.75" customHeight="1">
      <c r="E633" s="50"/>
      <c r="AA633" s="43"/>
    </row>
    <row r="634" spans="5:27" ht="15.75" customHeight="1">
      <c r="E634" s="50"/>
      <c r="AA634" s="43"/>
    </row>
    <row r="635" spans="5:27" ht="15.75" customHeight="1">
      <c r="E635" s="50"/>
      <c r="AA635" s="43"/>
    </row>
    <row r="636" spans="5:27" ht="15.75" customHeight="1">
      <c r="E636" s="50"/>
      <c r="AA636" s="43"/>
    </row>
    <row r="637" spans="5:27" ht="15.75" customHeight="1">
      <c r="E637" s="50"/>
      <c r="AA637" s="43"/>
    </row>
    <row r="638" spans="5:27" ht="15.75" customHeight="1">
      <c r="E638" s="50"/>
      <c r="AA638" s="43"/>
    </row>
    <row r="639" spans="5:27" ht="15.75" customHeight="1">
      <c r="E639" s="50"/>
      <c r="AA639" s="43"/>
    </row>
    <row r="640" spans="5:27" ht="15.75" customHeight="1">
      <c r="E640" s="50"/>
      <c r="AA640" s="43"/>
    </row>
    <row r="641" spans="5:27" ht="15.75" customHeight="1">
      <c r="E641" s="50"/>
      <c r="AA641" s="43"/>
    </row>
    <row r="642" spans="5:27" ht="15.75" customHeight="1">
      <c r="E642" s="50"/>
      <c r="AA642" s="43"/>
    </row>
    <row r="643" spans="5:27" ht="15.75" customHeight="1">
      <c r="E643" s="50"/>
      <c r="AA643" s="43"/>
    </row>
    <row r="644" spans="5:27" ht="15.75" customHeight="1">
      <c r="E644" s="50"/>
      <c r="AA644" s="43"/>
    </row>
    <row r="645" spans="5:27" ht="15.75" customHeight="1">
      <c r="E645" s="50"/>
      <c r="AA645" s="43"/>
    </row>
    <row r="646" spans="5:27" ht="15.75" customHeight="1">
      <c r="E646" s="50"/>
      <c r="AA646" s="43"/>
    </row>
    <row r="647" spans="5:27" ht="15.75" customHeight="1">
      <c r="E647" s="50"/>
      <c r="AA647" s="43"/>
    </row>
    <row r="648" spans="5:27" ht="15.75" customHeight="1">
      <c r="E648" s="50"/>
      <c r="AA648" s="43"/>
    </row>
    <row r="649" spans="5:27" ht="15.75" customHeight="1">
      <c r="E649" s="50"/>
      <c r="AA649" s="43"/>
    </row>
    <row r="650" spans="5:27" ht="15.75" customHeight="1">
      <c r="E650" s="50"/>
      <c r="AA650" s="43"/>
    </row>
    <row r="651" spans="5:27" ht="15.75" customHeight="1">
      <c r="E651" s="50"/>
      <c r="AA651" s="43"/>
    </row>
    <row r="652" spans="5:27" ht="15.75" customHeight="1">
      <c r="E652" s="50"/>
      <c r="AA652" s="43"/>
    </row>
    <row r="653" spans="5:27" ht="15.75" customHeight="1">
      <c r="E653" s="50"/>
      <c r="AA653" s="43"/>
    </row>
    <row r="654" spans="5:27" ht="15.75" customHeight="1">
      <c r="E654" s="50"/>
      <c r="AA654" s="43"/>
    </row>
    <row r="655" spans="5:27" ht="15.75" customHeight="1">
      <c r="E655" s="50"/>
      <c r="AA655" s="43"/>
    </row>
    <row r="656" spans="5:27" ht="15.75" customHeight="1">
      <c r="E656" s="50"/>
      <c r="AA656" s="43"/>
    </row>
    <row r="657" spans="5:27" ht="15.75" customHeight="1">
      <c r="E657" s="50"/>
      <c r="AA657" s="43"/>
    </row>
    <row r="658" spans="5:27" ht="15.75" customHeight="1">
      <c r="E658" s="50"/>
      <c r="AA658" s="43"/>
    </row>
    <row r="659" spans="5:27" ht="15.75" customHeight="1">
      <c r="E659" s="50"/>
      <c r="AA659" s="43"/>
    </row>
    <row r="660" spans="5:27" ht="15.75" customHeight="1">
      <c r="E660" s="50"/>
      <c r="AA660" s="43"/>
    </row>
    <row r="661" spans="5:27" ht="15.75" customHeight="1">
      <c r="E661" s="50"/>
      <c r="AA661" s="43"/>
    </row>
    <row r="662" spans="5:27" ht="15.75" customHeight="1">
      <c r="E662" s="50"/>
      <c r="AA662" s="43"/>
    </row>
    <row r="663" spans="5:27" ht="15.75" customHeight="1">
      <c r="E663" s="50"/>
      <c r="AA663" s="43"/>
    </row>
    <row r="664" spans="5:27" ht="15.75" customHeight="1">
      <c r="E664" s="50"/>
      <c r="AA664" s="43"/>
    </row>
    <row r="665" spans="5:27" ht="15.75" customHeight="1">
      <c r="E665" s="50"/>
      <c r="AA665" s="43"/>
    </row>
    <row r="666" spans="5:27" ht="15.75" customHeight="1">
      <c r="E666" s="50"/>
      <c r="AA666" s="43"/>
    </row>
    <row r="667" spans="5:27" ht="15.75" customHeight="1">
      <c r="E667" s="50"/>
      <c r="AA667" s="43"/>
    </row>
    <row r="668" spans="5:27" ht="15.75" customHeight="1">
      <c r="E668" s="50"/>
      <c r="AA668" s="43"/>
    </row>
    <row r="669" spans="5:27" ht="15.75" customHeight="1">
      <c r="E669" s="50"/>
      <c r="AA669" s="43"/>
    </row>
    <row r="670" spans="5:27" ht="15.75" customHeight="1">
      <c r="E670" s="50"/>
      <c r="AA670" s="43"/>
    </row>
    <row r="671" spans="5:27" ht="15.75" customHeight="1">
      <c r="E671" s="50"/>
      <c r="AA671" s="43"/>
    </row>
    <row r="672" spans="5:27" ht="15.75" customHeight="1">
      <c r="E672" s="50"/>
      <c r="AA672" s="43"/>
    </row>
    <row r="673" spans="5:27" ht="15.75" customHeight="1">
      <c r="E673" s="50"/>
      <c r="AA673" s="43"/>
    </row>
    <row r="674" spans="5:27" ht="15.75" customHeight="1">
      <c r="E674" s="50"/>
      <c r="AA674" s="43"/>
    </row>
    <row r="675" spans="5:27" ht="15.75" customHeight="1">
      <c r="E675" s="50"/>
      <c r="AA675" s="43"/>
    </row>
    <row r="676" spans="5:27" ht="15.75" customHeight="1">
      <c r="E676" s="50"/>
      <c r="AA676" s="43"/>
    </row>
    <row r="677" spans="5:27" ht="15.75" customHeight="1">
      <c r="E677" s="50"/>
      <c r="AA677" s="43"/>
    </row>
    <row r="678" spans="5:27" ht="15.75" customHeight="1">
      <c r="E678" s="50"/>
      <c r="AA678" s="43"/>
    </row>
    <row r="679" spans="5:27" ht="15.75" customHeight="1">
      <c r="E679" s="50"/>
      <c r="AA679" s="43"/>
    </row>
    <row r="680" spans="5:27" ht="15.75" customHeight="1">
      <c r="E680" s="50"/>
      <c r="AA680" s="43"/>
    </row>
    <row r="681" spans="5:27" ht="15.75" customHeight="1">
      <c r="E681" s="50"/>
      <c r="AA681" s="43"/>
    </row>
    <row r="682" spans="5:27" ht="15.75" customHeight="1">
      <c r="E682" s="50"/>
      <c r="AA682" s="43"/>
    </row>
    <row r="683" spans="5:27" ht="15.75" customHeight="1">
      <c r="E683" s="50"/>
      <c r="AA683" s="43"/>
    </row>
    <row r="684" spans="5:27" ht="15.75" customHeight="1">
      <c r="E684" s="50"/>
      <c r="AA684" s="43"/>
    </row>
    <row r="685" spans="5:27" ht="15.75" customHeight="1">
      <c r="E685" s="50"/>
      <c r="AA685" s="43"/>
    </row>
    <row r="686" spans="5:27" ht="15.75" customHeight="1">
      <c r="E686" s="50"/>
      <c r="AA686" s="43"/>
    </row>
    <row r="687" spans="5:27" ht="15.75" customHeight="1">
      <c r="E687" s="50"/>
      <c r="AA687" s="43"/>
    </row>
    <row r="688" spans="5:27" ht="15.75" customHeight="1">
      <c r="E688" s="50"/>
      <c r="AA688" s="43"/>
    </row>
    <row r="689" spans="5:27" ht="15.75" customHeight="1">
      <c r="E689" s="50"/>
      <c r="AA689" s="43"/>
    </row>
    <row r="690" spans="5:27" ht="15.75" customHeight="1">
      <c r="E690" s="50"/>
      <c r="AA690" s="43"/>
    </row>
    <row r="691" spans="5:27" ht="15.75" customHeight="1">
      <c r="E691" s="50"/>
      <c r="AA691" s="43"/>
    </row>
    <row r="692" spans="5:27" ht="15.75" customHeight="1">
      <c r="E692" s="50"/>
      <c r="AA692" s="43"/>
    </row>
    <row r="693" spans="5:27" ht="15.75" customHeight="1">
      <c r="E693" s="50"/>
      <c r="AA693" s="43"/>
    </row>
    <row r="694" spans="5:27" ht="15.75" customHeight="1">
      <c r="E694" s="50"/>
      <c r="AA694" s="43"/>
    </row>
    <row r="695" spans="5:27" ht="15.75" customHeight="1">
      <c r="E695" s="50"/>
      <c r="AA695" s="43"/>
    </row>
    <row r="696" spans="5:27" ht="15.75" customHeight="1">
      <c r="E696" s="50"/>
      <c r="AA696" s="43"/>
    </row>
    <row r="697" spans="5:27" ht="15.75" customHeight="1">
      <c r="E697" s="50"/>
      <c r="AA697" s="43"/>
    </row>
    <row r="698" spans="5:27" ht="15.75" customHeight="1">
      <c r="E698" s="50"/>
      <c r="AA698" s="43"/>
    </row>
    <row r="699" spans="5:27" ht="15.75" customHeight="1">
      <c r="E699" s="50"/>
      <c r="AA699" s="43"/>
    </row>
    <row r="700" spans="5:27" ht="15.75" customHeight="1">
      <c r="E700" s="50"/>
      <c r="AA700" s="43"/>
    </row>
    <row r="701" spans="5:27" ht="15.75" customHeight="1">
      <c r="E701" s="50"/>
      <c r="AA701" s="43"/>
    </row>
    <row r="702" spans="5:27" ht="15.75" customHeight="1">
      <c r="E702" s="50"/>
      <c r="AA702" s="43"/>
    </row>
    <row r="703" spans="5:27" ht="15.75" customHeight="1">
      <c r="E703" s="50"/>
      <c r="AA703" s="43"/>
    </row>
    <row r="704" spans="5:27" ht="15.75" customHeight="1">
      <c r="E704" s="50"/>
      <c r="AA704" s="43"/>
    </row>
    <row r="705" spans="5:27" ht="15.75" customHeight="1">
      <c r="E705" s="50"/>
      <c r="AA705" s="43"/>
    </row>
    <row r="706" spans="5:27" ht="15.75" customHeight="1">
      <c r="E706" s="50"/>
      <c r="AA706" s="43"/>
    </row>
    <row r="707" spans="5:27" ht="15.75" customHeight="1">
      <c r="E707" s="50"/>
      <c r="AA707" s="43"/>
    </row>
    <row r="708" spans="5:27" ht="15.75" customHeight="1">
      <c r="E708" s="50"/>
      <c r="AA708" s="43"/>
    </row>
    <row r="709" spans="5:27" ht="15.75" customHeight="1">
      <c r="E709" s="50"/>
      <c r="AA709" s="43"/>
    </row>
    <row r="710" spans="5:27" ht="15.75" customHeight="1">
      <c r="E710" s="50"/>
      <c r="AA710" s="43"/>
    </row>
    <row r="711" spans="5:27" ht="15.75" customHeight="1">
      <c r="E711" s="50"/>
      <c r="AA711" s="43"/>
    </row>
    <row r="712" spans="5:27" ht="15.75" customHeight="1">
      <c r="E712" s="50"/>
      <c r="AA712" s="43"/>
    </row>
    <row r="713" spans="5:27" ht="15.75" customHeight="1">
      <c r="E713" s="50"/>
      <c r="AA713" s="43"/>
    </row>
    <row r="714" spans="5:27" ht="15.75" customHeight="1">
      <c r="E714" s="50"/>
      <c r="AA714" s="43"/>
    </row>
    <row r="715" spans="5:27" ht="15.75" customHeight="1">
      <c r="E715" s="50"/>
      <c r="AA715" s="43"/>
    </row>
    <row r="716" spans="5:27" ht="15.75" customHeight="1">
      <c r="E716" s="50"/>
      <c r="AA716" s="43"/>
    </row>
    <row r="717" spans="5:27" ht="15.75" customHeight="1">
      <c r="E717" s="50"/>
      <c r="AA717" s="43"/>
    </row>
    <row r="718" spans="5:27" ht="15.75" customHeight="1">
      <c r="E718" s="50"/>
      <c r="AA718" s="43"/>
    </row>
    <row r="719" spans="5:27" ht="15.75" customHeight="1">
      <c r="E719" s="50"/>
      <c r="AA719" s="43"/>
    </row>
    <row r="720" spans="5:27" ht="15.75" customHeight="1">
      <c r="E720" s="50"/>
      <c r="AA720" s="43"/>
    </row>
    <row r="721" spans="5:27" ht="15.75" customHeight="1">
      <c r="E721" s="50"/>
      <c r="AA721" s="43"/>
    </row>
    <row r="722" spans="5:27" ht="15.75" customHeight="1">
      <c r="E722" s="50"/>
      <c r="AA722" s="43"/>
    </row>
    <row r="723" spans="5:27" ht="15.75" customHeight="1">
      <c r="E723" s="50"/>
      <c r="AA723" s="43"/>
    </row>
    <row r="724" spans="5:27" ht="15.75" customHeight="1">
      <c r="E724" s="50"/>
      <c r="AA724" s="43"/>
    </row>
    <row r="725" spans="5:27" ht="15.75" customHeight="1">
      <c r="E725" s="50"/>
      <c r="AA725" s="43"/>
    </row>
    <row r="726" spans="5:27" ht="15.75" customHeight="1">
      <c r="E726" s="50"/>
      <c r="AA726" s="43"/>
    </row>
    <row r="727" spans="5:27" ht="15.75" customHeight="1">
      <c r="E727" s="50"/>
      <c r="AA727" s="43"/>
    </row>
    <row r="728" spans="5:27" ht="15.75" customHeight="1">
      <c r="E728" s="50"/>
      <c r="AA728" s="43"/>
    </row>
    <row r="729" spans="5:27" ht="15.75" customHeight="1">
      <c r="E729" s="50"/>
      <c r="AA729" s="43"/>
    </row>
    <row r="730" spans="5:27" ht="15.75" customHeight="1">
      <c r="E730" s="50"/>
      <c r="AA730" s="43"/>
    </row>
    <row r="731" spans="5:27" ht="15.75" customHeight="1">
      <c r="E731" s="50"/>
      <c r="AA731" s="43"/>
    </row>
    <row r="732" spans="5:27" ht="15.75" customHeight="1">
      <c r="E732" s="50"/>
      <c r="AA732" s="43"/>
    </row>
    <row r="733" spans="5:27" ht="15.75" customHeight="1">
      <c r="E733" s="50"/>
      <c r="AA733" s="43"/>
    </row>
    <row r="734" spans="5:27" ht="15.75" customHeight="1">
      <c r="E734" s="50"/>
      <c r="AA734" s="43"/>
    </row>
    <row r="735" spans="5:27" ht="15.75" customHeight="1">
      <c r="E735" s="50"/>
      <c r="AA735" s="43"/>
    </row>
    <row r="736" spans="5:27" ht="15.75" customHeight="1">
      <c r="E736" s="50"/>
      <c r="AA736" s="43"/>
    </row>
    <row r="737" spans="5:27" ht="15.75" customHeight="1">
      <c r="E737" s="50"/>
      <c r="AA737" s="43"/>
    </row>
    <row r="738" spans="5:27" ht="15.75" customHeight="1">
      <c r="E738" s="50"/>
      <c r="AA738" s="43"/>
    </row>
    <row r="739" spans="5:27" ht="15.75" customHeight="1">
      <c r="E739" s="50"/>
      <c r="AA739" s="43"/>
    </row>
    <row r="740" spans="5:27" ht="15.75" customHeight="1">
      <c r="E740" s="50"/>
      <c r="AA740" s="43"/>
    </row>
    <row r="741" spans="5:27" ht="15.75" customHeight="1">
      <c r="E741" s="50"/>
      <c r="AA741" s="43"/>
    </row>
    <row r="742" spans="5:27" ht="15.75" customHeight="1">
      <c r="E742" s="50"/>
      <c r="AA742" s="43"/>
    </row>
    <row r="743" spans="5:27" ht="15.75" customHeight="1">
      <c r="E743" s="50"/>
      <c r="AA743" s="43"/>
    </row>
    <row r="744" spans="5:27" ht="15.75" customHeight="1">
      <c r="E744" s="50"/>
      <c r="AA744" s="43"/>
    </row>
    <row r="745" spans="5:27" ht="15.75" customHeight="1">
      <c r="E745" s="50"/>
      <c r="AA745" s="43"/>
    </row>
    <row r="746" spans="5:27" ht="15.75" customHeight="1">
      <c r="E746" s="50"/>
      <c r="AA746" s="43"/>
    </row>
    <row r="747" spans="5:27" ht="15.75" customHeight="1">
      <c r="E747" s="50"/>
      <c r="AA747" s="43"/>
    </row>
    <row r="748" spans="5:27" ht="15.75" customHeight="1">
      <c r="E748" s="50"/>
      <c r="AA748" s="43"/>
    </row>
    <row r="749" spans="5:27" ht="15.75" customHeight="1">
      <c r="E749" s="50"/>
      <c r="AA749" s="43"/>
    </row>
    <row r="750" spans="5:27" ht="15.75" customHeight="1">
      <c r="E750" s="50"/>
      <c r="AA750" s="43"/>
    </row>
    <row r="751" spans="5:27" ht="15.75" customHeight="1">
      <c r="E751" s="50"/>
      <c r="AA751" s="43"/>
    </row>
    <row r="752" spans="5:27" ht="15.75" customHeight="1">
      <c r="E752" s="50"/>
      <c r="AA752" s="43"/>
    </row>
    <row r="753" spans="5:27" ht="15.75" customHeight="1">
      <c r="E753" s="50"/>
      <c r="AA753" s="43"/>
    </row>
    <row r="754" spans="5:27" ht="15.75" customHeight="1">
      <c r="E754" s="50"/>
      <c r="AA754" s="43"/>
    </row>
    <row r="755" spans="5:27" ht="15.75" customHeight="1">
      <c r="E755" s="50"/>
      <c r="AA755" s="43"/>
    </row>
    <row r="756" spans="5:27" ht="15.75" customHeight="1">
      <c r="E756" s="50"/>
      <c r="AA756" s="43"/>
    </row>
    <row r="757" spans="5:27" ht="15.75" customHeight="1">
      <c r="E757" s="50"/>
      <c r="AA757" s="43"/>
    </row>
    <row r="758" spans="5:27" ht="15.75" customHeight="1">
      <c r="E758" s="50"/>
      <c r="AA758" s="43"/>
    </row>
    <row r="759" spans="5:27" ht="15.75" customHeight="1">
      <c r="E759" s="50"/>
      <c r="AA759" s="43"/>
    </row>
    <row r="760" spans="5:27" ht="15.75" customHeight="1">
      <c r="E760" s="50"/>
      <c r="AA760" s="43"/>
    </row>
    <row r="761" spans="5:27" ht="15.75" customHeight="1">
      <c r="E761" s="50"/>
      <c r="AA761" s="43"/>
    </row>
    <row r="762" spans="5:27" ht="15.75" customHeight="1">
      <c r="E762" s="50"/>
      <c r="AA762" s="43"/>
    </row>
    <row r="763" spans="5:27" ht="15.75" customHeight="1">
      <c r="E763" s="50"/>
      <c r="AA763" s="43"/>
    </row>
    <row r="764" spans="5:27" ht="15.75" customHeight="1">
      <c r="E764" s="50"/>
      <c r="AA764" s="43"/>
    </row>
    <row r="765" spans="5:27" ht="15.75" customHeight="1">
      <c r="E765" s="50"/>
      <c r="AA765" s="43"/>
    </row>
    <row r="766" spans="5:27" ht="15.75" customHeight="1">
      <c r="E766" s="50"/>
      <c r="AA766" s="43"/>
    </row>
    <row r="767" spans="5:27" ht="15.75" customHeight="1">
      <c r="E767" s="50"/>
      <c r="AA767" s="43"/>
    </row>
    <row r="768" spans="5:27" ht="15.75" customHeight="1">
      <c r="E768" s="50"/>
      <c r="AA768" s="43"/>
    </row>
    <row r="769" spans="5:27" ht="15.75" customHeight="1">
      <c r="E769" s="50"/>
      <c r="AA769" s="43"/>
    </row>
    <row r="770" spans="5:27" ht="15.75" customHeight="1">
      <c r="E770" s="50"/>
      <c r="AA770" s="43"/>
    </row>
    <row r="771" spans="5:27" ht="15.75" customHeight="1">
      <c r="E771" s="50"/>
      <c r="AA771" s="43"/>
    </row>
    <row r="772" spans="5:27" ht="15.75" customHeight="1">
      <c r="E772" s="50"/>
      <c r="AA772" s="43"/>
    </row>
    <row r="773" spans="5:27" ht="15.75" customHeight="1">
      <c r="E773" s="50"/>
      <c r="AA773" s="43"/>
    </row>
    <row r="774" spans="5:27" ht="15.75" customHeight="1">
      <c r="E774" s="50"/>
      <c r="AA774" s="43"/>
    </row>
    <row r="775" spans="5:27" ht="15.75" customHeight="1">
      <c r="E775" s="50"/>
      <c r="AA775" s="43"/>
    </row>
    <row r="776" spans="5:27" ht="15.75" customHeight="1">
      <c r="E776" s="50"/>
      <c r="AA776" s="43"/>
    </row>
    <row r="777" spans="5:27" ht="15.75" customHeight="1">
      <c r="E777" s="50"/>
      <c r="AA777" s="43"/>
    </row>
    <row r="778" spans="5:27" ht="15.75" customHeight="1">
      <c r="E778" s="50"/>
      <c r="AA778" s="43"/>
    </row>
    <row r="779" spans="5:27" ht="15.75" customHeight="1">
      <c r="E779" s="50"/>
      <c r="AA779" s="43"/>
    </row>
    <row r="780" spans="5:27" ht="15.75" customHeight="1">
      <c r="E780" s="50"/>
      <c r="AA780" s="43"/>
    </row>
    <row r="781" spans="5:27" ht="15.75" customHeight="1">
      <c r="E781" s="50"/>
      <c r="AA781" s="43"/>
    </row>
    <row r="782" spans="5:27" ht="15.75" customHeight="1">
      <c r="E782" s="50"/>
      <c r="AA782" s="43"/>
    </row>
    <row r="783" spans="5:27" ht="15.75" customHeight="1">
      <c r="E783" s="50"/>
      <c r="AA783" s="43"/>
    </row>
    <row r="784" spans="5:27" ht="15.75" customHeight="1">
      <c r="E784" s="50"/>
      <c r="AA784" s="43"/>
    </row>
    <row r="785" spans="5:27" ht="15.75" customHeight="1">
      <c r="E785" s="50"/>
      <c r="AA785" s="43"/>
    </row>
    <row r="786" spans="5:27" ht="15.75" customHeight="1">
      <c r="E786" s="50"/>
      <c r="AA786" s="43"/>
    </row>
    <row r="787" spans="5:27" ht="15.75" customHeight="1">
      <c r="E787" s="50"/>
      <c r="AA787" s="43"/>
    </row>
    <row r="788" spans="5:27" ht="15.75" customHeight="1">
      <c r="E788" s="50"/>
      <c r="AA788" s="43"/>
    </row>
    <row r="789" spans="5:27" ht="15.75" customHeight="1">
      <c r="E789" s="50"/>
      <c r="AA789" s="43"/>
    </row>
    <row r="790" spans="5:27" ht="15.75" customHeight="1">
      <c r="E790" s="50"/>
      <c r="AA790" s="43"/>
    </row>
    <row r="791" spans="5:27" ht="15.75" customHeight="1">
      <c r="E791" s="50"/>
      <c r="AA791" s="43"/>
    </row>
    <row r="792" spans="5:27" ht="15.75" customHeight="1">
      <c r="E792" s="50"/>
      <c r="AA792" s="43"/>
    </row>
    <row r="793" spans="5:27" ht="15.75" customHeight="1">
      <c r="E793" s="50"/>
      <c r="AA793" s="43"/>
    </row>
    <row r="794" spans="5:27" ht="15.75" customHeight="1">
      <c r="E794" s="50"/>
      <c r="AA794" s="43"/>
    </row>
    <row r="795" spans="5:27" ht="15.75" customHeight="1">
      <c r="E795" s="50"/>
      <c r="AA795" s="43"/>
    </row>
    <row r="796" spans="5:27" ht="15.75" customHeight="1">
      <c r="E796" s="50"/>
      <c r="AA796" s="43"/>
    </row>
    <row r="797" spans="5:27" ht="15.75" customHeight="1">
      <c r="E797" s="50"/>
      <c r="AA797" s="43"/>
    </row>
    <row r="798" spans="5:27" ht="15.75" customHeight="1">
      <c r="E798" s="50"/>
      <c r="AA798" s="43"/>
    </row>
    <row r="799" spans="5:27" ht="15.75" customHeight="1">
      <c r="E799" s="50"/>
      <c r="AA799" s="43"/>
    </row>
    <row r="800" spans="5:27" ht="15.75" customHeight="1">
      <c r="E800" s="50"/>
      <c r="AA800" s="43"/>
    </row>
    <row r="801" spans="5:27" ht="15.75" customHeight="1">
      <c r="E801" s="50"/>
      <c r="AA801" s="43"/>
    </row>
    <row r="802" spans="5:27" ht="15.75" customHeight="1">
      <c r="E802" s="50"/>
      <c r="AA802" s="43"/>
    </row>
    <row r="803" spans="5:27" ht="15.75" customHeight="1">
      <c r="E803" s="50"/>
      <c r="AA803" s="43"/>
    </row>
    <row r="804" spans="5:27" ht="15.75" customHeight="1">
      <c r="E804" s="50"/>
      <c r="AA804" s="43"/>
    </row>
    <row r="805" spans="5:27" ht="15.75" customHeight="1">
      <c r="E805" s="50"/>
      <c r="AA805" s="43"/>
    </row>
    <row r="806" spans="5:27" ht="15.75" customHeight="1">
      <c r="E806" s="50"/>
      <c r="AA806" s="43"/>
    </row>
    <row r="807" spans="5:27" ht="15.75" customHeight="1">
      <c r="E807" s="50"/>
      <c r="AA807" s="43"/>
    </row>
    <row r="808" spans="5:27" ht="15.75" customHeight="1">
      <c r="E808" s="50"/>
      <c r="AA808" s="43"/>
    </row>
    <row r="809" spans="5:27" ht="15.75" customHeight="1">
      <c r="E809" s="50"/>
      <c r="AA809" s="43"/>
    </row>
    <row r="810" spans="5:27" ht="15.75" customHeight="1">
      <c r="E810" s="50"/>
      <c r="AA810" s="43"/>
    </row>
    <row r="811" spans="5:27" ht="15.75" customHeight="1">
      <c r="E811" s="50"/>
      <c r="AA811" s="43"/>
    </row>
    <row r="812" spans="5:27" ht="15.75" customHeight="1">
      <c r="E812" s="50"/>
      <c r="AA812" s="43"/>
    </row>
    <row r="813" spans="5:27" ht="15.75" customHeight="1">
      <c r="E813" s="50"/>
      <c r="AA813" s="43"/>
    </row>
    <row r="814" spans="5:27" ht="15.75" customHeight="1">
      <c r="E814" s="50"/>
      <c r="AA814" s="43"/>
    </row>
    <row r="815" spans="5:27" ht="15.75" customHeight="1">
      <c r="E815" s="50"/>
      <c r="AA815" s="43"/>
    </row>
    <row r="816" spans="5:27" ht="15.75" customHeight="1">
      <c r="E816" s="50"/>
      <c r="AA816" s="43"/>
    </row>
    <row r="817" spans="5:27" ht="15.75" customHeight="1">
      <c r="E817" s="50"/>
      <c r="AA817" s="43"/>
    </row>
    <row r="818" spans="5:27" ht="15.75" customHeight="1">
      <c r="E818" s="50"/>
      <c r="AA818" s="43"/>
    </row>
    <row r="819" spans="5:27" ht="15.75" customHeight="1">
      <c r="E819" s="50"/>
      <c r="AA819" s="43"/>
    </row>
    <row r="820" spans="5:27" ht="15.75" customHeight="1">
      <c r="E820" s="50"/>
      <c r="AA820" s="43"/>
    </row>
    <row r="821" spans="5:27" ht="15.75" customHeight="1">
      <c r="E821" s="50"/>
      <c r="AA821" s="43"/>
    </row>
    <row r="822" spans="5:27" ht="15.75" customHeight="1">
      <c r="E822" s="50"/>
      <c r="AA822" s="43"/>
    </row>
    <row r="823" spans="5:27" ht="15.75" customHeight="1">
      <c r="E823" s="50"/>
      <c r="AA823" s="43"/>
    </row>
    <row r="824" spans="5:27" ht="15.75" customHeight="1">
      <c r="E824" s="50"/>
      <c r="AA824" s="43"/>
    </row>
    <row r="825" spans="5:27" ht="15.75" customHeight="1">
      <c r="E825" s="50"/>
      <c r="AA825" s="43"/>
    </row>
    <row r="826" spans="5:27" ht="15.75" customHeight="1">
      <c r="E826" s="50"/>
      <c r="AA826" s="43"/>
    </row>
    <row r="827" spans="5:27" ht="15.75" customHeight="1">
      <c r="E827" s="50"/>
      <c r="AA827" s="43"/>
    </row>
    <row r="828" spans="5:27" ht="15.75" customHeight="1">
      <c r="E828" s="50"/>
      <c r="AA828" s="43"/>
    </row>
    <row r="829" spans="5:27" ht="15.75" customHeight="1">
      <c r="E829" s="50"/>
      <c r="AA829" s="43"/>
    </row>
    <row r="830" spans="5:27" ht="15.75" customHeight="1">
      <c r="E830" s="50"/>
      <c r="AA830" s="43"/>
    </row>
    <row r="831" spans="5:27" ht="15.75" customHeight="1">
      <c r="E831" s="50"/>
      <c r="AA831" s="43"/>
    </row>
    <row r="832" spans="5:27" ht="15.75" customHeight="1">
      <c r="E832" s="50"/>
      <c r="AA832" s="43"/>
    </row>
    <row r="833" spans="5:27" ht="15.75" customHeight="1">
      <c r="E833" s="50"/>
      <c r="AA833" s="43"/>
    </row>
    <row r="834" spans="5:27" ht="15.75" customHeight="1">
      <c r="E834" s="50"/>
      <c r="AA834" s="43"/>
    </row>
    <row r="835" spans="5:27" ht="15.75" customHeight="1">
      <c r="E835" s="50"/>
      <c r="AA835" s="43"/>
    </row>
    <row r="836" spans="5:27" ht="15.75" customHeight="1">
      <c r="E836" s="50"/>
      <c r="AA836" s="43"/>
    </row>
    <row r="837" spans="5:27" ht="15.75" customHeight="1">
      <c r="E837" s="50"/>
      <c r="AA837" s="43"/>
    </row>
    <row r="838" spans="5:27" ht="15.75" customHeight="1">
      <c r="E838" s="50"/>
      <c r="AA838" s="43"/>
    </row>
    <row r="839" spans="5:27" ht="15.75" customHeight="1">
      <c r="E839" s="50"/>
      <c r="AA839" s="43"/>
    </row>
    <row r="840" spans="5:27" ht="15.75" customHeight="1">
      <c r="E840" s="50"/>
      <c r="AA840" s="43"/>
    </row>
    <row r="841" spans="5:27" ht="15.75" customHeight="1">
      <c r="E841" s="50"/>
      <c r="AA841" s="43"/>
    </row>
    <row r="842" spans="5:27" ht="15.75" customHeight="1">
      <c r="E842" s="50"/>
      <c r="AA842" s="43"/>
    </row>
    <row r="843" spans="5:27" ht="15.75" customHeight="1">
      <c r="E843" s="50"/>
      <c r="AA843" s="43"/>
    </row>
    <row r="844" spans="5:27" ht="15.75" customHeight="1">
      <c r="E844" s="50"/>
      <c r="AA844" s="43"/>
    </row>
    <row r="845" spans="5:27" ht="15.75" customHeight="1">
      <c r="E845" s="50"/>
      <c r="AA845" s="43"/>
    </row>
    <row r="846" spans="5:27" ht="15.75" customHeight="1">
      <c r="E846" s="50"/>
      <c r="AA846" s="43"/>
    </row>
    <row r="847" spans="5:27" ht="15.75" customHeight="1">
      <c r="E847" s="50"/>
      <c r="AA847" s="43"/>
    </row>
    <row r="848" spans="5:27" ht="15.75" customHeight="1">
      <c r="E848" s="50"/>
      <c r="AA848" s="43"/>
    </row>
    <row r="849" spans="5:27" ht="15.75" customHeight="1">
      <c r="E849" s="50"/>
      <c r="AA849" s="43"/>
    </row>
    <row r="850" spans="5:27" ht="15.75" customHeight="1">
      <c r="E850" s="50"/>
      <c r="AA850" s="43"/>
    </row>
    <row r="851" spans="5:27" ht="15.75" customHeight="1">
      <c r="E851" s="50"/>
      <c r="AA851" s="43"/>
    </row>
    <row r="852" spans="5:27" ht="15.75" customHeight="1">
      <c r="E852" s="50"/>
      <c r="AA852" s="43"/>
    </row>
    <row r="853" spans="5:27" ht="15.75" customHeight="1">
      <c r="E853" s="50"/>
      <c r="AA853" s="43"/>
    </row>
    <row r="854" spans="5:27" ht="15.75" customHeight="1">
      <c r="E854" s="50"/>
      <c r="AA854" s="43"/>
    </row>
    <row r="855" spans="5:27" ht="15.75" customHeight="1">
      <c r="E855" s="50"/>
      <c r="AA855" s="43"/>
    </row>
    <row r="856" spans="5:27" ht="15.75" customHeight="1">
      <c r="E856" s="50"/>
      <c r="AA856" s="43"/>
    </row>
    <row r="857" spans="5:27" ht="15.75" customHeight="1">
      <c r="E857" s="50"/>
      <c r="AA857" s="43"/>
    </row>
    <row r="858" spans="5:27" ht="15.75" customHeight="1">
      <c r="E858" s="50"/>
      <c r="AA858" s="43"/>
    </row>
    <row r="859" spans="5:27" ht="15.75" customHeight="1">
      <c r="E859" s="50"/>
      <c r="AA859" s="43"/>
    </row>
    <row r="860" spans="5:27" ht="15.75" customHeight="1">
      <c r="E860" s="50"/>
      <c r="AA860" s="43"/>
    </row>
    <row r="861" spans="5:27" ht="15.75" customHeight="1">
      <c r="E861" s="50"/>
      <c r="AA861" s="43"/>
    </row>
    <row r="862" spans="5:27" ht="15.75" customHeight="1">
      <c r="E862" s="50"/>
      <c r="AA862" s="43"/>
    </row>
    <row r="863" spans="5:27" ht="15.75" customHeight="1">
      <c r="E863" s="50"/>
      <c r="AA863" s="43"/>
    </row>
    <row r="864" spans="5:27" ht="15.75" customHeight="1">
      <c r="E864" s="50"/>
      <c r="AA864" s="43"/>
    </row>
    <row r="865" spans="5:27" ht="15.75" customHeight="1">
      <c r="E865" s="50"/>
      <c r="AA865" s="43"/>
    </row>
    <row r="866" spans="5:27" ht="15.75" customHeight="1">
      <c r="E866" s="50"/>
      <c r="AA866" s="43"/>
    </row>
    <row r="867" spans="5:27" ht="15.75" customHeight="1">
      <c r="E867" s="50"/>
      <c r="AA867" s="43"/>
    </row>
    <row r="868" spans="5:27" ht="15.75" customHeight="1">
      <c r="E868" s="50"/>
      <c r="AA868" s="43"/>
    </row>
    <row r="869" spans="5:27" ht="15.75" customHeight="1">
      <c r="E869" s="50"/>
      <c r="AA869" s="43"/>
    </row>
    <row r="870" spans="5:27" ht="15.75" customHeight="1">
      <c r="E870" s="50"/>
      <c r="AA870" s="43"/>
    </row>
    <row r="871" spans="5:27" ht="15.75" customHeight="1">
      <c r="E871" s="50"/>
      <c r="AA871" s="43"/>
    </row>
    <row r="872" spans="5:27" ht="15.75" customHeight="1">
      <c r="E872" s="50"/>
      <c r="AA872" s="43"/>
    </row>
    <row r="873" spans="5:27" ht="15.75" customHeight="1">
      <c r="E873" s="50"/>
      <c r="AA873" s="43"/>
    </row>
    <row r="874" spans="5:27" ht="15.75" customHeight="1">
      <c r="E874" s="50"/>
      <c r="AA874" s="43"/>
    </row>
    <row r="875" spans="5:27" ht="15.75" customHeight="1">
      <c r="E875" s="50"/>
      <c r="AA875" s="43"/>
    </row>
    <row r="876" spans="5:27" ht="15.75" customHeight="1">
      <c r="E876" s="50"/>
      <c r="AA876" s="43"/>
    </row>
    <row r="877" spans="5:27" ht="15.75" customHeight="1">
      <c r="E877" s="50"/>
      <c r="AA877" s="43"/>
    </row>
    <row r="878" spans="5:27" ht="15.75" customHeight="1">
      <c r="E878" s="50"/>
      <c r="AA878" s="43"/>
    </row>
    <row r="879" spans="5:27" ht="15.75" customHeight="1">
      <c r="E879" s="50"/>
      <c r="AA879" s="43"/>
    </row>
    <row r="880" spans="5:27" ht="15.75" customHeight="1">
      <c r="E880" s="50"/>
      <c r="AA880" s="43"/>
    </row>
    <row r="881" spans="5:27" ht="15.75" customHeight="1">
      <c r="E881" s="50"/>
      <c r="AA881" s="43"/>
    </row>
    <row r="882" spans="5:27" ht="15.75" customHeight="1">
      <c r="E882" s="50"/>
      <c r="AA882" s="43"/>
    </row>
    <row r="883" spans="5:27" ht="15.75" customHeight="1">
      <c r="E883" s="50"/>
      <c r="AA883" s="43"/>
    </row>
    <row r="884" spans="5:27" ht="15.75" customHeight="1">
      <c r="E884" s="50"/>
      <c r="AA884" s="43"/>
    </row>
    <row r="885" spans="5:27" ht="15.75" customHeight="1">
      <c r="E885" s="50"/>
      <c r="AA885" s="43"/>
    </row>
    <row r="886" spans="5:27" ht="15.75" customHeight="1">
      <c r="E886" s="50"/>
      <c r="AA886" s="43"/>
    </row>
    <row r="887" spans="5:27" ht="15.75" customHeight="1">
      <c r="E887" s="50"/>
      <c r="AA887" s="43"/>
    </row>
    <row r="888" spans="5:27" ht="15.75" customHeight="1">
      <c r="E888" s="50"/>
      <c r="AA888" s="43"/>
    </row>
    <row r="889" spans="5:27" ht="15.75" customHeight="1">
      <c r="E889" s="50"/>
      <c r="AA889" s="43"/>
    </row>
    <row r="890" spans="5:27" ht="15.75" customHeight="1">
      <c r="E890" s="50"/>
      <c r="AA890" s="43"/>
    </row>
    <row r="891" spans="5:27" ht="15.75" customHeight="1">
      <c r="E891" s="50"/>
      <c r="AA891" s="43"/>
    </row>
    <row r="892" spans="5:27" ht="15.75" customHeight="1">
      <c r="E892" s="50"/>
      <c r="AA892" s="43"/>
    </row>
    <row r="893" spans="5:27" ht="15.75" customHeight="1">
      <c r="E893" s="50"/>
      <c r="AA893" s="43"/>
    </row>
    <row r="894" spans="5:27" ht="15.75" customHeight="1">
      <c r="E894" s="50"/>
      <c r="AA894" s="43"/>
    </row>
    <row r="895" spans="5:27" ht="15.75" customHeight="1">
      <c r="E895" s="50"/>
      <c r="AA895" s="43"/>
    </row>
    <row r="896" spans="5:27" ht="15.75" customHeight="1">
      <c r="E896" s="50"/>
      <c r="AA896" s="43"/>
    </row>
    <row r="897" spans="5:27" ht="15.75" customHeight="1">
      <c r="E897" s="50"/>
      <c r="AA897" s="43"/>
    </row>
    <row r="898" spans="5:27" ht="15.75" customHeight="1">
      <c r="E898" s="50"/>
      <c r="AA898" s="43"/>
    </row>
    <row r="899" spans="5:27" ht="15.75" customHeight="1">
      <c r="E899" s="50"/>
      <c r="AA899" s="43"/>
    </row>
    <row r="900" spans="5:27" ht="15.75" customHeight="1">
      <c r="E900" s="50"/>
      <c r="AA900" s="43"/>
    </row>
    <row r="901" spans="5:27" ht="15.75" customHeight="1">
      <c r="E901" s="50"/>
      <c r="AA901" s="43"/>
    </row>
    <row r="902" spans="5:27" ht="15.75" customHeight="1">
      <c r="E902" s="50"/>
      <c r="AA902" s="43"/>
    </row>
    <row r="903" spans="5:27" ht="15.75" customHeight="1">
      <c r="E903" s="50"/>
      <c r="AA903" s="43"/>
    </row>
    <row r="904" spans="5:27" ht="15.75" customHeight="1">
      <c r="E904" s="50"/>
      <c r="AA904" s="43"/>
    </row>
    <row r="905" spans="5:27" ht="15.75" customHeight="1">
      <c r="E905" s="50"/>
      <c r="AA905" s="43"/>
    </row>
    <row r="906" spans="5:27" ht="15.75" customHeight="1">
      <c r="E906" s="50"/>
      <c r="AA906" s="43"/>
    </row>
    <row r="907" spans="5:27" ht="15.75" customHeight="1">
      <c r="E907" s="50"/>
      <c r="AA907" s="43"/>
    </row>
    <row r="908" spans="5:27" ht="15.75" customHeight="1">
      <c r="E908" s="50"/>
      <c r="AA908" s="43"/>
    </row>
    <row r="909" spans="5:27" ht="15.75" customHeight="1">
      <c r="E909" s="50"/>
      <c r="AA909" s="43"/>
    </row>
    <row r="910" spans="5:27" ht="15.75" customHeight="1">
      <c r="E910" s="50"/>
      <c r="AA910" s="43"/>
    </row>
    <row r="911" spans="5:27" ht="15.75" customHeight="1">
      <c r="E911" s="50"/>
      <c r="AA911" s="43"/>
    </row>
    <row r="912" spans="5:27" ht="15.75" customHeight="1">
      <c r="E912" s="50"/>
      <c r="AA912" s="43"/>
    </row>
    <row r="913" spans="5:27" ht="15.75" customHeight="1">
      <c r="E913" s="50"/>
      <c r="AA913" s="43"/>
    </row>
    <row r="914" spans="5:27" ht="15.75" customHeight="1">
      <c r="E914" s="50"/>
      <c r="AA914" s="43"/>
    </row>
    <row r="915" spans="5:27" ht="15.75" customHeight="1">
      <c r="E915" s="50"/>
      <c r="AA915" s="43"/>
    </row>
    <row r="916" spans="5:27" ht="15.75" customHeight="1">
      <c r="E916" s="50"/>
      <c r="AA916" s="43"/>
    </row>
    <row r="917" spans="5:27" ht="15.75" customHeight="1">
      <c r="E917" s="50"/>
      <c r="AA917" s="43"/>
    </row>
    <row r="918" spans="5:27" ht="15.75" customHeight="1">
      <c r="E918" s="50"/>
      <c r="AA918" s="43"/>
    </row>
    <row r="919" spans="5:27" ht="15.75" customHeight="1">
      <c r="E919" s="50"/>
      <c r="AA919" s="43"/>
    </row>
    <row r="920" spans="5:27" ht="15.75" customHeight="1">
      <c r="E920" s="50"/>
      <c r="AA920" s="43"/>
    </row>
    <row r="921" spans="5:27" ht="15.75" customHeight="1">
      <c r="E921" s="50"/>
      <c r="AA921" s="43"/>
    </row>
    <row r="922" spans="5:27" ht="15.75" customHeight="1">
      <c r="E922" s="50"/>
      <c r="AA922" s="43"/>
    </row>
    <row r="923" spans="5:27" ht="15.75" customHeight="1">
      <c r="E923" s="50"/>
      <c r="AA923" s="43"/>
    </row>
    <row r="924" spans="5:27" ht="15.75" customHeight="1">
      <c r="E924" s="50"/>
      <c r="AA924" s="43"/>
    </row>
    <row r="925" spans="5:27" ht="15.75" customHeight="1">
      <c r="E925" s="50"/>
      <c r="AA925" s="43"/>
    </row>
    <row r="926" spans="5:27" ht="15.75" customHeight="1">
      <c r="E926" s="50"/>
      <c r="AA926" s="43"/>
    </row>
    <row r="927" spans="5:27" ht="15.75" customHeight="1">
      <c r="E927" s="50"/>
      <c r="AA927" s="43"/>
    </row>
    <row r="928" spans="5:27" ht="15.75" customHeight="1">
      <c r="E928" s="50"/>
      <c r="AA928" s="43"/>
    </row>
    <row r="929" spans="5:27" ht="15.75" customHeight="1">
      <c r="E929" s="50"/>
      <c r="AA929" s="43"/>
    </row>
    <row r="930" spans="5:27" ht="15.75" customHeight="1">
      <c r="E930" s="50"/>
      <c r="AA930" s="43"/>
    </row>
    <row r="931" spans="5:27" ht="15.75" customHeight="1">
      <c r="E931" s="50"/>
      <c r="AA931" s="43"/>
    </row>
    <row r="932" spans="5:27" ht="15.75" customHeight="1">
      <c r="E932" s="50"/>
      <c r="AA932" s="43"/>
    </row>
    <row r="933" spans="5:27" ht="15.75" customHeight="1">
      <c r="E933" s="50"/>
      <c r="AA933" s="43"/>
    </row>
    <row r="934" spans="5:27" ht="15.75" customHeight="1">
      <c r="E934" s="50"/>
      <c r="AA934" s="43"/>
    </row>
    <row r="935" spans="5:27" ht="15.75" customHeight="1">
      <c r="E935" s="50"/>
      <c r="AA935" s="43"/>
    </row>
    <row r="936" spans="5:27" ht="15.75" customHeight="1">
      <c r="E936" s="50"/>
      <c r="AA936" s="43"/>
    </row>
    <row r="937" spans="5:27" ht="15.75" customHeight="1">
      <c r="E937" s="50"/>
      <c r="AA937" s="43"/>
    </row>
    <row r="938" spans="5:27" ht="15.75" customHeight="1">
      <c r="E938" s="50"/>
      <c r="AA938" s="43"/>
    </row>
    <row r="939" spans="5:27" ht="15.75" customHeight="1">
      <c r="E939" s="50"/>
      <c r="AA939" s="43"/>
    </row>
    <row r="940" spans="5:27" ht="15.75" customHeight="1">
      <c r="E940" s="50"/>
      <c r="AA940" s="43"/>
    </row>
    <row r="941" spans="5:27" ht="15.75" customHeight="1">
      <c r="E941" s="50"/>
      <c r="AA941" s="43"/>
    </row>
    <row r="942" spans="5:27" ht="15.75" customHeight="1">
      <c r="E942" s="50"/>
      <c r="AA942" s="43"/>
    </row>
    <row r="943" spans="5:27" ht="15.75" customHeight="1">
      <c r="E943" s="50"/>
      <c r="AA943" s="43"/>
    </row>
    <row r="944" spans="5:27" ht="15.75" customHeight="1">
      <c r="E944" s="50"/>
      <c r="AA944" s="43"/>
    </row>
    <row r="945" spans="5:27" ht="15.75" customHeight="1">
      <c r="E945" s="50"/>
      <c r="AA945" s="43"/>
    </row>
    <row r="946" spans="5:27" ht="15.75" customHeight="1">
      <c r="E946" s="50"/>
      <c r="AA946" s="43"/>
    </row>
    <row r="947" spans="5:27" ht="15.75" customHeight="1">
      <c r="E947" s="50"/>
      <c r="AA947" s="43"/>
    </row>
    <row r="948" spans="5:27" ht="15.75" customHeight="1">
      <c r="E948" s="50"/>
      <c r="AA948" s="43"/>
    </row>
    <row r="949" spans="5:27" ht="15.75" customHeight="1">
      <c r="E949" s="50"/>
      <c r="AA949" s="43"/>
    </row>
    <row r="950" spans="5:27" ht="15.75" customHeight="1">
      <c r="E950" s="50"/>
      <c r="AA950" s="43"/>
    </row>
    <row r="951" spans="5:27" ht="15.75" customHeight="1">
      <c r="E951" s="50"/>
      <c r="AA951" s="43"/>
    </row>
    <row r="952" spans="5:27" ht="15.75" customHeight="1">
      <c r="E952" s="50"/>
      <c r="AA952" s="43"/>
    </row>
    <row r="953" spans="5:27" ht="15.75" customHeight="1">
      <c r="E953" s="50"/>
      <c r="AA953" s="43"/>
    </row>
    <row r="954" spans="5:27" ht="15.75" customHeight="1">
      <c r="E954" s="50"/>
      <c r="AA954" s="43"/>
    </row>
    <row r="955" spans="5:27" ht="15.75" customHeight="1">
      <c r="E955" s="50"/>
      <c r="AA955" s="43"/>
    </row>
    <row r="956" spans="5:27" ht="15.75" customHeight="1">
      <c r="E956" s="50"/>
      <c r="AA956" s="43"/>
    </row>
    <row r="957" spans="5:27" ht="15.75" customHeight="1">
      <c r="E957" s="50"/>
      <c r="AA957" s="43"/>
    </row>
    <row r="958" spans="5:27" ht="15.75" customHeight="1">
      <c r="E958" s="50"/>
      <c r="AA958" s="43"/>
    </row>
    <row r="959" spans="5:27" ht="15.75" customHeight="1">
      <c r="E959" s="50"/>
      <c r="AA959" s="43"/>
    </row>
    <row r="960" spans="5:27" ht="15.75" customHeight="1">
      <c r="E960" s="50"/>
      <c r="AA960" s="43"/>
    </row>
    <row r="961" spans="5:27" ht="15.75" customHeight="1">
      <c r="E961" s="50"/>
      <c r="AA961" s="43"/>
    </row>
    <row r="962" spans="5:27" ht="15.75" customHeight="1">
      <c r="E962" s="50"/>
      <c r="AA962" s="43"/>
    </row>
    <row r="963" spans="5:27" ht="15.75" customHeight="1">
      <c r="E963" s="50"/>
      <c r="AA963" s="43"/>
    </row>
    <row r="964" spans="5:27" ht="15.75" customHeight="1">
      <c r="E964" s="50"/>
      <c r="AA964" s="43"/>
    </row>
    <row r="965" spans="5:27" ht="15.75" customHeight="1">
      <c r="E965" s="50"/>
      <c r="AA965" s="43"/>
    </row>
    <row r="966" spans="5:27" ht="15.75" customHeight="1">
      <c r="E966" s="50"/>
      <c r="AA966" s="43"/>
    </row>
    <row r="967" spans="5:27" ht="15.75" customHeight="1">
      <c r="E967" s="50"/>
      <c r="AA967" s="43"/>
    </row>
    <row r="968" spans="5:27" ht="15.75" customHeight="1">
      <c r="E968" s="50"/>
      <c r="AA968" s="43"/>
    </row>
    <row r="969" spans="5:27" ht="15.75" customHeight="1">
      <c r="E969" s="50"/>
      <c r="AA969" s="43"/>
    </row>
    <row r="970" spans="5:27" ht="15.75" customHeight="1">
      <c r="E970" s="50"/>
      <c r="AA970" s="43"/>
    </row>
    <row r="971" spans="5:27" ht="15.75" customHeight="1">
      <c r="E971" s="50"/>
      <c r="AA971" s="43"/>
    </row>
    <row r="972" spans="5:27" ht="15.75" customHeight="1">
      <c r="E972" s="50"/>
      <c r="AA972" s="43"/>
    </row>
    <row r="973" spans="5:27" ht="15.75" customHeight="1">
      <c r="E973" s="50"/>
      <c r="AA973" s="43"/>
    </row>
    <row r="974" spans="5:27" ht="15.75" customHeight="1">
      <c r="E974" s="50"/>
      <c r="AA974" s="43"/>
    </row>
    <row r="975" spans="5:27" ht="15.75" customHeight="1">
      <c r="E975" s="50"/>
      <c r="AA975" s="43"/>
    </row>
    <row r="976" spans="5:27" ht="15.75" customHeight="1">
      <c r="E976" s="50"/>
      <c r="AA976" s="43"/>
    </row>
    <row r="977" spans="5:27" ht="15.75" customHeight="1">
      <c r="E977" s="50"/>
      <c r="AA977" s="43"/>
    </row>
    <row r="978" spans="5:27" ht="15.75" customHeight="1">
      <c r="E978" s="50"/>
      <c r="AA978" s="43"/>
    </row>
    <row r="979" spans="5:27" ht="15.75" customHeight="1">
      <c r="E979" s="50"/>
      <c r="AA979" s="43"/>
    </row>
    <row r="980" spans="5:27" ht="15.75" customHeight="1">
      <c r="E980" s="50"/>
      <c r="AA980" s="43"/>
    </row>
    <row r="981" spans="5:27" ht="15.75" customHeight="1">
      <c r="E981" s="50"/>
      <c r="AA981" s="43"/>
    </row>
    <row r="982" spans="5:27" ht="15.75" customHeight="1">
      <c r="E982" s="50"/>
      <c r="AA982" s="43"/>
    </row>
    <row r="983" spans="5:27" ht="15.75" customHeight="1">
      <c r="E983" s="50"/>
      <c r="AA983" s="43"/>
    </row>
    <row r="984" spans="5:27" ht="15.75" customHeight="1">
      <c r="E984" s="50"/>
      <c r="AA984" s="43"/>
    </row>
    <row r="985" spans="5:27" ht="15.75" customHeight="1">
      <c r="E985" s="50"/>
      <c r="AA985" s="43"/>
    </row>
    <row r="986" spans="5:27" ht="15.75" customHeight="1">
      <c r="E986" s="50"/>
      <c r="AA986" s="43"/>
    </row>
    <row r="987" spans="5:27" ht="15.75" customHeight="1">
      <c r="E987" s="50"/>
      <c r="AA987" s="43"/>
    </row>
    <row r="988" spans="5:27" ht="15.75" customHeight="1">
      <c r="E988" s="50"/>
      <c r="AA988" s="43"/>
    </row>
    <row r="989" spans="5:27" ht="15.75" customHeight="1">
      <c r="E989" s="50"/>
      <c r="AA989" s="43"/>
    </row>
    <row r="990" spans="5:27" ht="15.75" customHeight="1">
      <c r="E990" s="50"/>
      <c r="AA990" s="43"/>
    </row>
    <row r="991" spans="5:27" ht="15.75" customHeight="1">
      <c r="E991" s="50"/>
      <c r="AA991" s="43"/>
    </row>
    <row r="992" spans="5:27" ht="15.75" customHeight="1">
      <c r="E992" s="50"/>
      <c r="AA992" s="43"/>
    </row>
    <row r="993" spans="5:27" ht="15.75" customHeight="1">
      <c r="E993" s="50"/>
      <c r="AA993" s="43"/>
    </row>
    <row r="994" spans="5:27" ht="15.75" customHeight="1">
      <c r="E994" s="50"/>
      <c r="AA994" s="43"/>
    </row>
    <row r="995" spans="5:27" ht="15.75" customHeight="1">
      <c r="E995" s="50"/>
      <c r="AA995" s="43"/>
    </row>
    <row r="996" spans="5:27" ht="15.75" customHeight="1">
      <c r="E996" s="50"/>
      <c r="AA996" s="43"/>
    </row>
    <row r="997" spans="5:27" ht="15.75" customHeight="1">
      <c r="E997" s="50"/>
      <c r="AA997" s="43"/>
    </row>
    <row r="998" spans="5:27" ht="15.75" customHeight="1">
      <c r="E998" s="50"/>
      <c r="AA998" s="43"/>
    </row>
    <row r="999" spans="5:27" ht="15.75" customHeight="1">
      <c r="E999" s="50"/>
      <c r="AA999" s="43"/>
    </row>
    <row r="1000" spans="5:27" ht="15.75" customHeight="1">
      <c r="E1000" s="50"/>
      <c r="AA1000" s="43"/>
    </row>
    <row r="1001" spans="5:27" ht="15.75" customHeight="1">
      <c r="E1001" s="50"/>
      <c r="AA1001" s="43"/>
    </row>
    <row r="1002" spans="5:27" ht="15.75" customHeight="1">
      <c r="E1002" s="50"/>
      <c r="AA1002" s="43"/>
    </row>
    <row r="1003" spans="5:27" ht="15.75" customHeight="1">
      <c r="E1003" s="50"/>
      <c r="AA1003" s="43"/>
    </row>
    <row r="1004" spans="5:27" ht="15.75" customHeight="1">
      <c r="E1004" s="50"/>
      <c r="AA1004" s="43"/>
    </row>
    <row r="1005" spans="5:27" ht="15.75" customHeight="1">
      <c r="E1005" s="50"/>
      <c r="AA1005" s="43"/>
    </row>
    <row r="1006" spans="5:27" ht="15.75" customHeight="1">
      <c r="E1006" s="50"/>
      <c r="AA1006" s="43"/>
    </row>
    <row r="1007" spans="5:27" ht="15.75" customHeight="1">
      <c r="E1007" s="50"/>
      <c r="AA1007" s="43"/>
    </row>
    <row r="1008" spans="5:27" ht="15.75" customHeight="1">
      <c r="E1008" s="50"/>
      <c r="AA1008" s="43"/>
    </row>
    <row r="1009" spans="5:27" ht="15.75" customHeight="1">
      <c r="E1009" s="50"/>
      <c r="AA1009" s="43"/>
    </row>
    <row r="1010" spans="5:27" ht="15.75" customHeight="1">
      <c r="E1010" s="50"/>
      <c r="AA1010" s="43"/>
    </row>
    <row r="1011" spans="5:27" ht="15.75" customHeight="1">
      <c r="E1011" s="50"/>
      <c r="AA1011" s="43"/>
    </row>
    <row r="1012" spans="5:27" ht="15.75" customHeight="1">
      <c r="E1012" s="50"/>
      <c r="AA1012" s="43"/>
    </row>
    <row r="1013" spans="5:27" ht="15.75" customHeight="1">
      <c r="E1013" s="50"/>
      <c r="AA1013" s="43"/>
    </row>
    <row r="1014" spans="5:27" ht="15.75" customHeight="1">
      <c r="E1014" s="50"/>
      <c r="AA1014" s="43"/>
    </row>
    <row r="1015" spans="5:27" ht="15.75" customHeight="1">
      <c r="E1015" s="50"/>
      <c r="AA1015" s="43"/>
    </row>
    <row r="1016" spans="5:27" ht="15.75" customHeight="1">
      <c r="E1016" s="50"/>
      <c r="AA1016" s="43"/>
    </row>
    <row r="1017" spans="5:27" ht="15.75" customHeight="1">
      <c r="E1017" s="50"/>
      <c r="AA1017" s="43"/>
    </row>
    <row r="1018" spans="5:27" ht="15.75" customHeight="1">
      <c r="E1018" s="50"/>
      <c r="AA1018" s="43"/>
    </row>
    <row r="1019" spans="5:27" ht="15.75" customHeight="1">
      <c r="E1019" s="50"/>
      <c r="AA1019" s="43"/>
    </row>
    <row r="1020" spans="5:27" ht="15.75" customHeight="1">
      <c r="E1020" s="50"/>
      <c r="AA1020" s="43"/>
    </row>
    <row r="1021" spans="5:27" ht="15.75" customHeight="1">
      <c r="E1021" s="50"/>
      <c r="AA1021" s="43"/>
    </row>
    <row r="1022" spans="5:27" ht="15.75" customHeight="1">
      <c r="E1022" s="50"/>
      <c r="AA1022" s="43"/>
    </row>
    <row r="1023" spans="5:27" ht="15.75" customHeight="1">
      <c r="E1023" s="50"/>
      <c r="AA1023" s="43"/>
    </row>
    <row r="1024" spans="5:27" ht="15.75" customHeight="1">
      <c r="E1024" s="50"/>
      <c r="AA1024" s="43"/>
    </row>
    <row r="1025" spans="5:27" ht="15.75" customHeight="1">
      <c r="E1025" s="50"/>
      <c r="AA1025" s="43"/>
    </row>
  </sheetData>
  <pageMargins left="0.7" right="0.7" top="0.75" bottom="0.75" header="0" footer="0"/>
  <pageSetup paperSize="8" orientation="portrait"/>
  <rowBreaks count="1" manualBreakCount="1">
    <brk id="168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pane xSplit="6" ySplit="3" topLeftCell="X4" activePane="bottomRight" state="frozen"/>
      <selection pane="topRight" activeCell="G1" sqref="G1"/>
      <selection pane="bottomLeft" activeCell="A4" sqref="A4"/>
      <selection pane="bottomRight" activeCell="AA233" sqref="AA233:AA268"/>
    </sheetView>
  </sheetViews>
  <sheetFormatPr baseColWidth="10" defaultColWidth="14.5" defaultRowHeight="15" customHeight="1"/>
  <cols>
    <col min="1" max="1" width="9.1640625" customWidth="1"/>
    <col min="2" max="2" width="19.1640625" customWidth="1"/>
    <col min="3" max="3" width="28.5" customWidth="1"/>
    <col min="4" max="4" width="31.6640625" customWidth="1"/>
    <col min="5" max="5" width="9.33203125" customWidth="1"/>
    <col min="6" max="6" width="10.33203125" bestFit="1" customWidth="1"/>
    <col min="7" max="13" width="19.83203125" customWidth="1"/>
    <col min="14" max="14" width="17.1640625" customWidth="1"/>
    <col min="15" max="15" width="19.83203125" customWidth="1"/>
    <col min="16" max="23" width="0.1640625" customWidth="1"/>
    <col min="24" max="24" width="23.83203125" customWidth="1"/>
    <col min="25" max="25" width="19.83203125" customWidth="1"/>
    <col min="26" max="26" width="50.1640625" customWidth="1"/>
    <col min="27" max="27" width="27.5" customWidth="1"/>
    <col min="28" max="28" width="28.6640625" customWidth="1"/>
    <col min="29" max="29" width="35.1640625" customWidth="1"/>
    <col min="30" max="32" width="8.6640625" customWidth="1"/>
  </cols>
  <sheetData>
    <row r="1" spans="2:32" ht="21" customHeight="1">
      <c r="B1" s="2" t="s">
        <v>390</v>
      </c>
      <c r="C1" s="1"/>
      <c r="D1" s="3"/>
      <c r="E1" s="3"/>
      <c r="F1" s="5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52"/>
      <c r="T1" s="52"/>
      <c r="U1" s="52"/>
      <c r="V1" s="52"/>
      <c r="W1" s="52"/>
      <c r="X1" s="52"/>
      <c r="Y1" s="52"/>
      <c r="Z1" s="1"/>
      <c r="AA1" s="1"/>
      <c r="AB1" s="1"/>
      <c r="AC1" s="1"/>
      <c r="AD1" s="1"/>
      <c r="AE1" s="1"/>
      <c r="AF1" s="1"/>
    </row>
    <row r="2" spans="2:32" ht="21" customHeight="1">
      <c r="B2" s="53"/>
      <c r="C2" s="1"/>
      <c r="D2" s="3"/>
      <c r="E2" s="3"/>
      <c r="F2" s="51"/>
      <c r="G2" s="1">
        <v>6</v>
      </c>
      <c r="H2" s="1">
        <v>7</v>
      </c>
      <c r="I2" s="1">
        <v>8</v>
      </c>
      <c r="J2" s="1">
        <v>9</v>
      </c>
      <c r="K2" s="1"/>
      <c r="L2" s="1"/>
      <c r="M2" s="1">
        <v>9</v>
      </c>
      <c r="N2" s="1"/>
      <c r="O2" s="1"/>
      <c r="P2" s="1"/>
      <c r="Q2" s="1"/>
      <c r="R2" s="1"/>
      <c r="S2" s="52"/>
      <c r="T2" s="52"/>
      <c r="U2" s="52"/>
      <c r="V2" s="52"/>
      <c r="W2" s="52"/>
      <c r="X2" s="52"/>
      <c r="Y2" s="52"/>
      <c r="Z2" s="1"/>
      <c r="AA2" s="1"/>
      <c r="AB2" s="1"/>
      <c r="AC2" s="1"/>
      <c r="AD2" s="1"/>
      <c r="AE2" s="1"/>
      <c r="AF2" s="1"/>
    </row>
    <row r="3" spans="2:32" ht="21" customHeight="1">
      <c r="B3" s="6" t="s">
        <v>1</v>
      </c>
      <c r="C3" s="54" t="s">
        <v>2</v>
      </c>
      <c r="D3" s="55"/>
      <c r="E3" s="8" t="s">
        <v>3</v>
      </c>
      <c r="F3" s="56" t="s">
        <v>4</v>
      </c>
      <c r="G3" s="11">
        <v>45107</v>
      </c>
      <c r="H3" s="11">
        <v>45138</v>
      </c>
      <c r="I3" s="11">
        <v>45169</v>
      </c>
      <c r="J3" s="11">
        <v>45199</v>
      </c>
      <c r="K3" s="11">
        <v>45230</v>
      </c>
      <c r="L3" s="11">
        <v>45260</v>
      </c>
      <c r="M3" s="11">
        <v>45283</v>
      </c>
      <c r="N3" s="11">
        <v>45314</v>
      </c>
      <c r="O3" s="11">
        <v>45345</v>
      </c>
      <c r="P3" s="11">
        <v>45374</v>
      </c>
      <c r="Q3" s="11">
        <v>45405</v>
      </c>
      <c r="R3" s="11">
        <v>45435</v>
      </c>
      <c r="S3" s="11">
        <v>45466</v>
      </c>
      <c r="T3" s="11">
        <v>45496</v>
      </c>
      <c r="U3" s="11">
        <v>45527</v>
      </c>
      <c r="V3" s="11">
        <v>45564</v>
      </c>
      <c r="W3" s="11">
        <v>45594</v>
      </c>
      <c r="X3" s="11">
        <v>45625</v>
      </c>
      <c r="Y3" s="11">
        <v>45663</v>
      </c>
      <c r="Z3" s="57" t="s">
        <v>6</v>
      </c>
      <c r="AA3" s="320" t="s">
        <v>1424</v>
      </c>
      <c r="AB3" s="320" t="s">
        <v>1425</v>
      </c>
      <c r="AC3" s="320" t="s">
        <v>1426</v>
      </c>
      <c r="AD3" s="14"/>
      <c r="AE3" s="14"/>
      <c r="AF3" s="14"/>
    </row>
    <row r="4" spans="2:32" ht="21" customHeight="1">
      <c r="B4" s="58"/>
      <c r="C4" s="59" t="s">
        <v>391</v>
      </c>
      <c r="D4" s="60"/>
      <c r="E4" s="61"/>
      <c r="F4" s="62"/>
      <c r="G4" s="25"/>
      <c r="H4" s="25"/>
      <c r="I4" s="25"/>
      <c r="J4" s="25"/>
      <c r="K4" s="25"/>
      <c r="L4" s="25"/>
      <c r="M4" s="25"/>
      <c r="N4" s="63"/>
      <c r="O4" s="27"/>
      <c r="P4" s="64"/>
      <c r="Q4" s="64"/>
      <c r="R4" s="64"/>
      <c r="S4" s="65"/>
      <c r="T4" s="65"/>
      <c r="U4" s="65"/>
      <c r="V4" s="65"/>
      <c r="W4" s="65"/>
      <c r="X4" s="65"/>
      <c r="Y4" s="65"/>
      <c r="Z4" s="66"/>
    </row>
    <row r="5" spans="2:32" ht="21" customHeight="1">
      <c r="B5" s="67">
        <v>1</v>
      </c>
      <c r="C5" s="68" t="s">
        <v>392</v>
      </c>
      <c r="D5" s="69" t="s">
        <v>393</v>
      </c>
      <c r="E5" s="70">
        <v>1</v>
      </c>
      <c r="F5" s="71" t="s">
        <v>394</v>
      </c>
      <c r="G5" s="25"/>
      <c r="H5" s="25"/>
      <c r="I5" s="25"/>
      <c r="J5" s="26"/>
      <c r="K5" s="26"/>
      <c r="L5" s="26"/>
      <c r="M5" s="26"/>
      <c r="N5" s="63"/>
      <c r="O5" s="26"/>
      <c r="P5" s="64"/>
      <c r="Q5" s="64"/>
      <c r="R5" s="64"/>
      <c r="S5" s="65">
        <v>6144.0677966101703</v>
      </c>
      <c r="T5" s="65">
        <v>6144.0677966101703</v>
      </c>
      <c r="U5" s="65">
        <v>6144.0677966101703</v>
      </c>
      <c r="V5" s="65">
        <v>6144.0677966101703</v>
      </c>
      <c r="W5" s="65">
        <v>6144.0677966101703</v>
      </c>
      <c r="X5" s="65">
        <v>6144.0677966101703</v>
      </c>
      <c r="Y5" s="65">
        <v>6144.0677966101703</v>
      </c>
      <c r="Z5" s="72" t="s">
        <v>395</v>
      </c>
      <c r="AA5" s="59" t="s">
        <v>391</v>
      </c>
    </row>
    <row r="6" spans="2:32" ht="21" customHeight="1">
      <c r="B6" s="67">
        <v>2</v>
      </c>
      <c r="C6" s="68" t="s">
        <v>396</v>
      </c>
      <c r="D6" s="69" t="s">
        <v>397</v>
      </c>
      <c r="E6" s="70">
        <v>1</v>
      </c>
      <c r="F6" s="71" t="s">
        <v>394</v>
      </c>
      <c r="G6" s="25"/>
      <c r="H6" s="25"/>
      <c r="I6" s="25"/>
      <c r="J6" s="25"/>
      <c r="K6" s="25"/>
      <c r="L6" s="25"/>
      <c r="M6" s="25"/>
      <c r="N6" s="63"/>
      <c r="O6" s="26"/>
      <c r="P6" s="64"/>
      <c r="Q6" s="64"/>
      <c r="R6" s="64"/>
      <c r="S6" s="65">
        <v>12279.661016949152</v>
      </c>
      <c r="T6" s="65">
        <v>12279.661016949152</v>
      </c>
      <c r="U6" s="65">
        <v>12279.661016949152</v>
      </c>
      <c r="V6" s="65">
        <v>12279.661016949152</v>
      </c>
      <c r="W6" s="65">
        <v>12279.661016949152</v>
      </c>
      <c r="X6" s="65">
        <v>12279.661016949152</v>
      </c>
      <c r="Y6" s="65">
        <v>12279.661016949152</v>
      </c>
      <c r="Z6" s="72" t="s">
        <v>395</v>
      </c>
      <c r="AA6" s="59" t="s">
        <v>391</v>
      </c>
    </row>
    <row r="7" spans="2:32" ht="21" customHeight="1">
      <c r="B7" s="67">
        <v>3</v>
      </c>
      <c r="C7" s="68" t="s">
        <v>398</v>
      </c>
      <c r="D7" s="69" t="s">
        <v>399</v>
      </c>
      <c r="E7" s="70">
        <v>1</v>
      </c>
      <c r="F7" s="71" t="s">
        <v>394</v>
      </c>
      <c r="G7" s="32"/>
      <c r="H7" s="32"/>
      <c r="I7" s="32"/>
      <c r="J7" s="32"/>
      <c r="K7" s="32"/>
      <c r="L7" s="32"/>
      <c r="M7" s="31"/>
      <c r="N7" s="73"/>
      <c r="O7" s="32"/>
      <c r="P7" s="64"/>
      <c r="Q7" s="64"/>
      <c r="R7" s="64"/>
      <c r="S7" s="65">
        <v>16500</v>
      </c>
      <c r="T7" s="65">
        <v>16500</v>
      </c>
      <c r="U7" s="65">
        <v>16500</v>
      </c>
      <c r="V7" s="65">
        <v>16500</v>
      </c>
      <c r="W7" s="65">
        <v>16500</v>
      </c>
      <c r="X7" s="65">
        <v>16500</v>
      </c>
      <c r="Y7" s="65">
        <v>16500</v>
      </c>
      <c r="Z7" s="72" t="s">
        <v>395</v>
      </c>
      <c r="AA7" s="59" t="s">
        <v>391</v>
      </c>
    </row>
    <row r="8" spans="2:32" ht="21" customHeight="1">
      <c r="B8" s="67">
        <v>4</v>
      </c>
      <c r="C8" s="68" t="s">
        <v>400</v>
      </c>
      <c r="D8" s="69" t="s">
        <v>401</v>
      </c>
      <c r="E8" s="70">
        <v>1</v>
      </c>
      <c r="F8" s="71" t="s">
        <v>394</v>
      </c>
      <c r="G8" s="32"/>
      <c r="H8" s="32"/>
      <c r="I8" s="32"/>
      <c r="J8" s="32"/>
      <c r="K8" s="32"/>
      <c r="L8" s="32"/>
      <c r="M8" s="32"/>
      <c r="N8" s="73"/>
      <c r="O8" s="32"/>
      <c r="P8" s="64"/>
      <c r="Q8" s="64"/>
      <c r="R8" s="64"/>
      <c r="S8" s="65">
        <v>28576.271186440681</v>
      </c>
      <c r="T8" s="65">
        <v>28576.271186440681</v>
      </c>
      <c r="U8" s="65">
        <v>28576.271186440681</v>
      </c>
      <c r="V8" s="65">
        <v>28576.271186440681</v>
      </c>
      <c r="W8" s="65">
        <v>28576.271186440681</v>
      </c>
      <c r="X8" s="65">
        <v>28576.271186440681</v>
      </c>
      <c r="Y8" s="65">
        <v>28576.271186440681</v>
      </c>
      <c r="Z8" s="72" t="s">
        <v>395</v>
      </c>
      <c r="AA8" s="59" t="s">
        <v>391</v>
      </c>
    </row>
    <row r="9" spans="2:32" ht="21" customHeight="1">
      <c r="B9" s="67">
        <v>5</v>
      </c>
      <c r="C9" s="68" t="s">
        <v>402</v>
      </c>
      <c r="D9" s="69" t="s">
        <v>403</v>
      </c>
      <c r="E9" s="70">
        <v>1</v>
      </c>
      <c r="F9" s="74" t="s">
        <v>394</v>
      </c>
      <c r="G9" s="32"/>
      <c r="H9" s="32"/>
      <c r="I9" s="32"/>
      <c r="J9" s="32"/>
      <c r="K9" s="32"/>
      <c r="L9" s="32"/>
      <c r="M9" s="32"/>
      <c r="N9" s="73"/>
      <c r="O9" s="32"/>
      <c r="P9" s="64"/>
      <c r="Q9" s="64"/>
      <c r="R9" s="64"/>
      <c r="S9" s="65">
        <v>43423.728813559326</v>
      </c>
      <c r="T9" s="65">
        <v>43423.728813559326</v>
      </c>
      <c r="U9" s="65">
        <v>43423.728813559326</v>
      </c>
      <c r="V9" s="65">
        <v>43423.728813559326</v>
      </c>
      <c r="W9" s="65">
        <v>43423.728813559326</v>
      </c>
      <c r="X9" s="65">
        <v>43423.728813559326</v>
      </c>
      <c r="Y9" s="65">
        <v>43423.728813559326</v>
      </c>
      <c r="Z9" s="72" t="s">
        <v>395</v>
      </c>
      <c r="AA9" s="59" t="s">
        <v>391</v>
      </c>
    </row>
    <row r="10" spans="2:32" ht="21" customHeight="1">
      <c r="B10" s="67">
        <v>6</v>
      </c>
      <c r="C10" s="68" t="s">
        <v>404</v>
      </c>
      <c r="D10" s="69" t="s">
        <v>405</v>
      </c>
      <c r="E10" s="70">
        <v>1</v>
      </c>
      <c r="F10" s="74" t="s">
        <v>394</v>
      </c>
      <c r="G10" s="32"/>
      <c r="H10" s="32"/>
      <c r="I10" s="32"/>
      <c r="J10" s="32"/>
      <c r="K10" s="32"/>
      <c r="L10" s="32"/>
      <c r="M10" s="32"/>
      <c r="N10" s="73"/>
      <c r="O10" s="32"/>
      <c r="P10" s="64"/>
      <c r="Q10" s="64"/>
      <c r="R10" s="64"/>
      <c r="S10" s="65">
        <v>72966.101694915254</v>
      </c>
      <c r="T10" s="65">
        <v>72966.101694915254</v>
      </c>
      <c r="U10" s="65">
        <v>72966.101694915254</v>
      </c>
      <c r="V10" s="65">
        <v>72966.101694915254</v>
      </c>
      <c r="W10" s="65">
        <v>72966.101694915254</v>
      </c>
      <c r="X10" s="65">
        <v>72966.101694915254</v>
      </c>
      <c r="Y10" s="65">
        <v>72966.101694915254</v>
      </c>
      <c r="Z10" s="72" t="s">
        <v>395</v>
      </c>
      <c r="AA10" s="59" t="s">
        <v>391</v>
      </c>
    </row>
    <row r="11" spans="2:32" ht="21" customHeight="1">
      <c r="B11" s="67">
        <v>7</v>
      </c>
      <c r="C11" s="68" t="s">
        <v>406</v>
      </c>
      <c r="D11" s="69" t="s">
        <v>407</v>
      </c>
      <c r="E11" s="70">
        <v>1</v>
      </c>
      <c r="F11" s="74" t="s">
        <v>394</v>
      </c>
      <c r="G11" s="32"/>
      <c r="H11" s="32"/>
      <c r="I11" s="32"/>
      <c r="J11" s="32"/>
      <c r="K11" s="32"/>
      <c r="L11" s="32"/>
      <c r="M11" s="32"/>
      <c r="N11" s="73"/>
      <c r="O11" s="32"/>
      <c r="P11" s="64"/>
      <c r="Q11" s="64"/>
      <c r="R11" s="64"/>
      <c r="S11" s="65">
        <v>113525.42372881356</v>
      </c>
      <c r="T11" s="65">
        <v>113525.42372881356</v>
      </c>
      <c r="U11" s="65">
        <v>113525.42372881356</v>
      </c>
      <c r="V11" s="65">
        <v>113525.42372881356</v>
      </c>
      <c r="W11" s="65">
        <v>113525.42372881356</v>
      </c>
      <c r="X11" s="65">
        <v>113525.42372881356</v>
      </c>
      <c r="Y11" s="65">
        <v>113525.42372881356</v>
      </c>
      <c r="Z11" s="72" t="s">
        <v>395</v>
      </c>
      <c r="AA11" s="59" t="s">
        <v>391</v>
      </c>
    </row>
    <row r="12" spans="2:32" ht="21" customHeight="1">
      <c r="B12" s="67">
        <v>8</v>
      </c>
      <c r="C12" s="68" t="s">
        <v>408</v>
      </c>
      <c r="D12" s="69" t="s">
        <v>409</v>
      </c>
      <c r="E12" s="70">
        <v>1</v>
      </c>
      <c r="F12" s="74" t="s">
        <v>394</v>
      </c>
      <c r="G12" s="32"/>
      <c r="H12" s="32"/>
      <c r="I12" s="32"/>
      <c r="J12" s="32"/>
      <c r="K12" s="32"/>
      <c r="L12" s="32"/>
      <c r="M12" s="32"/>
      <c r="N12" s="73"/>
      <c r="O12" s="32"/>
      <c r="P12" s="64"/>
      <c r="Q12" s="64"/>
      <c r="R12" s="64"/>
      <c r="S12" s="65">
        <v>255245.76271186443</v>
      </c>
      <c r="T12" s="65">
        <v>255245.76271186443</v>
      </c>
      <c r="U12" s="65">
        <v>255245.76271186443</v>
      </c>
      <c r="V12" s="65">
        <v>255245.76271186443</v>
      </c>
      <c r="W12" s="65">
        <v>255245.76271186443</v>
      </c>
      <c r="X12" s="65">
        <v>255245.76271186443</v>
      </c>
      <c r="Y12" s="65">
        <v>255245.76271186443</v>
      </c>
      <c r="Z12" s="72" t="s">
        <v>395</v>
      </c>
      <c r="AA12" s="59" t="s">
        <v>391</v>
      </c>
    </row>
    <row r="13" spans="2:32" ht="21" customHeight="1">
      <c r="B13" s="67">
        <v>9</v>
      </c>
      <c r="C13" s="68" t="s">
        <v>410</v>
      </c>
      <c r="D13" s="69" t="s">
        <v>411</v>
      </c>
      <c r="E13" s="70">
        <v>1</v>
      </c>
      <c r="F13" s="74" t="s">
        <v>394</v>
      </c>
      <c r="G13" s="32"/>
      <c r="H13" s="32"/>
      <c r="I13" s="32"/>
      <c r="J13" s="32"/>
      <c r="K13" s="32"/>
      <c r="L13" s="32"/>
      <c r="M13" s="32"/>
      <c r="N13" s="73"/>
      <c r="O13" s="32"/>
      <c r="P13" s="64"/>
      <c r="Q13" s="64"/>
      <c r="R13" s="64"/>
      <c r="S13" s="65">
        <v>319050.84745762713</v>
      </c>
      <c r="T13" s="65">
        <v>319050.84745762713</v>
      </c>
      <c r="U13" s="65">
        <v>319050.84745762713</v>
      </c>
      <c r="V13" s="65">
        <v>319050.84745762713</v>
      </c>
      <c r="W13" s="65">
        <v>319050.84745762713</v>
      </c>
      <c r="X13" s="65">
        <v>319050.84745762713</v>
      </c>
      <c r="Y13" s="65">
        <v>319050.84745762713</v>
      </c>
      <c r="Z13" s="72" t="s">
        <v>395</v>
      </c>
      <c r="AA13" s="59" t="s">
        <v>391</v>
      </c>
    </row>
    <row r="14" spans="2:32" ht="21" customHeight="1">
      <c r="B14" s="67">
        <v>10</v>
      </c>
      <c r="C14" s="68" t="s">
        <v>412</v>
      </c>
      <c r="D14" s="69" t="s">
        <v>413</v>
      </c>
      <c r="E14" s="70">
        <v>1</v>
      </c>
      <c r="F14" s="74" t="s">
        <v>394</v>
      </c>
      <c r="G14" s="32"/>
      <c r="H14" s="32"/>
      <c r="I14" s="32"/>
      <c r="J14" s="32"/>
      <c r="K14" s="32"/>
      <c r="L14" s="32"/>
      <c r="M14" s="32"/>
      <c r="N14" s="73"/>
      <c r="O14" s="32"/>
      <c r="P14" s="64"/>
      <c r="Q14" s="64"/>
      <c r="R14" s="64"/>
      <c r="S14" s="65">
        <v>24237.288135593222</v>
      </c>
      <c r="T14" s="65">
        <v>24237.288135593222</v>
      </c>
      <c r="U14" s="65">
        <v>24237.288135593222</v>
      </c>
      <c r="V14" s="65">
        <v>24237.288135593222</v>
      </c>
      <c r="W14" s="65">
        <v>24237.288135593222</v>
      </c>
      <c r="X14" s="65">
        <v>24237.288135593222</v>
      </c>
      <c r="Y14" s="65">
        <v>24237.288135593222</v>
      </c>
      <c r="Z14" s="72" t="s">
        <v>395</v>
      </c>
      <c r="AA14" s="59" t="s">
        <v>391</v>
      </c>
    </row>
    <row r="15" spans="2:32" ht="21" customHeight="1">
      <c r="B15" s="67">
        <v>11</v>
      </c>
      <c r="C15" s="68" t="s">
        <v>414</v>
      </c>
      <c r="D15" s="69" t="s">
        <v>415</v>
      </c>
      <c r="E15" s="70">
        <v>1</v>
      </c>
      <c r="F15" s="74" t="s">
        <v>394</v>
      </c>
      <c r="G15" s="32"/>
      <c r="H15" s="32"/>
      <c r="I15" s="32"/>
      <c r="J15" s="32"/>
      <c r="K15" s="32"/>
      <c r="L15" s="32"/>
      <c r="M15" s="32"/>
      <c r="N15" s="73"/>
      <c r="O15" s="32"/>
      <c r="P15" s="64"/>
      <c r="Q15" s="64"/>
      <c r="R15" s="64"/>
      <c r="S15" s="65">
        <v>38093.220338983054</v>
      </c>
      <c r="T15" s="65">
        <v>38093.220338983054</v>
      </c>
      <c r="U15" s="65">
        <v>38093.220338983054</v>
      </c>
      <c r="V15" s="65">
        <v>38093.220338983054</v>
      </c>
      <c r="W15" s="65">
        <v>38093.220338983054</v>
      </c>
      <c r="X15" s="65">
        <v>38093.220338983054</v>
      </c>
      <c r="Y15" s="65">
        <v>38093.220338983054</v>
      </c>
      <c r="Z15" s="72" t="s">
        <v>395</v>
      </c>
      <c r="AA15" s="59" t="s">
        <v>391</v>
      </c>
    </row>
    <row r="16" spans="2:32" ht="21" customHeight="1">
      <c r="B16" s="67">
        <v>12</v>
      </c>
      <c r="C16" s="68" t="s">
        <v>416</v>
      </c>
      <c r="D16" s="69" t="s">
        <v>417</v>
      </c>
      <c r="E16" s="70">
        <v>1</v>
      </c>
      <c r="F16" s="74" t="s">
        <v>394</v>
      </c>
      <c r="G16" s="32"/>
      <c r="H16" s="32"/>
      <c r="I16" s="32"/>
      <c r="J16" s="32"/>
      <c r="K16" s="32"/>
      <c r="L16" s="32"/>
      <c r="M16" s="32"/>
      <c r="N16" s="73"/>
      <c r="O16" s="32"/>
      <c r="P16" s="64"/>
      <c r="Q16" s="64"/>
      <c r="R16" s="64"/>
      <c r="S16" s="65">
        <v>58889.830508474581</v>
      </c>
      <c r="T16" s="65">
        <v>58889.830508474581</v>
      </c>
      <c r="U16" s="65">
        <v>58889.830508474581</v>
      </c>
      <c r="V16" s="65">
        <v>58889.830508474581</v>
      </c>
      <c r="W16" s="65">
        <v>58889.830508474581</v>
      </c>
      <c r="X16" s="65">
        <v>58889.830508474581</v>
      </c>
      <c r="Y16" s="65">
        <v>58889.830508474581</v>
      </c>
      <c r="Z16" s="72" t="s">
        <v>395</v>
      </c>
      <c r="AA16" s="59" t="s">
        <v>391</v>
      </c>
    </row>
    <row r="17" spans="2:27" ht="21" customHeight="1">
      <c r="B17" s="67">
        <v>13</v>
      </c>
      <c r="C17" s="68" t="s">
        <v>418</v>
      </c>
      <c r="D17" s="69" t="s">
        <v>419</v>
      </c>
      <c r="E17" s="70">
        <v>1</v>
      </c>
      <c r="F17" s="74" t="s">
        <v>394</v>
      </c>
      <c r="G17" s="32"/>
      <c r="H17" s="32"/>
      <c r="I17" s="32"/>
      <c r="J17" s="32"/>
      <c r="K17" s="32"/>
      <c r="L17" s="32"/>
      <c r="M17" s="32"/>
      <c r="N17" s="73"/>
      <c r="O17" s="32"/>
      <c r="P17" s="64"/>
      <c r="Q17" s="64"/>
      <c r="R17" s="64"/>
      <c r="S17" s="65">
        <v>87728.813559322036</v>
      </c>
      <c r="T17" s="65">
        <v>87728.813559322036</v>
      </c>
      <c r="U17" s="65">
        <v>87728.813559322036</v>
      </c>
      <c r="V17" s="65">
        <v>87728.813559322036</v>
      </c>
      <c r="W17" s="65">
        <v>87728.813559322036</v>
      </c>
      <c r="X17" s="65">
        <v>87728.813559322036</v>
      </c>
      <c r="Y17" s="65">
        <v>87728.813559322036</v>
      </c>
      <c r="Z17" s="72" t="s">
        <v>395</v>
      </c>
      <c r="AA17" s="59" t="s">
        <v>391</v>
      </c>
    </row>
    <row r="18" spans="2:27" ht="21" customHeight="1">
      <c r="B18" s="67">
        <v>14</v>
      </c>
      <c r="C18" s="68" t="s">
        <v>420</v>
      </c>
      <c r="D18" s="69" t="s">
        <v>421</v>
      </c>
      <c r="E18" s="70">
        <v>1</v>
      </c>
      <c r="F18" s="74" t="s">
        <v>394</v>
      </c>
      <c r="G18" s="32"/>
      <c r="H18" s="32"/>
      <c r="I18" s="32"/>
      <c r="J18" s="32"/>
      <c r="K18" s="32"/>
      <c r="L18" s="32"/>
      <c r="M18" s="32"/>
      <c r="N18" s="73"/>
      <c r="O18" s="32"/>
      <c r="P18" s="64"/>
      <c r="Q18" s="64"/>
      <c r="R18" s="64"/>
      <c r="S18" s="65">
        <v>147932.20338983051</v>
      </c>
      <c r="T18" s="65">
        <v>147932.20338983051</v>
      </c>
      <c r="U18" s="65">
        <v>147932.20338983051</v>
      </c>
      <c r="V18" s="65">
        <v>147932.20338983051</v>
      </c>
      <c r="W18" s="65">
        <v>147932.20338983051</v>
      </c>
      <c r="X18" s="65">
        <v>147932.20338983051</v>
      </c>
      <c r="Y18" s="65">
        <v>147932.20338983051</v>
      </c>
      <c r="Z18" s="72" t="s">
        <v>395</v>
      </c>
      <c r="AA18" s="59" t="s">
        <v>391</v>
      </c>
    </row>
    <row r="19" spans="2:27" ht="21" customHeight="1">
      <c r="B19" s="67">
        <v>15</v>
      </c>
      <c r="C19" s="68" t="s">
        <v>422</v>
      </c>
      <c r="D19" s="69" t="s">
        <v>423</v>
      </c>
      <c r="E19" s="70">
        <v>1</v>
      </c>
      <c r="F19" s="74" t="s">
        <v>394</v>
      </c>
      <c r="G19" s="32"/>
      <c r="H19" s="32"/>
      <c r="I19" s="32"/>
      <c r="J19" s="32"/>
      <c r="K19" s="32"/>
      <c r="L19" s="32"/>
      <c r="M19" s="32"/>
      <c r="N19" s="73"/>
      <c r="O19" s="32"/>
      <c r="P19" s="64"/>
      <c r="Q19" s="64"/>
      <c r="R19" s="64"/>
      <c r="S19" s="65">
        <v>228872.88135593222</v>
      </c>
      <c r="T19" s="65">
        <v>228872.88135593222</v>
      </c>
      <c r="U19" s="65">
        <v>228872.88135593222</v>
      </c>
      <c r="V19" s="65">
        <v>228872.88135593222</v>
      </c>
      <c r="W19" s="65">
        <v>228872.88135593222</v>
      </c>
      <c r="X19" s="65">
        <v>228872.88135593222</v>
      </c>
      <c r="Y19" s="65">
        <v>228872.88135593222</v>
      </c>
      <c r="Z19" s="72" t="s">
        <v>395</v>
      </c>
      <c r="AA19" s="59" t="s">
        <v>391</v>
      </c>
    </row>
    <row r="20" spans="2:27" ht="21" customHeight="1">
      <c r="B20" s="67">
        <v>16</v>
      </c>
      <c r="C20" s="75" t="s">
        <v>424</v>
      </c>
      <c r="D20" s="76" t="s">
        <v>425</v>
      </c>
      <c r="E20" s="70">
        <v>1</v>
      </c>
      <c r="F20" s="77" t="s">
        <v>394</v>
      </c>
      <c r="G20" s="32"/>
      <c r="H20" s="32"/>
      <c r="I20" s="32"/>
      <c r="J20" s="32"/>
      <c r="K20" s="32"/>
      <c r="L20" s="32"/>
      <c r="M20" s="32"/>
      <c r="N20" s="73"/>
      <c r="O20" s="32"/>
      <c r="P20" s="64"/>
      <c r="Q20" s="64"/>
      <c r="R20" s="64"/>
      <c r="S20" s="65">
        <v>5932.203389830509</v>
      </c>
      <c r="T20" s="65">
        <v>5932.203389830509</v>
      </c>
      <c r="U20" s="65">
        <v>5932.203389830509</v>
      </c>
      <c r="V20" s="65">
        <v>5932.203389830509</v>
      </c>
      <c r="W20" s="65">
        <v>5932.203389830509</v>
      </c>
      <c r="X20" s="65">
        <v>5932.203389830509</v>
      </c>
      <c r="Y20" s="65">
        <v>5932.203389830509</v>
      </c>
      <c r="Z20" s="72" t="s">
        <v>395</v>
      </c>
      <c r="AA20" s="59" t="s">
        <v>391</v>
      </c>
    </row>
    <row r="21" spans="2:27" ht="21" customHeight="1">
      <c r="B21" s="67">
        <v>17</v>
      </c>
      <c r="C21" s="75" t="s">
        <v>426</v>
      </c>
      <c r="D21" s="76" t="s">
        <v>427</v>
      </c>
      <c r="E21" s="70">
        <v>1</v>
      </c>
      <c r="F21" s="77" t="s">
        <v>394</v>
      </c>
      <c r="G21" s="32"/>
      <c r="H21" s="32"/>
      <c r="I21" s="32"/>
      <c r="J21" s="32"/>
      <c r="K21" s="32"/>
      <c r="L21" s="32"/>
      <c r="M21" s="32"/>
      <c r="N21" s="73"/>
      <c r="O21" s="32"/>
      <c r="P21" s="64"/>
      <c r="Q21" s="64"/>
      <c r="R21" s="64"/>
      <c r="S21" s="65">
        <v>10635.593220338984</v>
      </c>
      <c r="T21" s="65">
        <v>10635.593220338984</v>
      </c>
      <c r="U21" s="65">
        <v>10635.593220338984</v>
      </c>
      <c r="V21" s="65">
        <v>10635.593220338984</v>
      </c>
      <c r="W21" s="65">
        <v>10635.593220338984</v>
      </c>
      <c r="X21" s="65">
        <v>10635.593220338984</v>
      </c>
      <c r="Y21" s="65">
        <v>10635.593220338984</v>
      </c>
      <c r="Z21" s="72" t="s">
        <v>395</v>
      </c>
      <c r="AA21" s="59" t="s">
        <v>391</v>
      </c>
    </row>
    <row r="22" spans="2:27" ht="21" customHeight="1">
      <c r="B22" s="67">
        <v>18</v>
      </c>
      <c r="C22" s="75" t="s">
        <v>428</v>
      </c>
      <c r="D22" s="76" t="s">
        <v>429</v>
      </c>
      <c r="E22" s="70">
        <v>1</v>
      </c>
      <c r="F22" s="77" t="s">
        <v>394</v>
      </c>
      <c r="G22" s="32"/>
      <c r="H22" s="32"/>
      <c r="I22" s="32"/>
      <c r="J22" s="32"/>
      <c r="K22" s="32"/>
      <c r="L22" s="32"/>
      <c r="M22" s="32"/>
      <c r="N22" s="73"/>
      <c r="O22" s="32"/>
      <c r="P22" s="64"/>
      <c r="Q22" s="64"/>
      <c r="R22" s="64"/>
      <c r="S22" s="65">
        <v>26889.830508474577</v>
      </c>
      <c r="T22" s="65">
        <v>26889.830508474577</v>
      </c>
      <c r="U22" s="65">
        <v>26889.830508474577</v>
      </c>
      <c r="V22" s="65">
        <v>26889.830508474577</v>
      </c>
      <c r="W22" s="65">
        <v>26889.830508474577</v>
      </c>
      <c r="X22" s="65">
        <v>26889.830508474577</v>
      </c>
      <c r="Y22" s="65">
        <v>26889.830508474577</v>
      </c>
      <c r="Z22" s="72" t="s">
        <v>395</v>
      </c>
      <c r="AA22" s="59" t="s">
        <v>391</v>
      </c>
    </row>
    <row r="23" spans="2:27" ht="21" customHeight="1">
      <c r="B23" s="67">
        <v>19</v>
      </c>
      <c r="C23" s="75" t="s">
        <v>430</v>
      </c>
      <c r="D23" s="76" t="s">
        <v>431</v>
      </c>
      <c r="E23" s="70">
        <v>1</v>
      </c>
      <c r="F23" s="77" t="s">
        <v>394</v>
      </c>
      <c r="G23" s="32"/>
      <c r="H23" s="32"/>
      <c r="I23" s="32"/>
      <c r="J23" s="32"/>
      <c r="K23" s="32"/>
      <c r="L23" s="32"/>
      <c r="M23" s="32"/>
      <c r="N23" s="73"/>
      <c r="O23" s="32"/>
      <c r="P23" s="64"/>
      <c r="Q23" s="64"/>
      <c r="R23" s="64"/>
      <c r="S23" s="65">
        <v>40567.796610169491</v>
      </c>
      <c r="T23" s="65">
        <v>40567.796610169491</v>
      </c>
      <c r="U23" s="65">
        <v>40567.796610169491</v>
      </c>
      <c r="V23" s="65">
        <v>40567.796610169491</v>
      </c>
      <c r="W23" s="65">
        <v>40567.796610169491</v>
      </c>
      <c r="X23" s="65">
        <v>40567.796610169491</v>
      </c>
      <c r="Y23" s="65">
        <v>40567.796610169491</v>
      </c>
      <c r="Z23" s="72" t="s">
        <v>395</v>
      </c>
      <c r="AA23" s="59" t="s">
        <v>391</v>
      </c>
    </row>
    <row r="24" spans="2:27" ht="21" customHeight="1">
      <c r="B24" s="67">
        <v>20</v>
      </c>
      <c r="C24" s="75" t="s">
        <v>432</v>
      </c>
      <c r="D24" s="76" t="s">
        <v>433</v>
      </c>
      <c r="E24" s="70">
        <v>1</v>
      </c>
      <c r="F24" s="77" t="s">
        <v>394</v>
      </c>
      <c r="G24" s="32"/>
      <c r="H24" s="39"/>
      <c r="I24" s="31"/>
      <c r="J24" s="32"/>
      <c r="K24" s="31"/>
      <c r="L24" s="31"/>
      <c r="M24" s="31"/>
      <c r="N24" s="73"/>
      <c r="O24" s="32"/>
      <c r="P24" s="64"/>
      <c r="Q24" s="64"/>
      <c r="R24" s="64"/>
      <c r="S24" s="65">
        <v>69237.288135593219</v>
      </c>
      <c r="T24" s="65">
        <v>69237.288135593219</v>
      </c>
      <c r="U24" s="65">
        <v>69237.288135593219</v>
      </c>
      <c r="V24" s="65">
        <v>69237.288135593219</v>
      </c>
      <c r="W24" s="65">
        <v>69237.288135593219</v>
      </c>
      <c r="X24" s="65">
        <v>69237.288135593219</v>
      </c>
      <c r="Y24" s="65">
        <v>69237.288135593219</v>
      </c>
      <c r="Z24" s="72" t="s">
        <v>395</v>
      </c>
      <c r="AA24" s="59" t="s">
        <v>391</v>
      </c>
    </row>
    <row r="25" spans="2:27" ht="21" customHeight="1">
      <c r="B25" s="67">
        <v>21</v>
      </c>
      <c r="C25" s="75" t="s">
        <v>434</v>
      </c>
      <c r="D25" s="76" t="s">
        <v>435</v>
      </c>
      <c r="E25" s="70">
        <v>1</v>
      </c>
      <c r="F25" s="77" t="s">
        <v>394</v>
      </c>
      <c r="G25" s="40"/>
      <c r="H25" s="40"/>
      <c r="I25" s="40"/>
      <c r="J25" s="40"/>
      <c r="K25" s="40"/>
      <c r="L25" s="40"/>
      <c r="M25" s="40"/>
      <c r="N25" s="78"/>
      <c r="O25" s="32"/>
      <c r="P25" s="64"/>
      <c r="Q25" s="64"/>
      <c r="R25" s="64"/>
      <c r="S25" s="65">
        <v>108644.06779661018</v>
      </c>
      <c r="T25" s="65">
        <v>108644.06779661018</v>
      </c>
      <c r="U25" s="65">
        <v>108644.06779661018</v>
      </c>
      <c r="V25" s="65">
        <v>108644.06779661018</v>
      </c>
      <c r="W25" s="65">
        <v>108644.06779661018</v>
      </c>
      <c r="X25" s="65">
        <v>108644.06779661018</v>
      </c>
      <c r="Y25" s="65">
        <v>108644.06779661018</v>
      </c>
      <c r="Z25" s="72" t="s">
        <v>395</v>
      </c>
      <c r="AA25" s="59" t="s">
        <v>391</v>
      </c>
    </row>
    <row r="26" spans="2:27" ht="21" customHeight="1">
      <c r="B26" s="67">
        <v>22</v>
      </c>
      <c r="C26" s="75" t="s">
        <v>436</v>
      </c>
      <c r="D26" s="76" t="s">
        <v>437</v>
      </c>
      <c r="E26" s="70">
        <v>1</v>
      </c>
      <c r="F26" s="77" t="s">
        <v>394</v>
      </c>
      <c r="G26" s="40"/>
      <c r="H26" s="40"/>
      <c r="I26" s="40"/>
      <c r="J26" s="40"/>
      <c r="K26" s="40"/>
      <c r="L26" s="40"/>
      <c r="M26" s="40"/>
      <c r="N26" s="78"/>
      <c r="O26" s="32"/>
      <c r="P26" s="64"/>
      <c r="Q26" s="64"/>
      <c r="R26" s="64"/>
      <c r="S26" s="65">
        <v>244635.59322033898</v>
      </c>
      <c r="T26" s="65">
        <v>244635.59322033898</v>
      </c>
      <c r="U26" s="65">
        <v>244635.59322033898</v>
      </c>
      <c r="V26" s="65">
        <v>244635.59322033898</v>
      </c>
      <c r="W26" s="65">
        <v>244635.59322033898</v>
      </c>
      <c r="X26" s="65">
        <v>244635.59322033898</v>
      </c>
      <c r="Y26" s="65">
        <v>244635.59322033898</v>
      </c>
      <c r="Z26" s="72" t="s">
        <v>395</v>
      </c>
      <c r="AA26" s="59" t="s">
        <v>391</v>
      </c>
    </row>
    <row r="27" spans="2:27" ht="21" customHeight="1">
      <c r="B27" s="67">
        <v>23</v>
      </c>
      <c r="C27" s="75" t="s">
        <v>438</v>
      </c>
      <c r="D27" s="76" t="s">
        <v>439</v>
      </c>
      <c r="E27" s="70">
        <v>1</v>
      </c>
      <c r="F27" s="77" t="s">
        <v>394</v>
      </c>
      <c r="G27" s="40"/>
      <c r="H27" s="40"/>
      <c r="I27" s="40"/>
      <c r="J27" s="40"/>
      <c r="K27" s="40"/>
      <c r="L27" s="40"/>
      <c r="M27" s="40"/>
      <c r="N27" s="78"/>
      <c r="O27" s="32"/>
      <c r="P27" s="64"/>
      <c r="Q27" s="64"/>
      <c r="R27" s="64"/>
      <c r="S27" s="65">
        <v>308449.15254237287</v>
      </c>
      <c r="T27" s="65">
        <v>308449.15254237287</v>
      </c>
      <c r="U27" s="65">
        <v>308449.15254237287</v>
      </c>
      <c r="V27" s="65">
        <v>308449.15254237287</v>
      </c>
      <c r="W27" s="65">
        <v>308449.15254237287</v>
      </c>
      <c r="X27" s="65">
        <v>308449.15254237287</v>
      </c>
      <c r="Y27" s="65">
        <v>308449.15254237287</v>
      </c>
      <c r="Z27" s="72" t="s">
        <v>395</v>
      </c>
      <c r="AA27" s="59" t="s">
        <v>391</v>
      </c>
    </row>
    <row r="28" spans="2:27" ht="21" customHeight="1">
      <c r="B28" s="67">
        <v>24</v>
      </c>
      <c r="C28" s="79" t="s">
        <v>440</v>
      </c>
      <c r="D28" s="69" t="s">
        <v>441</v>
      </c>
      <c r="E28" s="70">
        <v>1</v>
      </c>
      <c r="F28" s="77" t="s">
        <v>394</v>
      </c>
      <c r="G28" s="40"/>
      <c r="H28" s="40"/>
      <c r="I28" s="40"/>
      <c r="J28" s="40"/>
      <c r="K28" s="40"/>
      <c r="L28" s="40"/>
      <c r="M28" s="40"/>
      <c r="N28" s="78"/>
      <c r="O28" s="32"/>
      <c r="P28" s="64"/>
      <c r="Q28" s="64"/>
      <c r="R28" s="64"/>
      <c r="S28" s="65">
        <v>414779.66101694916</v>
      </c>
      <c r="T28" s="65">
        <v>414779.66101694916</v>
      </c>
      <c r="U28" s="65">
        <v>414779.66101694916</v>
      </c>
      <c r="V28" s="65">
        <v>414779.66101694916</v>
      </c>
      <c r="W28" s="65">
        <v>414779.66101694916</v>
      </c>
      <c r="X28" s="65">
        <v>414779.66101694916</v>
      </c>
      <c r="Y28" s="65">
        <v>414779.66101694916</v>
      </c>
      <c r="Z28" s="72" t="s">
        <v>395</v>
      </c>
      <c r="AA28" s="59" t="s">
        <v>391</v>
      </c>
    </row>
    <row r="29" spans="2:27" ht="21" customHeight="1">
      <c r="B29" s="67">
        <v>25</v>
      </c>
      <c r="C29" s="79" t="s">
        <v>442</v>
      </c>
      <c r="D29" s="69" t="s">
        <v>443</v>
      </c>
      <c r="E29" s="70">
        <v>1</v>
      </c>
      <c r="F29" s="77" t="s">
        <v>394</v>
      </c>
      <c r="G29" s="40"/>
      <c r="H29" s="40"/>
      <c r="I29" s="40"/>
      <c r="J29" s="40"/>
      <c r="K29" s="40"/>
      <c r="L29" s="40"/>
      <c r="M29" s="40"/>
      <c r="N29" s="78"/>
      <c r="O29" s="32"/>
      <c r="P29" s="64"/>
      <c r="Q29" s="64"/>
      <c r="R29" s="64"/>
      <c r="S29" s="65">
        <v>595550.84745762718</v>
      </c>
      <c r="T29" s="65">
        <v>595550.84745762718</v>
      </c>
      <c r="U29" s="65">
        <v>595550.84745762718</v>
      </c>
      <c r="V29" s="65">
        <v>595550.84745762718</v>
      </c>
      <c r="W29" s="65">
        <v>595550.84745762718</v>
      </c>
      <c r="X29" s="65">
        <v>595550.84745762718</v>
      </c>
      <c r="Y29" s="65">
        <v>595550.84745762718</v>
      </c>
      <c r="Z29" s="72" t="s">
        <v>395</v>
      </c>
      <c r="AA29" s="59" t="s">
        <v>391</v>
      </c>
    </row>
    <row r="30" spans="2:27" ht="21" customHeight="1">
      <c r="B30" s="67">
        <v>26</v>
      </c>
      <c r="C30" s="79" t="s">
        <v>444</v>
      </c>
      <c r="D30" s="69" t="s">
        <v>445</v>
      </c>
      <c r="E30" s="70">
        <v>1</v>
      </c>
      <c r="F30" s="77" t="s">
        <v>394</v>
      </c>
      <c r="G30" s="32"/>
      <c r="H30" s="32"/>
      <c r="I30" s="32"/>
      <c r="J30" s="32"/>
      <c r="K30" s="32"/>
      <c r="L30" s="32"/>
      <c r="M30" s="32"/>
      <c r="N30" s="73"/>
      <c r="O30" s="32"/>
      <c r="P30" s="64"/>
      <c r="Q30" s="64"/>
      <c r="R30" s="64"/>
      <c r="S30" s="65">
        <v>820271.18644067796</v>
      </c>
      <c r="T30" s="65">
        <v>820271.18644067796</v>
      </c>
      <c r="U30" s="65">
        <v>820271.18644067796</v>
      </c>
      <c r="V30" s="65">
        <v>820271.18644067796</v>
      </c>
      <c r="W30" s="65">
        <v>820271.18644067796</v>
      </c>
      <c r="X30" s="65">
        <v>820271.18644067796</v>
      </c>
      <c r="Y30" s="65">
        <v>820271.18644067796</v>
      </c>
      <c r="Z30" s="72" t="s">
        <v>395</v>
      </c>
      <c r="AA30" s="59" t="s">
        <v>391</v>
      </c>
    </row>
    <row r="31" spans="2:27" ht="21" customHeight="1">
      <c r="B31" s="67">
        <v>27</v>
      </c>
      <c r="C31" s="79" t="s">
        <v>446</v>
      </c>
      <c r="D31" s="69" t="s">
        <v>447</v>
      </c>
      <c r="E31" s="70">
        <v>1</v>
      </c>
      <c r="F31" s="77" t="s">
        <v>394</v>
      </c>
      <c r="G31" s="32"/>
      <c r="H31" s="32"/>
      <c r="I31" s="32"/>
      <c r="J31" s="32"/>
      <c r="K31" s="32"/>
      <c r="L31" s="32"/>
      <c r="M31" s="32"/>
      <c r="N31" s="73"/>
      <c r="O31" s="32"/>
      <c r="P31" s="64"/>
      <c r="Q31" s="64"/>
      <c r="R31" s="64"/>
      <c r="S31" s="65">
        <v>1033898.3050847459</v>
      </c>
      <c r="T31" s="65">
        <v>1033898.3050847459</v>
      </c>
      <c r="U31" s="65">
        <v>1033898.3050847459</v>
      </c>
      <c r="V31" s="65">
        <v>1033898.3050847459</v>
      </c>
      <c r="W31" s="65">
        <v>1033898.3050847459</v>
      </c>
      <c r="X31" s="65">
        <v>1033898.3050847459</v>
      </c>
      <c r="Y31" s="65">
        <v>1033898.3050847459</v>
      </c>
      <c r="Z31" s="72" t="s">
        <v>395</v>
      </c>
      <c r="AA31" s="59" t="s">
        <v>391</v>
      </c>
    </row>
    <row r="32" spans="2:27" ht="21" customHeight="1">
      <c r="B32" s="67">
        <v>28</v>
      </c>
      <c r="C32" s="79" t="s">
        <v>448</v>
      </c>
      <c r="D32" s="69" t="s">
        <v>449</v>
      </c>
      <c r="E32" s="70">
        <v>1</v>
      </c>
      <c r="F32" s="77" t="s">
        <v>394</v>
      </c>
      <c r="G32" s="32"/>
      <c r="H32" s="32"/>
      <c r="I32" s="32"/>
      <c r="J32" s="32"/>
      <c r="K32" s="32"/>
      <c r="L32" s="32"/>
      <c r="M32" s="32"/>
      <c r="N32" s="73"/>
      <c r="O32" s="32"/>
      <c r="P32" s="64"/>
      <c r="Q32" s="64"/>
      <c r="R32" s="64"/>
      <c r="S32" s="65">
        <v>1278813.559322034</v>
      </c>
      <c r="T32" s="65">
        <v>1278813.559322034</v>
      </c>
      <c r="U32" s="65">
        <v>1278813.559322034</v>
      </c>
      <c r="V32" s="65">
        <v>1278813.559322034</v>
      </c>
      <c r="W32" s="65">
        <v>1278813.559322034</v>
      </c>
      <c r="X32" s="65">
        <v>1278813.559322034</v>
      </c>
      <c r="Y32" s="65">
        <v>1278813.559322034</v>
      </c>
      <c r="Z32" s="72" t="s">
        <v>395</v>
      </c>
      <c r="AA32" s="59" t="s">
        <v>391</v>
      </c>
    </row>
    <row r="33" spans="2:27" ht="21" customHeight="1">
      <c r="B33" s="67">
        <v>29</v>
      </c>
      <c r="C33" s="79" t="s">
        <v>450</v>
      </c>
      <c r="D33" s="69" t="s">
        <v>451</v>
      </c>
      <c r="E33" s="70">
        <v>1</v>
      </c>
      <c r="F33" s="77" t="s">
        <v>394</v>
      </c>
      <c r="G33" s="32"/>
      <c r="H33" s="32"/>
      <c r="I33" s="32"/>
      <c r="J33" s="32"/>
      <c r="K33" s="32"/>
      <c r="L33" s="32"/>
      <c r="M33" s="32"/>
      <c r="N33" s="73"/>
      <c r="O33" s="32"/>
      <c r="P33" s="64"/>
      <c r="Q33" s="64"/>
      <c r="R33" s="64"/>
      <c r="S33" s="65">
        <v>1598305.0847457629</v>
      </c>
      <c r="T33" s="65">
        <v>1598305.0847457629</v>
      </c>
      <c r="U33" s="65">
        <v>1598305.0847457629</v>
      </c>
      <c r="V33" s="65">
        <v>1598305.0847457629</v>
      </c>
      <c r="W33" s="65">
        <v>1598305.0847457629</v>
      </c>
      <c r="X33" s="65">
        <v>1598305.0847457629</v>
      </c>
      <c r="Y33" s="65">
        <v>1598305.0847457629</v>
      </c>
      <c r="Z33" s="72" t="s">
        <v>395</v>
      </c>
      <c r="AA33" s="59" t="s">
        <v>391</v>
      </c>
    </row>
    <row r="34" spans="2:27" ht="21" customHeight="1">
      <c r="B34" s="67">
        <v>30</v>
      </c>
      <c r="C34" s="79" t="s">
        <v>452</v>
      </c>
      <c r="D34" s="69" t="s">
        <v>453</v>
      </c>
      <c r="E34" s="70">
        <v>1</v>
      </c>
      <c r="F34" s="77" t="s">
        <v>394</v>
      </c>
      <c r="G34" s="32"/>
      <c r="H34" s="32"/>
      <c r="I34" s="32"/>
      <c r="J34" s="32"/>
      <c r="K34" s="32"/>
      <c r="L34" s="32"/>
      <c r="M34" s="32"/>
      <c r="N34" s="73"/>
      <c r="O34" s="32"/>
      <c r="P34" s="64"/>
      <c r="Q34" s="64"/>
      <c r="R34" s="64"/>
      <c r="S34" s="65">
        <v>2100000</v>
      </c>
      <c r="T34" s="65">
        <v>2100000</v>
      </c>
      <c r="U34" s="65">
        <v>2100000</v>
      </c>
      <c r="V34" s="65">
        <v>2100000</v>
      </c>
      <c r="W34" s="65">
        <v>2100000</v>
      </c>
      <c r="X34" s="65">
        <v>2100000</v>
      </c>
      <c r="Y34" s="65">
        <v>2100000</v>
      </c>
      <c r="Z34" s="72" t="s">
        <v>395</v>
      </c>
      <c r="AA34" s="59" t="s">
        <v>391</v>
      </c>
    </row>
    <row r="35" spans="2:27" ht="21" customHeight="1">
      <c r="B35" s="67">
        <v>31</v>
      </c>
      <c r="C35" s="79" t="s">
        <v>454</v>
      </c>
      <c r="D35" s="69" t="s">
        <v>455</v>
      </c>
      <c r="E35" s="70">
        <v>1</v>
      </c>
      <c r="F35" s="77" t="s">
        <v>394</v>
      </c>
      <c r="G35" s="32"/>
      <c r="H35" s="32"/>
      <c r="I35" s="32"/>
      <c r="J35" s="32"/>
      <c r="K35" s="32"/>
      <c r="L35" s="32"/>
      <c r="M35" s="32"/>
      <c r="N35" s="73"/>
      <c r="O35" s="32"/>
      <c r="P35" s="64"/>
      <c r="Q35" s="64"/>
      <c r="R35" s="64"/>
      <c r="S35" s="65">
        <v>2632203.3898305087</v>
      </c>
      <c r="T35" s="65">
        <v>2632203.3898305087</v>
      </c>
      <c r="U35" s="65">
        <v>2632203.3898305087</v>
      </c>
      <c r="V35" s="65">
        <v>2632203.3898305087</v>
      </c>
      <c r="W35" s="65">
        <v>2632203.3898305087</v>
      </c>
      <c r="X35" s="65">
        <v>2632203.3898305087</v>
      </c>
      <c r="Y35" s="65">
        <v>2632203.3898305087</v>
      </c>
      <c r="Z35" s="72" t="s">
        <v>395</v>
      </c>
      <c r="AA35" s="59" t="s">
        <v>391</v>
      </c>
    </row>
    <row r="36" spans="2:27" ht="21" customHeight="1">
      <c r="B36" s="67"/>
      <c r="C36" s="79"/>
      <c r="D36" s="80"/>
      <c r="E36" s="70"/>
      <c r="F36" s="77"/>
      <c r="G36" s="40"/>
      <c r="H36" s="40"/>
      <c r="I36" s="40"/>
      <c r="J36" s="40"/>
      <c r="K36" s="40"/>
      <c r="L36" s="40"/>
      <c r="M36" s="40"/>
      <c r="N36" s="78"/>
      <c r="O36" s="32"/>
      <c r="P36" s="64"/>
      <c r="Q36" s="64"/>
      <c r="R36" s="64"/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72" t="s">
        <v>395</v>
      </c>
    </row>
    <row r="37" spans="2:27" ht="21" customHeight="1">
      <c r="B37" s="67"/>
      <c r="C37" s="81" t="s">
        <v>456</v>
      </c>
      <c r="D37" s="69"/>
      <c r="E37" s="82"/>
      <c r="F37" s="77"/>
      <c r="G37" s="32"/>
      <c r="H37" s="32"/>
      <c r="I37" s="32"/>
      <c r="J37" s="32"/>
      <c r="K37" s="32"/>
      <c r="L37" s="32"/>
      <c r="M37" s="32"/>
      <c r="N37" s="73"/>
      <c r="O37" s="32"/>
      <c r="P37" s="64"/>
      <c r="Q37" s="64"/>
      <c r="R37" s="64"/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72" t="s">
        <v>395</v>
      </c>
    </row>
    <row r="38" spans="2:27" ht="21" customHeight="1">
      <c r="B38" s="67">
        <v>2</v>
      </c>
      <c r="C38" s="68" t="s">
        <v>457</v>
      </c>
      <c r="D38" s="69"/>
      <c r="E38" s="70">
        <v>1</v>
      </c>
      <c r="F38" s="71" t="s">
        <v>458</v>
      </c>
      <c r="G38" s="32"/>
      <c r="H38" s="32"/>
      <c r="I38" s="32"/>
      <c r="J38" s="32"/>
      <c r="K38" s="32"/>
      <c r="L38" s="32"/>
      <c r="M38" s="32"/>
      <c r="N38" s="73"/>
      <c r="O38" s="32"/>
      <c r="P38" s="64"/>
      <c r="Q38" s="64"/>
      <c r="R38" s="64"/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72" t="s">
        <v>395</v>
      </c>
      <c r="AA38" s="81" t="s">
        <v>456</v>
      </c>
    </row>
    <row r="39" spans="2:27" ht="21" customHeight="1">
      <c r="B39" s="67">
        <v>28</v>
      </c>
      <c r="C39" s="68" t="s">
        <v>459</v>
      </c>
      <c r="D39" s="69"/>
      <c r="E39" s="70">
        <v>1</v>
      </c>
      <c r="F39" s="71" t="s">
        <v>458</v>
      </c>
      <c r="G39" s="32"/>
      <c r="H39" s="32"/>
      <c r="I39" s="32"/>
      <c r="J39" s="32"/>
      <c r="K39" s="32"/>
      <c r="L39" s="32"/>
      <c r="M39" s="32"/>
      <c r="N39" s="73"/>
      <c r="O39" s="32"/>
      <c r="P39" s="64"/>
      <c r="Q39" s="64"/>
      <c r="R39" s="64"/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72" t="s">
        <v>395</v>
      </c>
      <c r="AA39" s="81" t="s">
        <v>456</v>
      </c>
    </row>
    <row r="40" spans="2:27" ht="21" customHeight="1">
      <c r="B40" s="67">
        <v>29</v>
      </c>
      <c r="C40" s="68" t="s">
        <v>460</v>
      </c>
      <c r="D40" s="69"/>
      <c r="E40" s="70">
        <v>1</v>
      </c>
      <c r="F40" s="71" t="s">
        <v>458</v>
      </c>
      <c r="G40" s="32"/>
      <c r="H40" s="32"/>
      <c r="I40" s="32"/>
      <c r="J40" s="32"/>
      <c r="K40" s="32"/>
      <c r="L40" s="32"/>
      <c r="M40" s="32"/>
      <c r="N40" s="73"/>
      <c r="O40" s="32"/>
      <c r="P40" s="64"/>
      <c r="Q40" s="64"/>
      <c r="R40" s="64"/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72" t="s">
        <v>395</v>
      </c>
      <c r="AA40" s="81" t="s">
        <v>456</v>
      </c>
    </row>
    <row r="41" spans="2:27" ht="21" customHeight="1">
      <c r="B41" s="67">
        <v>30</v>
      </c>
      <c r="C41" s="68" t="s">
        <v>461</v>
      </c>
      <c r="D41" s="69"/>
      <c r="E41" s="70">
        <v>1</v>
      </c>
      <c r="F41" s="71" t="s">
        <v>458</v>
      </c>
      <c r="G41" s="32"/>
      <c r="H41" s="32"/>
      <c r="I41" s="32"/>
      <c r="J41" s="32"/>
      <c r="K41" s="32"/>
      <c r="L41" s="32"/>
      <c r="M41" s="32"/>
      <c r="N41" s="73"/>
      <c r="O41" s="32"/>
      <c r="P41" s="64"/>
      <c r="Q41" s="64"/>
      <c r="R41" s="64"/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72" t="s">
        <v>395</v>
      </c>
      <c r="AA41" s="81" t="s">
        <v>456</v>
      </c>
    </row>
    <row r="42" spans="2:27" ht="21" customHeight="1">
      <c r="B42" s="67">
        <v>31</v>
      </c>
      <c r="C42" s="68" t="s">
        <v>462</v>
      </c>
      <c r="D42" s="69"/>
      <c r="E42" s="70">
        <v>1</v>
      </c>
      <c r="F42" s="71" t="s">
        <v>458</v>
      </c>
      <c r="G42" s="32"/>
      <c r="H42" s="32"/>
      <c r="I42" s="32"/>
      <c r="J42" s="32"/>
      <c r="K42" s="32"/>
      <c r="L42" s="32"/>
      <c r="M42" s="32"/>
      <c r="N42" s="73"/>
      <c r="O42" s="32"/>
      <c r="P42" s="64"/>
      <c r="Q42" s="64"/>
      <c r="R42" s="64"/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72" t="s">
        <v>395</v>
      </c>
      <c r="AA42" s="81" t="s">
        <v>456</v>
      </c>
    </row>
    <row r="43" spans="2:27" ht="21" customHeight="1">
      <c r="B43" s="67">
        <v>32</v>
      </c>
      <c r="C43" s="68" t="s">
        <v>463</v>
      </c>
      <c r="D43" s="69"/>
      <c r="E43" s="70">
        <v>1</v>
      </c>
      <c r="F43" s="71" t="s">
        <v>458</v>
      </c>
      <c r="G43" s="32"/>
      <c r="H43" s="32"/>
      <c r="I43" s="32"/>
      <c r="J43" s="32"/>
      <c r="K43" s="32"/>
      <c r="L43" s="32"/>
      <c r="M43" s="32"/>
      <c r="N43" s="73"/>
      <c r="O43" s="32"/>
      <c r="P43" s="64"/>
      <c r="Q43" s="64"/>
      <c r="R43" s="64"/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72" t="s">
        <v>395</v>
      </c>
      <c r="AA43" s="81" t="s">
        <v>456</v>
      </c>
    </row>
    <row r="44" spans="2:27" ht="21" customHeight="1">
      <c r="B44" s="67">
        <v>33</v>
      </c>
      <c r="C44" s="68" t="s">
        <v>464</v>
      </c>
      <c r="D44" s="69"/>
      <c r="E44" s="70">
        <v>1</v>
      </c>
      <c r="F44" s="71" t="s">
        <v>458</v>
      </c>
      <c r="G44" s="32"/>
      <c r="H44" s="32"/>
      <c r="I44" s="32"/>
      <c r="J44" s="32"/>
      <c r="K44" s="32"/>
      <c r="L44" s="32"/>
      <c r="M44" s="32"/>
      <c r="N44" s="73"/>
      <c r="O44" s="32"/>
      <c r="P44" s="64"/>
      <c r="Q44" s="64"/>
      <c r="R44" s="64"/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72" t="s">
        <v>395</v>
      </c>
      <c r="AA44" s="81" t="s">
        <v>456</v>
      </c>
    </row>
    <row r="45" spans="2:27" ht="21" customHeight="1">
      <c r="B45" s="67">
        <v>34</v>
      </c>
      <c r="C45" s="68" t="s">
        <v>465</v>
      </c>
      <c r="D45" s="69"/>
      <c r="E45" s="70">
        <v>1</v>
      </c>
      <c r="F45" s="71" t="s">
        <v>458</v>
      </c>
      <c r="G45" s="32"/>
      <c r="H45" s="32"/>
      <c r="I45" s="32"/>
      <c r="J45" s="32"/>
      <c r="K45" s="32"/>
      <c r="L45" s="32"/>
      <c r="M45" s="32"/>
      <c r="N45" s="73"/>
      <c r="O45" s="32"/>
      <c r="P45" s="64"/>
      <c r="Q45" s="64"/>
      <c r="R45" s="64"/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72" t="s">
        <v>395</v>
      </c>
      <c r="AA45" s="81" t="s">
        <v>456</v>
      </c>
    </row>
    <row r="46" spans="2:27" ht="21" customHeight="1">
      <c r="B46" s="67">
        <v>35</v>
      </c>
      <c r="C46" s="68" t="s">
        <v>466</v>
      </c>
      <c r="D46" s="69"/>
      <c r="E46" s="70">
        <v>1</v>
      </c>
      <c r="F46" s="71" t="s">
        <v>458</v>
      </c>
      <c r="G46" s="32"/>
      <c r="H46" s="32"/>
      <c r="I46" s="32"/>
      <c r="J46" s="32"/>
      <c r="K46" s="32"/>
      <c r="L46" s="32"/>
      <c r="M46" s="32"/>
      <c r="N46" s="73"/>
      <c r="O46" s="32"/>
      <c r="P46" s="64"/>
      <c r="Q46" s="64"/>
      <c r="R46" s="64"/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72" t="s">
        <v>395</v>
      </c>
      <c r="AA46" s="81" t="s">
        <v>456</v>
      </c>
    </row>
    <row r="47" spans="2:27" ht="21" customHeight="1">
      <c r="B47" s="67">
        <v>36</v>
      </c>
      <c r="C47" s="68" t="s">
        <v>467</v>
      </c>
      <c r="D47" s="69"/>
      <c r="E47" s="70">
        <v>1</v>
      </c>
      <c r="F47" s="71" t="s">
        <v>458</v>
      </c>
      <c r="G47" s="32"/>
      <c r="H47" s="32"/>
      <c r="I47" s="32"/>
      <c r="J47" s="32"/>
      <c r="K47" s="32"/>
      <c r="L47" s="32"/>
      <c r="M47" s="32"/>
      <c r="N47" s="73"/>
      <c r="O47" s="32"/>
      <c r="P47" s="64"/>
      <c r="Q47" s="64"/>
      <c r="R47" s="64"/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72" t="s">
        <v>395</v>
      </c>
      <c r="AA47" s="81" t="s">
        <v>456</v>
      </c>
    </row>
    <row r="48" spans="2:27" ht="21" customHeight="1">
      <c r="B48" s="67">
        <v>37</v>
      </c>
      <c r="C48" s="68" t="s">
        <v>468</v>
      </c>
      <c r="D48" s="69"/>
      <c r="E48" s="70">
        <v>1</v>
      </c>
      <c r="F48" s="71" t="s">
        <v>458</v>
      </c>
      <c r="G48" s="32"/>
      <c r="H48" s="32"/>
      <c r="I48" s="32"/>
      <c r="J48" s="32"/>
      <c r="K48" s="32"/>
      <c r="L48" s="32"/>
      <c r="M48" s="32"/>
      <c r="N48" s="73"/>
      <c r="O48" s="32"/>
      <c r="P48" s="64"/>
      <c r="Q48" s="64"/>
      <c r="R48" s="64"/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72" t="s">
        <v>395</v>
      </c>
      <c r="AA48" s="81" t="s">
        <v>456</v>
      </c>
    </row>
    <row r="49" spans="2:27" ht="21" customHeight="1">
      <c r="B49" s="67">
        <v>38</v>
      </c>
      <c r="C49" s="68" t="s">
        <v>469</v>
      </c>
      <c r="D49" s="69"/>
      <c r="E49" s="70">
        <v>1</v>
      </c>
      <c r="F49" s="71" t="s">
        <v>458</v>
      </c>
      <c r="G49" s="32"/>
      <c r="H49" s="32"/>
      <c r="I49" s="32"/>
      <c r="J49" s="32"/>
      <c r="K49" s="32"/>
      <c r="L49" s="32"/>
      <c r="M49" s="32"/>
      <c r="N49" s="73"/>
      <c r="O49" s="32"/>
      <c r="P49" s="64"/>
      <c r="Q49" s="64"/>
      <c r="R49" s="64"/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72" t="s">
        <v>395</v>
      </c>
      <c r="AA49" s="81" t="s">
        <v>456</v>
      </c>
    </row>
    <row r="50" spans="2:27" ht="21" customHeight="1">
      <c r="B50" s="67">
        <v>39</v>
      </c>
      <c r="C50" s="68" t="s">
        <v>470</v>
      </c>
      <c r="D50" s="69"/>
      <c r="E50" s="70">
        <v>1</v>
      </c>
      <c r="F50" s="71" t="s">
        <v>458</v>
      </c>
      <c r="G50" s="32"/>
      <c r="H50" s="32"/>
      <c r="I50" s="32"/>
      <c r="J50" s="32"/>
      <c r="K50" s="32"/>
      <c r="L50" s="32"/>
      <c r="M50" s="32"/>
      <c r="N50" s="73"/>
      <c r="O50" s="32"/>
      <c r="P50" s="64"/>
      <c r="Q50" s="64"/>
      <c r="R50" s="64"/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72" t="s">
        <v>395</v>
      </c>
      <c r="AA50" s="81" t="s">
        <v>456</v>
      </c>
    </row>
    <row r="51" spans="2:27" ht="21" customHeight="1">
      <c r="B51" s="67">
        <v>40</v>
      </c>
      <c r="C51" s="68" t="s">
        <v>471</v>
      </c>
      <c r="D51" s="69"/>
      <c r="E51" s="70">
        <v>1</v>
      </c>
      <c r="F51" s="71" t="s">
        <v>458</v>
      </c>
      <c r="G51" s="32"/>
      <c r="H51" s="32"/>
      <c r="I51" s="32"/>
      <c r="J51" s="32"/>
      <c r="K51" s="32"/>
      <c r="L51" s="32"/>
      <c r="M51" s="32"/>
      <c r="N51" s="73"/>
      <c r="O51" s="32"/>
      <c r="P51" s="64"/>
      <c r="Q51" s="64"/>
      <c r="R51" s="64"/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72" t="s">
        <v>395</v>
      </c>
      <c r="AA51" s="81" t="s">
        <v>456</v>
      </c>
    </row>
    <row r="52" spans="2:27" ht="21" customHeight="1">
      <c r="B52" s="67">
        <v>41</v>
      </c>
      <c r="C52" s="68" t="s">
        <v>472</v>
      </c>
      <c r="D52" s="69"/>
      <c r="E52" s="70">
        <v>1</v>
      </c>
      <c r="F52" s="71" t="s">
        <v>458</v>
      </c>
      <c r="G52" s="32"/>
      <c r="H52" s="32"/>
      <c r="I52" s="32"/>
      <c r="J52" s="32"/>
      <c r="K52" s="32"/>
      <c r="L52" s="32"/>
      <c r="M52" s="32"/>
      <c r="N52" s="73"/>
      <c r="O52" s="32"/>
      <c r="P52" s="64"/>
      <c r="Q52" s="64"/>
      <c r="R52" s="64"/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72" t="s">
        <v>395</v>
      </c>
      <c r="AA52" s="81" t="s">
        <v>456</v>
      </c>
    </row>
    <row r="53" spans="2:27" ht="21" customHeight="1">
      <c r="B53" s="67">
        <v>42</v>
      </c>
      <c r="C53" s="68" t="s">
        <v>473</v>
      </c>
      <c r="D53" s="69"/>
      <c r="E53" s="70">
        <v>1</v>
      </c>
      <c r="F53" s="71" t="s">
        <v>458</v>
      </c>
      <c r="G53" s="32"/>
      <c r="H53" s="32"/>
      <c r="I53" s="32"/>
      <c r="J53" s="32"/>
      <c r="K53" s="32"/>
      <c r="L53" s="32"/>
      <c r="M53" s="32"/>
      <c r="N53" s="73"/>
      <c r="O53" s="32"/>
      <c r="P53" s="64"/>
      <c r="Q53" s="64"/>
      <c r="R53" s="64"/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72" t="s">
        <v>395</v>
      </c>
      <c r="AA53" s="81" t="s">
        <v>456</v>
      </c>
    </row>
    <row r="54" spans="2:27" ht="21" customHeight="1">
      <c r="B54" s="67">
        <v>43</v>
      </c>
      <c r="C54" s="68" t="s">
        <v>474</v>
      </c>
      <c r="D54" s="69"/>
      <c r="E54" s="70">
        <v>1</v>
      </c>
      <c r="F54" s="71" t="s">
        <v>458</v>
      </c>
      <c r="G54" s="32"/>
      <c r="H54" s="32"/>
      <c r="I54" s="32"/>
      <c r="J54" s="32"/>
      <c r="K54" s="32"/>
      <c r="L54" s="32"/>
      <c r="M54" s="32"/>
      <c r="N54" s="73"/>
      <c r="O54" s="32"/>
      <c r="P54" s="64"/>
      <c r="Q54" s="64"/>
      <c r="R54" s="64"/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72" t="s">
        <v>395</v>
      </c>
      <c r="AA54" s="81" t="s">
        <v>456</v>
      </c>
    </row>
    <row r="55" spans="2:27" ht="21" customHeight="1">
      <c r="B55" s="67">
        <v>44</v>
      </c>
      <c r="C55" s="68" t="s">
        <v>475</v>
      </c>
      <c r="D55" s="69"/>
      <c r="E55" s="70">
        <v>1</v>
      </c>
      <c r="F55" s="71" t="s">
        <v>458</v>
      </c>
      <c r="G55" s="32"/>
      <c r="H55" s="32"/>
      <c r="I55" s="32"/>
      <c r="J55" s="32"/>
      <c r="K55" s="32"/>
      <c r="L55" s="32"/>
      <c r="M55" s="32"/>
      <c r="N55" s="73"/>
      <c r="O55" s="32"/>
      <c r="P55" s="64"/>
      <c r="Q55" s="64"/>
      <c r="R55" s="64"/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72" t="s">
        <v>395</v>
      </c>
      <c r="AA55" s="81" t="s">
        <v>456</v>
      </c>
    </row>
    <row r="56" spans="2:27" ht="21" customHeight="1">
      <c r="B56" s="67">
        <v>45</v>
      </c>
      <c r="C56" s="68" t="s">
        <v>476</v>
      </c>
      <c r="D56" s="69"/>
      <c r="E56" s="70">
        <v>1</v>
      </c>
      <c r="F56" s="71" t="s">
        <v>458</v>
      </c>
      <c r="G56" s="32"/>
      <c r="H56" s="32"/>
      <c r="I56" s="32"/>
      <c r="J56" s="32"/>
      <c r="K56" s="32"/>
      <c r="L56" s="32"/>
      <c r="M56" s="32"/>
      <c r="N56" s="73"/>
      <c r="O56" s="32"/>
      <c r="P56" s="64"/>
      <c r="Q56" s="64"/>
      <c r="R56" s="64"/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72" t="s">
        <v>395</v>
      </c>
      <c r="AA56" s="81" t="s">
        <v>456</v>
      </c>
    </row>
    <row r="57" spans="2:27" ht="21" customHeight="1">
      <c r="B57" s="67">
        <v>46</v>
      </c>
      <c r="C57" s="68" t="s">
        <v>477</v>
      </c>
      <c r="D57" s="69"/>
      <c r="E57" s="70">
        <v>1</v>
      </c>
      <c r="F57" s="71" t="s">
        <v>458</v>
      </c>
      <c r="G57" s="32"/>
      <c r="H57" s="32"/>
      <c r="I57" s="32"/>
      <c r="J57" s="32"/>
      <c r="K57" s="32"/>
      <c r="L57" s="32"/>
      <c r="M57" s="32"/>
      <c r="N57" s="73"/>
      <c r="O57" s="32"/>
      <c r="P57" s="64"/>
      <c r="Q57" s="64"/>
      <c r="R57" s="64"/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72" t="s">
        <v>395</v>
      </c>
      <c r="AA57" s="81" t="s">
        <v>456</v>
      </c>
    </row>
    <row r="58" spans="2:27" ht="21" customHeight="1">
      <c r="B58" s="67">
        <v>47</v>
      </c>
      <c r="C58" s="68" t="s">
        <v>478</v>
      </c>
      <c r="D58" s="69"/>
      <c r="E58" s="70">
        <v>1</v>
      </c>
      <c r="F58" s="71" t="s">
        <v>458</v>
      </c>
      <c r="G58" s="32"/>
      <c r="H58" s="32"/>
      <c r="I58" s="32"/>
      <c r="J58" s="32"/>
      <c r="K58" s="32"/>
      <c r="L58" s="32"/>
      <c r="M58" s="32"/>
      <c r="N58" s="73"/>
      <c r="O58" s="32"/>
      <c r="P58" s="64"/>
      <c r="Q58" s="64"/>
      <c r="R58" s="64"/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72" t="s">
        <v>395</v>
      </c>
      <c r="AA58" s="81" t="s">
        <v>456</v>
      </c>
    </row>
    <row r="59" spans="2:27" ht="21" customHeight="1">
      <c r="B59" s="67">
        <v>48</v>
      </c>
      <c r="C59" s="68" t="s">
        <v>479</v>
      </c>
      <c r="D59" s="69"/>
      <c r="E59" s="70">
        <v>1</v>
      </c>
      <c r="F59" s="71" t="s">
        <v>458</v>
      </c>
      <c r="G59" s="32"/>
      <c r="H59" s="32"/>
      <c r="I59" s="32"/>
      <c r="J59" s="32"/>
      <c r="K59" s="32"/>
      <c r="L59" s="32"/>
      <c r="M59" s="32"/>
      <c r="N59" s="73"/>
      <c r="O59" s="32"/>
      <c r="P59" s="64"/>
      <c r="Q59" s="64"/>
      <c r="R59" s="64"/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72" t="s">
        <v>395</v>
      </c>
      <c r="AA59" s="81" t="s">
        <v>456</v>
      </c>
    </row>
    <row r="60" spans="2:27" ht="21" customHeight="1">
      <c r="B60" s="67">
        <v>49</v>
      </c>
      <c r="C60" s="68" t="s">
        <v>480</v>
      </c>
      <c r="D60" s="69"/>
      <c r="E60" s="70">
        <v>1</v>
      </c>
      <c r="F60" s="71" t="s">
        <v>458</v>
      </c>
      <c r="G60" s="32"/>
      <c r="H60" s="32"/>
      <c r="I60" s="32"/>
      <c r="J60" s="32"/>
      <c r="K60" s="32"/>
      <c r="L60" s="32"/>
      <c r="M60" s="32"/>
      <c r="N60" s="73"/>
      <c r="O60" s="32"/>
      <c r="P60" s="64"/>
      <c r="Q60" s="64"/>
      <c r="R60" s="64"/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72" t="s">
        <v>395</v>
      </c>
      <c r="AA60" s="81" t="s">
        <v>456</v>
      </c>
    </row>
    <row r="61" spans="2:27" ht="21" customHeight="1">
      <c r="B61" s="67">
        <v>50</v>
      </c>
      <c r="C61" s="68" t="s">
        <v>481</v>
      </c>
      <c r="D61" s="69"/>
      <c r="E61" s="70">
        <v>1</v>
      </c>
      <c r="F61" s="71" t="s">
        <v>458</v>
      </c>
      <c r="G61" s="32"/>
      <c r="H61" s="32"/>
      <c r="I61" s="32"/>
      <c r="J61" s="32"/>
      <c r="K61" s="32"/>
      <c r="L61" s="32"/>
      <c r="M61" s="32"/>
      <c r="N61" s="73"/>
      <c r="O61" s="32"/>
      <c r="P61" s="64"/>
      <c r="Q61" s="64"/>
      <c r="R61" s="64"/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72" t="s">
        <v>395</v>
      </c>
      <c r="AA61" s="81" t="s">
        <v>456</v>
      </c>
    </row>
    <row r="62" spans="2:27" ht="21" customHeight="1">
      <c r="B62" s="67">
        <v>32</v>
      </c>
      <c r="C62" s="79" t="s">
        <v>482</v>
      </c>
      <c r="D62" s="80"/>
      <c r="E62" s="70">
        <v>1</v>
      </c>
      <c r="F62" s="71" t="s">
        <v>458</v>
      </c>
      <c r="G62" s="32"/>
      <c r="H62" s="32"/>
      <c r="I62" s="32"/>
      <c r="J62" s="32"/>
      <c r="K62" s="32"/>
      <c r="L62" s="32"/>
      <c r="M62" s="32"/>
      <c r="N62" s="73"/>
      <c r="O62" s="32"/>
      <c r="P62" s="64"/>
      <c r="Q62" s="64"/>
      <c r="R62" s="64"/>
      <c r="S62" s="65">
        <v>1042.3728813559323</v>
      </c>
      <c r="T62" s="65">
        <v>1042.3728813559323</v>
      </c>
      <c r="U62" s="65">
        <v>1042.3728813559323</v>
      </c>
      <c r="V62" s="65">
        <v>1042.3728813559323</v>
      </c>
      <c r="W62" s="65">
        <v>1042.3728813559323</v>
      </c>
      <c r="X62" s="65">
        <v>1042.3728813559323</v>
      </c>
      <c r="Y62" s="65">
        <v>1042.3728813559323</v>
      </c>
      <c r="Z62" s="72" t="s">
        <v>395</v>
      </c>
      <c r="AA62" s="81" t="s">
        <v>456</v>
      </c>
    </row>
    <row r="63" spans="2:27" ht="21" customHeight="1">
      <c r="B63" s="67">
        <v>33</v>
      </c>
      <c r="C63" s="79" t="s">
        <v>483</v>
      </c>
      <c r="D63" s="80"/>
      <c r="E63" s="70">
        <v>1</v>
      </c>
      <c r="F63" s="71" t="s">
        <v>458</v>
      </c>
      <c r="G63" s="32"/>
      <c r="H63" s="32"/>
      <c r="I63" s="32"/>
      <c r="J63" s="32"/>
      <c r="K63" s="32"/>
      <c r="L63" s="32"/>
      <c r="M63" s="32"/>
      <c r="N63" s="73"/>
      <c r="O63" s="32"/>
      <c r="P63" s="64"/>
      <c r="Q63" s="64"/>
      <c r="R63" s="64"/>
      <c r="S63" s="65">
        <v>1042.3728813559323</v>
      </c>
      <c r="T63" s="65">
        <v>1042.3728813559323</v>
      </c>
      <c r="U63" s="65">
        <v>1042.3728813559323</v>
      </c>
      <c r="V63" s="65">
        <v>1042.3728813559323</v>
      </c>
      <c r="W63" s="65">
        <v>1042.3728813559323</v>
      </c>
      <c r="X63" s="65">
        <v>1042.3728813559323</v>
      </c>
      <c r="Y63" s="65">
        <v>1042.3728813559323</v>
      </c>
      <c r="Z63" s="72" t="s">
        <v>395</v>
      </c>
      <c r="AA63" s="81" t="s">
        <v>456</v>
      </c>
    </row>
    <row r="64" spans="2:27" ht="21" customHeight="1">
      <c r="B64" s="67">
        <v>34</v>
      </c>
      <c r="C64" s="79" t="s">
        <v>484</v>
      </c>
      <c r="D64" s="80"/>
      <c r="E64" s="70">
        <v>1</v>
      </c>
      <c r="F64" s="71" t="s">
        <v>458</v>
      </c>
      <c r="G64" s="32"/>
      <c r="H64" s="32"/>
      <c r="I64" s="32"/>
      <c r="J64" s="32"/>
      <c r="K64" s="32"/>
      <c r="L64" s="32"/>
      <c r="M64" s="32"/>
      <c r="N64" s="73"/>
      <c r="O64" s="32"/>
      <c r="P64" s="64"/>
      <c r="Q64" s="64"/>
      <c r="R64" s="64"/>
      <c r="S64" s="65">
        <v>1042.3728813559323</v>
      </c>
      <c r="T64" s="65">
        <v>1042.3728813559323</v>
      </c>
      <c r="U64" s="65">
        <v>1042.3728813559323</v>
      </c>
      <c r="V64" s="65">
        <v>1042.3728813559323</v>
      </c>
      <c r="W64" s="65">
        <v>1042.3728813559323</v>
      </c>
      <c r="X64" s="65">
        <v>1042.3728813559323</v>
      </c>
      <c r="Y64" s="65">
        <v>1042.3728813559323</v>
      </c>
      <c r="Z64" s="72" t="s">
        <v>395</v>
      </c>
      <c r="AA64" s="81" t="s">
        <v>456</v>
      </c>
    </row>
    <row r="65" spans="2:27" ht="21" customHeight="1">
      <c r="B65" s="67">
        <v>35</v>
      </c>
      <c r="C65" s="68" t="s">
        <v>485</v>
      </c>
      <c r="D65" s="69"/>
      <c r="E65" s="70">
        <v>1</v>
      </c>
      <c r="F65" s="71" t="s">
        <v>458</v>
      </c>
      <c r="G65" s="32"/>
      <c r="H65" s="32"/>
      <c r="I65" s="32"/>
      <c r="J65" s="32"/>
      <c r="K65" s="32"/>
      <c r="L65" s="32"/>
      <c r="M65" s="32"/>
      <c r="N65" s="73"/>
      <c r="O65" s="32"/>
      <c r="P65" s="64"/>
      <c r="Q65" s="64"/>
      <c r="R65" s="64"/>
      <c r="S65" s="65">
        <v>1042.3728813559323</v>
      </c>
      <c r="T65" s="65">
        <v>1042.3728813559323</v>
      </c>
      <c r="U65" s="65">
        <v>1042.3728813559323</v>
      </c>
      <c r="V65" s="65">
        <v>1042.3728813559323</v>
      </c>
      <c r="W65" s="65">
        <v>1042.3728813559323</v>
      </c>
      <c r="X65" s="65">
        <v>1042.3728813559323</v>
      </c>
      <c r="Y65" s="65">
        <v>1042.3728813559323</v>
      </c>
      <c r="Z65" s="72" t="s">
        <v>395</v>
      </c>
      <c r="AA65" s="81" t="s">
        <v>456</v>
      </c>
    </row>
    <row r="66" spans="2:27" ht="21" customHeight="1">
      <c r="B66" s="67">
        <v>36</v>
      </c>
      <c r="C66" s="68" t="s">
        <v>486</v>
      </c>
      <c r="D66" s="69"/>
      <c r="E66" s="70">
        <v>1</v>
      </c>
      <c r="F66" s="71" t="s">
        <v>458</v>
      </c>
      <c r="G66" s="32"/>
      <c r="H66" s="32"/>
      <c r="I66" s="32"/>
      <c r="J66" s="32"/>
      <c r="K66" s="32"/>
      <c r="L66" s="32"/>
      <c r="M66" s="32"/>
      <c r="N66" s="73"/>
      <c r="O66" s="32"/>
      <c r="P66" s="64"/>
      <c r="Q66" s="64"/>
      <c r="R66" s="64"/>
      <c r="S66" s="65">
        <v>1042.3728813559323</v>
      </c>
      <c r="T66" s="65">
        <v>1042.3728813559323</v>
      </c>
      <c r="U66" s="65">
        <v>1042.3728813559323</v>
      </c>
      <c r="V66" s="65">
        <v>1042.3728813559323</v>
      </c>
      <c r="W66" s="65">
        <v>1042.3728813559323</v>
      </c>
      <c r="X66" s="65">
        <v>1042.3728813559323</v>
      </c>
      <c r="Y66" s="65">
        <v>1042.3728813559323</v>
      </c>
      <c r="Z66" s="72" t="s">
        <v>395</v>
      </c>
      <c r="AA66" s="81" t="s">
        <v>456</v>
      </c>
    </row>
    <row r="67" spans="2:27" ht="21" customHeight="1">
      <c r="B67" s="67">
        <v>37</v>
      </c>
      <c r="C67" s="68" t="s">
        <v>487</v>
      </c>
      <c r="D67" s="69"/>
      <c r="E67" s="70">
        <v>1</v>
      </c>
      <c r="F67" s="71" t="s">
        <v>458</v>
      </c>
      <c r="G67" s="32"/>
      <c r="H67" s="32"/>
      <c r="I67" s="32"/>
      <c r="J67" s="32"/>
      <c r="K67" s="32"/>
      <c r="L67" s="32"/>
      <c r="M67" s="32"/>
      <c r="N67" s="73"/>
      <c r="O67" s="32"/>
      <c r="P67" s="64"/>
      <c r="Q67" s="64"/>
      <c r="R67" s="64"/>
      <c r="S67" s="65">
        <v>7762.7118644067805</v>
      </c>
      <c r="T67" s="65">
        <v>7762.7118644067805</v>
      </c>
      <c r="U67" s="65">
        <v>7762.7118644067805</v>
      </c>
      <c r="V67" s="65">
        <v>7762.7118644067805</v>
      </c>
      <c r="W67" s="65">
        <v>7762.7118644067805</v>
      </c>
      <c r="X67" s="65">
        <v>7762.7118644067805</v>
      </c>
      <c r="Y67" s="65">
        <v>7762.7118644067805</v>
      </c>
      <c r="Z67" s="72" t="s">
        <v>395</v>
      </c>
      <c r="AA67" s="81" t="s">
        <v>456</v>
      </c>
    </row>
    <row r="68" spans="2:27" ht="21" customHeight="1">
      <c r="B68" s="67">
        <v>38</v>
      </c>
      <c r="C68" s="68" t="s">
        <v>488</v>
      </c>
      <c r="D68" s="69"/>
      <c r="E68" s="70">
        <v>1</v>
      </c>
      <c r="F68" s="71" t="s">
        <v>458</v>
      </c>
      <c r="G68" s="32"/>
      <c r="H68" s="32"/>
      <c r="I68" s="32"/>
      <c r="J68" s="32"/>
      <c r="K68" s="32"/>
      <c r="L68" s="32"/>
      <c r="M68" s="32"/>
      <c r="N68" s="73"/>
      <c r="O68" s="32"/>
      <c r="P68" s="64"/>
      <c r="Q68" s="64"/>
      <c r="R68" s="64"/>
      <c r="S68" s="65">
        <v>2385.593220338983</v>
      </c>
      <c r="T68" s="65">
        <v>2385.593220338983</v>
      </c>
      <c r="U68" s="65">
        <v>2385.593220338983</v>
      </c>
      <c r="V68" s="65">
        <v>2385.593220338983</v>
      </c>
      <c r="W68" s="65">
        <v>2385.593220338983</v>
      </c>
      <c r="X68" s="65">
        <v>2385.593220338983</v>
      </c>
      <c r="Y68" s="65">
        <v>2385.593220338983</v>
      </c>
      <c r="Z68" s="72" t="s">
        <v>395</v>
      </c>
      <c r="AA68" s="81" t="s">
        <v>456</v>
      </c>
    </row>
    <row r="69" spans="2:27" ht="21" customHeight="1">
      <c r="B69" s="67">
        <v>39</v>
      </c>
      <c r="C69" s="68" t="s">
        <v>489</v>
      </c>
      <c r="D69" s="69"/>
      <c r="E69" s="70">
        <v>1</v>
      </c>
      <c r="F69" s="71" t="s">
        <v>458</v>
      </c>
      <c r="G69" s="32"/>
      <c r="H69" s="32"/>
      <c r="I69" s="32"/>
      <c r="J69" s="32"/>
      <c r="K69" s="32"/>
      <c r="L69" s="32"/>
      <c r="M69" s="32"/>
      <c r="N69" s="73"/>
      <c r="O69" s="32"/>
      <c r="P69" s="64"/>
      <c r="Q69" s="64"/>
      <c r="R69" s="64"/>
      <c r="S69" s="65">
        <v>711.86440677966107</v>
      </c>
      <c r="T69" s="65">
        <v>711.86440677966107</v>
      </c>
      <c r="U69" s="65">
        <v>711.86440677966107</v>
      </c>
      <c r="V69" s="65">
        <v>711.86440677966107</v>
      </c>
      <c r="W69" s="65">
        <v>711.86440677966107</v>
      </c>
      <c r="X69" s="65">
        <v>711.86440677966107</v>
      </c>
      <c r="Y69" s="65">
        <v>711.86440677966107</v>
      </c>
      <c r="Z69" s="72" t="s">
        <v>395</v>
      </c>
      <c r="AA69" s="81" t="s">
        <v>456</v>
      </c>
    </row>
    <row r="70" spans="2:27" ht="21" customHeight="1">
      <c r="B70" s="67">
        <v>40</v>
      </c>
      <c r="C70" s="68" t="s">
        <v>490</v>
      </c>
      <c r="D70" s="69"/>
      <c r="E70" s="70">
        <v>1</v>
      </c>
      <c r="F70" s="71" t="s">
        <v>458</v>
      </c>
      <c r="G70" s="32"/>
      <c r="H70" s="32"/>
      <c r="I70" s="32"/>
      <c r="J70" s="32"/>
      <c r="K70" s="32"/>
      <c r="L70" s="32"/>
      <c r="M70" s="32"/>
      <c r="N70" s="73"/>
      <c r="O70" s="32"/>
      <c r="P70" s="64"/>
      <c r="Q70" s="64"/>
      <c r="R70" s="64"/>
      <c r="S70" s="65">
        <v>711.86440677966107</v>
      </c>
      <c r="T70" s="65">
        <v>711.86440677966107</v>
      </c>
      <c r="U70" s="65">
        <v>711.86440677966107</v>
      </c>
      <c r="V70" s="65">
        <v>711.86440677966107</v>
      </c>
      <c r="W70" s="65">
        <v>711.86440677966107</v>
      </c>
      <c r="X70" s="65">
        <v>711.86440677966107</v>
      </c>
      <c r="Y70" s="65">
        <v>711.86440677966107</v>
      </c>
      <c r="Z70" s="72" t="s">
        <v>395</v>
      </c>
      <c r="AA70" s="81" t="s">
        <v>456</v>
      </c>
    </row>
    <row r="71" spans="2:27" ht="21" customHeight="1">
      <c r="B71" s="67">
        <v>41</v>
      </c>
      <c r="C71" s="68" t="s">
        <v>491</v>
      </c>
      <c r="D71" s="69"/>
      <c r="E71" s="70">
        <v>1</v>
      </c>
      <c r="F71" s="71" t="s">
        <v>458</v>
      </c>
      <c r="G71" s="32"/>
      <c r="H71" s="32"/>
      <c r="I71" s="32"/>
      <c r="J71" s="32"/>
      <c r="K71" s="32"/>
      <c r="L71" s="32"/>
      <c r="M71" s="32"/>
      <c r="N71" s="73"/>
      <c r="O71" s="32"/>
      <c r="P71" s="64"/>
      <c r="Q71" s="64"/>
      <c r="R71" s="64"/>
      <c r="S71" s="65">
        <v>711.86440677966107</v>
      </c>
      <c r="T71" s="65">
        <v>711.86440677966107</v>
      </c>
      <c r="U71" s="65">
        <v>711.86440677966107</v>
      </c>
      <c r="V71" s="65">
        <v>711.86440677966107</v>
      </c>
      <c r="W71" s="65">
        <v>711.86440677966107</v>
      </c>
      <c r="X71" s="65">
        <v>711.86440677966107</v>
      </c>
      <c r="Y71" s="65">
        <v>711.86440677966107</v>
      </c>
      <c r="Z71" s="72" t="s">
        <v>395</v>
      </c>
      <c r="AA71" s="81" t="s">
        <v>456</v>
      </c>
    </row>
    <row r="72" spans="2:27" ht="21" customHeight="1">
      <c r="B72" s="67">
        <v>42</v>
      </c>
      <c r="C72" s="68" t="s">
        <v>492</v>
      </c>
      <c r="D72" s="69"/>
      <c r="E72" s="70">
        <v>1</v>
      </c>
      <c r="F72" s="71" t="s">
        <v>458</v>
      </c>
      <c r="G72" s="32"/>
      <c r="H72" s="32"/>
      <c r="I72" s="32"/>
      <c r="J72" s="32"/>
      <c r="K72" s="32"/>
      <c r="L72" s="32"/>
      <c r="M72" s="32"/>
      <c r="N72" s="73"/>
      <c r="O72" s="32"/>
      <c r="P72" s="64"/>
      <c r="Q72" s="64"/>
      <c r="R72" s="64"/>
      <c r="S72" s="65">
        <v>711.86440677966107</v>
      </c>
      <c r="T72" s="65">
        <v>711.86440677966107</v>
      </c>
      <c r="U72" s="65">
        <v>711.86440677966107</v>
      </c>
      <c r="V72" s="65">
        <v>711.86440677966107</v>
      </c>
      <c r="W72" s="65">
        <v>711.86440677966107</v>
      </c>
      <c r="X72" s="65">
        <v>711.86440677966107</v>
      </c>
      <c r="Y72" s="65">
        <v>711.86440677966107</v>
      </c>
      <c r="Z72" s="72" t="s">
        <v>395</v>
      </c>
      <c r="AA72" s="81" t="s">
        <v>456</v>
      </c>
    </row>
    <row r="73" spans="2:27" ht="21" customHeight="1">
      <c r="B73" s="67">
        <v>43</v>
      </c>
      <c r="C73" s="68" t="s">
        <v>493</v>
      </c>
      <c r="D73" s="69"/>
      <c r="E73" s="70">
        <v>1</v>
      </c>
      <c r="F73" s="71" t="s">
        <v>458</v>
      </c>
      <c r="G73" s="32"/>
      <c r="H73" s="32"/>
      <c r="I73" s="32"/>
      <c r="J73" s="32"/>
      <c r="K73" s="32"/>
      <c r="L73" s="32"/>
      <c r="M73" s="32"/>
      <c r="N73" s="73"/>
      <c r="O73" s="32"/>
      <c r="P73" s="64"/>
      <c r="Q73" s="64"/>
      <c r="R73" s="64"/>
      <c r="S73" s="65">
        <v>1220.3389830508474</v>
      </c>
      <c r="T73" s="65">
        <v>1220.3389830508474</v>
      </c>
      <c r="U73" s="65">
        <v>1220.3389830508474</v>
      </c>
      <c r="V73" s="65">
        <v>1220.3389830508474</v>
      </c>
      <c r="W73" s="65">
        <v>1220.3389830508474</v>
      </c>
      <c r="X73" s="65">
        <v>1220.3389830508474</v>
      </c>
      <c r="Y73" s="65">
        <v>1220.3389830508474</v>
      </c>
      <c r="Z73" s="72" t="s">
        <v>395</v>
      </c>
      <c r="AA73" s="81" t="s">
        <v>456</v>
      </c>
    </row>
    <row r="74" spans="2:27" ht="21" customHeight="1">
      <c r="B74" s="67">
        <v>44</v>
      </c>
      <c r="C74" s="68" t="s">
        <v>494</v>
      </c>
      <c r="D74" s="69"/>
      <c r="E74" s="70">
        <v>1</v>
      </c>
      <c r="F74" s="71" t="s">
        <v>458</v>
      </c>
      <c r="G74" s="32"/>
      <c r="H74" s="32"/>
      <c r="I74" s="32"/>
      <c r="J74" s="32"/>
      <c r="K74" s="32"/>
      <c r="L74" s="32"/>
      <c r="M74" s="32"/>
      <c r="N74" s="73"/>
      <c r="O74" s="32"/>
      <c r="P74" s="64"/>
      <c r="Q74" s="64"/>
      <c r="R74" s="64"/>
      <c r="S74" s="65">
        <v>2343.2203389830511</v>
      </c>
      <c r="T74" s="65">
        <v>2343.2203389830511</v>
      </c>
      <c r="U74" s="65">
        <v>2343.2203389830511</v>
      </c>
      <c r="V74" s="65">
        <v>2343.2203389830511</v>
      </c>
      <c r="W74" s="65">
        <v>2343.2203389830511</v>
      </c>
      <c r="X74" s="65">
        <v>2343.2203389830511</v>
      </c>
      <c r="Y74" s="65">
        <v>2343.2203389830511</v>
      </c>
      <c r="Z74" s="72" t="s">
        <v>395</v>
      </c>
      <c r="AA74" s="81" t="s">
        <v>456</v>
      </c>
    </row>
    <row r="75" spans="2:27" ht="21" customHeight="1">
      <c r="B75" s="67">
        <v>45</v>
      </c>
      <c r="C75" s="68" t="s">
        <v>495</v>
      </c>
      <c r="D75" s="69"/>
      <c r="E75" s="70">
        <v>1</v>
      </c>
      <c r="F75" s="71" t="s">
        <v>458</v>
      </c>
      <c r="G75" s="32"/>
      <c r="H75" s="32"/>
      <c r="I75" s="32"/>
      <c r="J75" s="32"/>
      <c r="K75" s="32"/>
      <c r="L75" s="32"/>
      <c r="M75" s="32"/>
      <c r="N75" s="73"/>
      <c r="O75" s="32"/>
      <c r="P75" s="64"/>
      <c r="Q75" s="64"/>
      <c r="R75" s="64"/>
      <c r="S75" s="65">
        <v>2343.2203389830511</v>
      </c>
      <c r="T75" s="65">
        <v>2343.2203389830511</v>
      </c>
      <c r="U75" s="65">
        <v>2343.2203389830511</v>
      </c>
      <c r="V75" s="65">
        <v>2343.2203389830511</v>
      </c>
      <c r="W75" s="65">
        <v>2343.2203389830511</v>
      </c>
      <c r="X75" s="65">
        <v>2343.2203389830511</v>
      </c>
      <c r="Y75" s="65">
        <v>2343.2203389830511</v>
      </c>
      <c r="Z75" s="72" t="s">
        <v>395</v>
      </c>
      <c r="AA75" s="81" t="s">
        <v>456</v>
      </c>
    </row>
    <row r="76" spans="2:27" ht="21" customHeight="1">
      <c r="B76" s="67">
        <v>46</v>
      </c>
      <c r="C76" s="68" t="s">
        <v>496</v>
      </c>
      <c r="D76" s="69"/>
      <c r="E76" s="70">
        <v>1</v>
      </c>
      <c r="F76" s="71" t="s">
        <v>458</v>
      </c>
      <c r="G76" s="32"/>
      <c r="H76" s="32"/>
      <c r="I76" s="32"/>
      <c r="J76" s="32"/>
      <c r="K76" s="32"/>
      <c r="L76" s="32"/>
      <c r="M76" s="32"/>
      <c r="N76" s="73"/>
      <c r="O76" s="32"/>
      <c r="P76" s="64"/>
      <c r="Q76" s="64"/>
      <c r="R76" s="64"/>
      <c r="S76" s="65">
        <v>2343.2203389830511</v>
      </c>
      <c r="T76" s="65">
        <v>2343.2203389830511</v>
      </c>
      <c r="U76" s="65">
        <v>2343.2203389830511</v>
      </c>
      <c r="V76" s="65">
        <v>2343.2203389830511</v>
      </c>
      <c r="W76" s="65">
        <v>2343.2203389830511</v>
      </c>
      <c r="X76" s="65">
        <v>2343.2203389830511</v>
      </c>
      <c r="Y76" s="65">
        <v>2343.2203389830511</v>
      </c>
      <c r="Z76" s="72" t="s">
        <v>395</v>
      </c>
      <c r="AA76" s="81" t="s">
        <v>456</v>
      </c>
    </row>
    <row r="77" spans="2:27" ht="21" customHeight="1">
      <c r="B77" s="67">
        <v>47</v>
      </c>
      <c r="C77" s="68" t="s">
        <v>497</v>
      </c>
      <c r="D77" s="69"/>
      <c r="E77" s="70">
        <v>1</v>
      </c>
      <c r="F77" s="71" t="s">
        <v>458</v>
      </c>
      <c r="G77" s="32"/>
      <c r="H77" s="32"/>
      <c r="I77" s="32"/>
      <c r="J77" s="32"/>
      <c r="K77" s="32"/>
      <c r="L77" s="32"/>
      <c r="M77" s="32"/>
      <c r="N77" s="73"/>
      <c r="O77" s="32"/>
      <c r="P77" s="64"/>
      <c r="Q77" s="64"/>
      <c r="R77" s="64"/>
      <c r="S77" s="65">
        <v>2343.2203389830511</v>
      </c>
      <c r="T77" s="65">
        <v>2343.2203389830511</v>
      </c>
      <c r="U77" s="65">
        <v>2343.2203389830511</v>
      </c>
      <c r="V77" s="65">
        <v>2343.2203389830511</v>
      </c>
      <c r="W77" s="65">
        <v>2343.2203389830511</v>
      </c>
      <c r="X77" s="65">
        <v>2343.2203389830511</v>
      </c>
      <c r="Y77" s="65">
        <v>2343.2203389830511</v>
      </c>
      <c r="Z77" s="72" t="s">
        <v>395</v>
      </c>
      <c r="AA77" s="81" t="s">
        <v>456</v>
      </c>
    </row>
    <row r="78" spans="2:27" ht="21" customHeight="1">
      <c r="B78" s="67">
        <v>48</v>
      </c>
      <c r="C78" s="68" t="s">
        <v>498</v>
      </c>
      <c r="D78" s="69"/>
      <c r="E78" s="70">
        <v>1</v>
      </c>
      <c r="F78" s="71" t="s">
        <v>458</v>
      </c>
      <c r="G78" s="32"/>
      <c r="H78" s="32"/>
      <c r="I78" s="32"/>
      <c r="J78" s="32"/>
      <c r="K78" s="32"/>
      <c r="L78" s="32"/>
      <c r="M78" s="32"/>
      <c r="N78" s="73"/>
      <c r="O78" s="32"/>
      <c r="P78" s="64"/>
      <c r="Q78" s="64"/>
      <c r="R78" s="64"/>
      <c r="S78" s="65">
        <v>2343.2203389830511</v>
      </c>
      <c r="T78" s="65">
        <v>2343.2203389830511</v>
      </c>
      <c r="U78" s="65">
        <v>2343.2203389830511</v>
      </c>
      <c r="V78" s="65">
        <v>2343.2203389830511</v>
      </c>
      <c r="W78" s="65">
        <v>2343.2203389830511</v>
      </c>
      <c r="X78" s="65">
        <v>2343.2203389830511</v>
      </c>
      <c r="Y78" s="65">
        <v>2343.2203389830511</v>
      </c>
      <c r="Z78" s="72" t="s">
        <v>395</v>
      </c>
      <c r="AA78" s="81" t="s">
        <v>456</v>
      </c>
    </row>
    <row r="79" spans="2:27" ht="21" customHeight="1">
      <c r="B79" s="67">
        <v>49</v>
      </c>
      <c r="C79" s="68" t="s">
        <v>499</v>
      </c>
      <c r="D79" s="69"/>
      <c r="E79" s="70">
        <v>1</v>
      </c>
      <c r="F79" s="71" t="s">
        <v>458</v>
      </c>
      <c r="G79" s="32"/>
      <c r="H79" s="32"/>
      <c r="I79" s="32"/>
      <c r="J79" s="32"/>
      <c r="K79" s="32"/>
      <c r="L79" s="32"/>
      <c r="M79" s="32"/>
      <c r="N79" s="73"/>
      <c r="O79" s="32"/>
      <c r="P79" s="64"/>
      <c r="Q79" s="64"/>
      <c r="R79" s="64"/>
      <c r="S79" s="65">
        <v>2538.1355932203392</v>
      </c>
      <c r="T79" s="65">
        <v>2538.1355932203392</v>
      </c>
      <c r="U79" s="65">
        <v>2538.1355932203392</v>
      </c>
      <c r="V79" s="65">
        <v>2538.1355932203392</v>
      </c>
      <c r="W79" s="65">
        <v>2538.1355932203392</v>
      </c>
      <c r="X79" s="65">
        <v>2538.1355932203392</v>
      </c>
      <c r="Y79" s="65">
        <v>2538.1355932203392</v>
      </c>
      <c r="Z79" s="72" t="s">
        <v>395</v>
      </c>
      <c r="AA79" s="81" t="s">
        <v>456</v>
      </c>
    </row>
    <row r="80" spans="2:27" ht="21" customHeight="1">
      <c r="B80" s="67">
        <v>50</v>
      </c>
      <c r="C80" s="68" t="s">
        <v>500</v>
      </c>
      <c r="D80" s="69"/>
      <c r="E80" s="70">
        <v>1</v>
      </c>
      <c r="F80" s="71" t="s">
        <v>458</v>
      </c>
      <c r="G80" s="32"/>
      <c r="H80" s="32"/>
      <c r="I80" s="32"/>
      <c r="J80" s="32"/>
      <c r="K80" s="32"/>
      <c r="L80" s="32"/>
      <c r="M80" s="32"/>
      <c r="N80" s="73"/>
      <c r="O80" s="32"/>
      <c r="P80" s="64"/>
      <c r="Q80" s="64"/>
      <c r="R80" s="64"/>
      <c r="S80" s="65">
        <v>2538.1355932203392</v>
      </c>
      <c r="T80" s="65">
        <v>2538.1355932203392</v>
      </c>
      <c r="U80" s="65">
        <v>2538.1355932203392</v>
      </c>
      <c r="V80" s="65">
        <v>2538.1355932203392</v>
      </c>
      <c r="W80" s="65">
        <v>2538.1355932203392</v>
      </c>
      <c r="X80" s="65">
        <v>2538.1355932203392</v>
      </c>
      <c r="Y80" s="65">
        <v>2538.1355932203392</v>
      </c>
      <c r="Z80" s="72" t="s">
        <v>395</v>
      </c>
      <c r="AA80" s="81" t="s">
        <v>456</v>
      </c>
    </row>
    <row r="81" spans="2:27" ht="21" customHeight="1">
      <c r="B81" s="67">
        <v>51</v>
      </c>
      <c r="C81" s="68" t="s">
        <v>501</v>
      </c>
      <c r="D81" s="69"/>
      <c r="E81" s="70">
        <v>1</v>
      </c>
      <c r="F81" s="71" t="s">
        <v>458</v>
      </c>
      <c r="G81" s="32"/>
      <c r="H81" s="32"/>
      <c r="I81" s="32"/>
      <c r="J81" s="32"/>
      <c r="K81" s="32"/>
      <c r="L81" s="32"/>
      <c r="M81" s="32"/>
      <c r="N81" s="73"/>
      <c r="O81" s="32"/>
      <c r="P81" s="64"/>
      <c r="Q81" s="64"/>
      <c r="R81" s="64"/>
      <c r="S81" s="65">
        <v>3703.3898305084749</v>
      </c>
      <c r="T81" s="65">
        <v>3703.3898305084749</v>
      </c>
      <c r="U81" s="65">
        <v>3703.3898305084749</v>
      </c>
      <c r="V81" s="65">
        <v>3703.3898305084749</v>
      </c>
      <c r="W81" s="65">
        <v>3703.3898305084749</v>
      </c>
      <c r="X81" s="65">
        <v>3703.3898305084749</v>
      </c>
      <c r="Y81" s="65">
        <v>3703.3898305084749</v>
      </c>
      <c r="Z81" s="72" t="s">
        <v>395</v>
      </c>
      <c r="AA81" s="81" t="s">
        <v>456</v>
      </c>
    </row>
    <row r="82" spans="2:27" ht="21" customHeight="1">
      <c r="B82" s="67">
        <v>52</v>
      </c>
      <c r="C82" s="68" t="s">
        <v>502</v>
      </c>
      <c r="D82" s="69"/>
      <c r="E82" s="70">
        <v>1</v>
      </c>
      <c r="F82" s="71" t="s">
        <v>458</v>
      </c>
      <c r="G82" s="32"/>
      <c r="H82" s="32"/>
      <c r="I82" s="32"/>
      <c r="J82" s="32"/>
      <c r="K82" s="32"/>
      <c r="L82" s="32"/>
      <c r="M82" s="32"/>
      <c r="N82" s="73"/>
      <c r="O82" s="32"/>
      <c r="P82" s="64"/>
      <c r="Q82" s="64"/>
      <c r="R82" s="64"/>
      <c r="S82" s="65">
        <v>3703.3898305084749</v>
      </c>
      <c r="T82" s="65">
        <v>3703.3898305084749</v>
      </c>
      <c r="U82" s="65">
        <v>3703.3898305084749</v>
      </c>
      <c r="V82" s="65">
        <v>3703.3898305084749</v>
      </c>
      <c r="W82" s="65">
        <v>3703.3898305084749</v>
      </c>
      <c r="X82" s="65">
        <v>3703.3898305084749</v>
      </c>
      <c r="Y82" s="65">
        <v>3703.3898305084749</v>
      </c>
      <c r="Z82" s="72" t="s">
        <v>395</v>
      </c>
      <c r="AA82" s="81" t="s">
        <v>456</v>
      </c>
    </row>
    <row r="83" spans="2:27" ht="21" customHeight="1">
      <c r="B83" s="67">
        <v>53</v>
      </c>
      <c r="C83" s="68" t="s">
        <v>503</v>
      </c>
      <c r="D83" s="69"/>
      <c r="E83" s="70">
        <v>1</v>
      </c>
      <c r="F83" s="71" t="s">
        <v>458</v>
      </c>
      <c r="G83" s="32"/>
      <c r="H83" s="32"/>
      <c r="I83" s="32"/>
      <c r="J83" s="32"/>
      <c r="K83" s="32"/>
      <c r="L83" s="32"/>
      <c r="M83" s="32"/>
      <c r="N83" s="73"/>
      <c r="O83" s="32"/>
      <c r="P83" s="64"/>
      <c r="Q83" s="64"/>
      <c r="R83" s="64"/>
      <c r="S83" s="65">
        <v>3703.3898305084749</v>
      </c>
      <c r="T83" s="65">
        <v>3703.3898305084749</v>
      </c>
      <c r="U83" s="65">
        <v>3703.3898305084749</v>
      </c>
      <c r="V83" s="65">
        <v>3703.3898305084749</v>
      </c>
      <c r="W83" s="65">
        <v>3703.3898305084749</v>
      </c>
      <c r="X83" s="65">
        <v>3703.3898305084749</v>
      </c>
      <c r="Y83" s="65">
        <v>3703.3898305084749</v>
      </c>
      <c r="Z83" s="72" t="s">
        <v>395</v>
      </c>
      <c r="AA83" s="81" t="s">
        <v>456</v>
      </c>
    </row>
    <row r="84" spans="2:27" ht="21" customHeight="1">
      <c r="B84" s="67">
        <v>54</v>
      </c>
      <c r="C84" s="68" t="s">
        <v>504</v>
      </c>
      <c r="D84" s="69"/>
      <c r="E84" s="70">
        <v>1</v>
      </c>
      <c r="F84" s="71" t="s">
        <v>458</v>
      </c>
      <c r="G84" s="32"/>
      <c r="H84" s="32"/>
      <c r="I84" s="32"/>
      <c r="J84" s="32"/>
      <c r="K84" s="32"/>
      <c r="L84" s="32"/>
      <c r="M84" s="32"/>
      <c r="N84" s="73"/>
      <c r="O84" s="32"/>
      <c r="P84" s="64"/>
      <c r="Q84" s="64"/>
      <c r="R84" s="64"/>
      <c r="S84" s="65">
        <v>3703.3898305084749</v>
      </c>
      <c r="T84" s="65">
        <v>3703.3898305084749</v>
      </c>
      <c r="U84" s="65">
        <v>3703.3898305084749</v>
      </c>
      <c r="V84" s="65">
        <v>3703.3898305084749</v>
      </c>
      <c r="W84" s="65">
        <v>3703.3898305084749</v>
      </c>
      <c r="X84" s="65">
        <v>3703.3898305084749</v>
      </c>
      <c r="Y84" s="65">
        <v>3703.3898305084749</v>
      </c>
      <c r="Z84" s="72" t="s">
        <v>395</v>
      </c>
      <c r="AA84" s="81" t="s">
        <v>456</v>
      </c>
    </row>
    <row r="85" spans="2:27" ht="21" customHeight="1">
      <c r="B85" s="67">
        <v>55</v>
      </c>
      <c r="C85" s="68" t="s">
        <v>505</v>
      </c>
      <c r="D85" s="69"/>
      <c r="E85" s="70">
        <v>1</v>
      </c>
      <c r="F85" s="71" t="s">
        <v>458</v>
      </c>
      <c r="G85" s="32"/>
      <c r="H85" s="32"/>
      <c r="I85" s="32"/>
      <c r="J85" s="32"/>
      <c r="K85" s="32"/>
      <c r="L85" s="32"/>
      <c r="M85" s="32"/>
      <c r="N85" s="73"/>
      <c r="O85" s="32"/>
      <c r="P85" s="64"/>
      <c r="Q85" s="64"/>
      <c r="R85" s="64"/>
      <c r="S85" s="65">
        <v>3703.3898305084749</v>
      </c>
      <c r="T85" s="65">
        <v>3703.3898305084749</v>
      </c>
      <c r="U85" s="65">
        <v>3703.3898305084749</v>
      </c>
      <c r="V85" s="65">
        <v>3703.3898305084749</v>
      </c>
      <c r="W85" s="65">
        <v>3703.3898305084749</v>
      </c>
      <c r="X85" s="65">
        <v>3703.3898305084749</v>
      </c>
      <c r="Y85" s="65">
        <v>3703.3898305084749</v>
      </c>
      <c r="Z85" s="72" t="s">
        <v>395</v>
      </c>
      <c r="AA85" s="81" t="s">
        <v>456</v>
      </c>
    </row>
    <row r="86" spans="2:27" ht="21" customHeight="1">
      <c r="B86" s="67">
        <v>56</v>
      </c>
      <c r="C86" s="68" t="s">
        <v>506</v>
      </c>
      <c r="D86" s="69"/>
      <c r="E86" s="70">
        <v>1</v>
      </c>
      <c r="F86" s="71" t="s">
        <v>458</v>
      </c>
      <c r="G86" s="32"/>
      <c r="H86" s="32"/>
      <c r="I86" s="32"/>
      <c r="J86" s="32"/>
      <c r="K86" s="32"/>
      <c r="L86" s="32"/>
      <c r="M86" s="32"/>
      <c r="N86" s="73"/>
      <c r="O86" s="32"/>
      <c r="P86" s="64"/>
      <c r="Q86" s="64"/>
      <c r="R86" s="64"/>
      <c r="S86" s="65">
        <v>3953.3898305084749</v>
      </c>
      <c r="T86" s="65">
        <v>3953.3898305084749</v>
      </c>
      <c r="U86" s="65">
        <v>3953.3898305084749</v>
      </c>
      <c r="V86" s="65">
        <v>3953.3898305084749</v>
      </c>
      <c r="W86" s="65">
        <v>3953.3898305084749</v>
      </c>
      <c r="X86" s="65">
        <v>3953.3898305084749</v>
      </c>
      <c r="Y86" s="65">
        <v>3953.3898305084749</v>
      </c>
      <c r="Z86" s="72" t="s">
        <v>395</v>
      </c>
      <c r="AA86" s="81" t="s">
        <v>456</v>
      </c>
    </row>
    <row r="87" spans="2:27" ht="21" customHeight="1">
      <c r="B87" s="67">
        <v>57</v>
      </c>
      <c r="C87" s="68" t="s">
        <v>507</v>
      </c>
      <c r="D87" s="69"/>
      <c r="E87" s="70">
        <v>1</v>
      </c>
      <c r="F87" s="71" t="s">
        <v>458</v>
      </c>
      <c r="G87" s="32"/>
      <c r="H87" s="32"/>
      <c r="I87" s="32"/>
      <c r="J87" s="32"/>
      <c r="K87" s="32"/>
      <c r="L87" s="32"/>
      <c r="M87" s="32"/>
      <c r="N87" s="73"/>
      <c r="O87" s="32"/>
      <c r="P87" s="64"/>
      <c r="Q87" s="64"/>
      <c r="R87" s="64"/>
      <c r="S87" s="65">
        <v>3953.3898305084749</v>
      </c>
      <c r="T87" s="65">
        <v>3953.3898305084749</v>
      </c>
      <c r="U87" s="65">
        <v>3953.3898305084749</v>
      </c>
      <c r="V87" s="65">
        <v>3953.3898305084749</v>
      </c>
      <c r="W87" s="65">
        <v>3953.3898305084749</v>
      </c>
      <c r="X87" s="65">
        <v>3953.3898305084749</v>
      </c>
      <c r="Y87" s="65">
        <v>3953.3898305084749</v>
      </c>
      <c r="Z87" s="72" t="s">
        <v>395</v>
      </c>
      <c r="AA87" s="81" t="s">
        <v>456</v>
      </c>
    </row>
    <row r="88" spans="2:27" ht="21" customHeight="1">
      <c r="B88" s="67">
        <v>58</v>
      </c>
      <c r="C88" s="68" t="s">
        <v>508</v>
      </c>
      <c r="D88" s="69"/>
      <c r="E88" s="70">
        <v>1</v>
      </c>
      <c r="F88" s="71" t="s">
        <v>458</v>
      </c>
      <c r="G88" s="32"/>
      <c r="H88" s="32"/>
      <c r="I88" s="32"/>
      <c r="J88" s="32"/>
      <c r="K88" s="32"/>
      <c r="L88" s="32"/>
      <c r="M88" s="32"/>
      <c r="N88" s="73"/>
      <c r="O88" s="32"/>
      <c r="P88" s="64"/>
      <c r="Q88" s="64"/>
      <c r="R88" s="64"/>
      <c r="S88" s="65">
        <v>5118.6440677966102</v>
      </c>
      <c r="T88" s="65">
        <v>5118.6440677966102</v>
      </c>
      <c r="U88" s="65">
        <v>5118.6440677966102</v>
      </c>
      <c r="V88" s="65">
        <v>5118.6440677966102</v>
      </c>
      <c r="W88" s="65">
        <v>5118.6440677966102</v>
      </c>
      <c r="X88" s="65">
        <v>5118.6440677966102</v>
      </c>
      <c r="Y88" s="65">
        <v>5118.6440677966102</v>
      </c>
      <c r="Z88" s="72" t="s">
        <v>395</v>
      </c>
      <c r="AA88" s="81" t="s">
        <v>456</v>
      </c>
    </row>
    <row r="89" spans="2:27" ht="21" customHeight="1">
      <c r="B89" s="67">
        <v>59</v>
      </c>
      <c r="C89" s="68" t="s">
        <v>509</v>
      </c>
      <c r="D89" s="69"/>
      <c r="E89" s="70">
        <v>1</v>
      </c>
      <c r="F89" s="71" t="s">
        <v>458</v>
      </c>
      <c r="G89" s="32"/>
      <c r="H89" s="32"/>
      <c r="I89" s="32"/>
      <c r="J89" s="32"/>
      <c r="K89" s="32"/>
      <c r="L89" s="32"/>
      <c r="M89" s="32"/>
      <c r="N89" s="73"/>
      <c r="O89" s="32"/>
      <c r="P89" s="64"/>
      <c r="Q89" s="64"/>
      <c r="R89" s="64"/>
      <c r="S89" s="65">
        <v>5118.6440677966102</v>
      </c>
      <c r="T89" s="65">
        <v>5118.6440677966102</v>
      </c>
      <c r="U89" s="65">
        <v>5118.6440677966102</v>
      </c>
      <c r="V89" s="65">
        <v>5118.6440677966102</v>
      </c>
      <c r="W89" s="65">
        <v>5118.6440677966102</v>
      </c>
      <c r="X89" s="65">
        <v>5118.6440677966102</v>
      </c>
      <c r="Y89" s="65">
        <v>5118.6440677966102</v>
      </c>
      <c r="Z89" s="72" t="s">
        <v>395</v>
      </c>
      <c r="AA89" s="81" t="s">
        <v>456</v>
      </c>
    </row>
    <row r="90" spans="2:27" ht="21" customHeight="1">
      <c r="B90" s="67">
        <v>60</v>
      </c>
      <c r="C90" s="68" t="s">
        <v>510</v>
      </c>
      <c r="D90" s="69"/>
      <c r="E90" s="70">
        <v>1</v>
      </c>
      <c r="F90" s="71" t="s">
        <v>458</v>
      </c>
      <c r="G90" s="32"/>
      <c r="H90" s="32"/>
      <c r="I90" s="32"/>
      <c r="J90" s="32"/>
      <c r="K90" s="32"/>
      <c r="L90" s="32"/>
      <c r="M90" s="32"/>
      <c r="N90" s="73"/>
      <c r="O90" s="32"/>
      <c r="P90" s="64"/>
      <c r="Q90" s="64"/>
      <c r="R90" s="64"/>
      <c r="S90" s="65">
        <v>5118.6440677966102</v>
      </c>
      <c r="T90" s="65">
        <v>5118.6440677966102</v>
      </c>
      <c r="U90" s="65">
        <v>5118.6440677966102</v>
      </c>
      <c r="V90" s="65">
        <v>5118.6440677966102</v>
      </c>
      <c r="W90" s="65">
        <v>5118.6440677966102</v>
      </c>
      <c r="X90" s="65">
        <v>5118.6440677966102</v>
      </c>
      <c r="Y90" s="65">
        <v>5118.6440677966102</v>
      </c>
      <c r="Z90" s="72" t="s">
        <v>395</v>
      </c>
      <c r="AA90" s="81" t="s">
        <v>456</v>
      </c>
    </row>
    <row r="91" spans="2:27" ht="21" customHeight="1">
      <c r="B91" s="67">
        <v>61</v>
      </c>
      <c r="C91" s="68" t="s">
        <v>511</v>
      </c>
      <c r="D91" s="69"/>
      <c r="E91" s="70">
        <v>1</v>
      </c>
      <c r="F91" s="71" t="s">
        <v>458</v>
      </c>
      <c r="G91" s="32"/>
      <c r="H91" s="32"/>
      <c r="I91" s="32"/>
      <c r="J91" s="32"/>
      <c r="K91" s="32"/>
      <c r="L91" s="32"/>
      <c r="M91" s="32"/>
      <c r="N91" s="73"/>
      <c r="O91" s="32"/>
      <c r="P91" s="64"/>
      <c r="Q91" s="64"/>
      <c r="R91" s="64"/>
      <c r="S91" s="65">
        <v>5118.6440677966102</v>
      </c>
      <c r="T91" s="65">
        <v>5118.6440677966102</v>
      </c>
      <c r="U91" s="65">
        <v>5118.6440677966102</v>
      </c>
      <c r="V91" s="65">
        <v>5118.6440677966102</v>
      </c>
      <c r="W91" s="65">
        <v>5118.6440677966102</v>
      </c>
      <c r="X91" s="65">
        <v>5118.6440677966102</v>
      </c>
      <c r="Y91" s="65">
        <v>5118.6440677966102</v>
      </c>
      <c r="Z91" s="72" t="s">
        <v>395</v>
      </c>
      <c r="AA91" s="81" t="s">
        <v>456</v>
      </c>
    </row>
    <row r="92" spans="2:27" ht="21" customHeight="1">
      <c r="B92" s="67">
        <v>62</v>
      </c>
      <c r="C92" s="68" t="s">
        <v>512</v>
      </c>
      <c r="D92" s="69"/>
      <c r="E92" s="70">
        <v>1</v>
      </c>
      <c r="F92" s="71" t="s">
        <v>458</v>
      </c>
      <c r="G92" s="32"/>
      <c r="H92" s="32"/>
      <c r="I92" s="32"/>
      <c r="J92" s="32"/>
      <c r="K92" s="32"/>
      <c r="L92" s="32"/>
      <c r="M92" s="32"/>
      <c r="N92" s="73"/>
      <c r="O92" s="32"/>
      <c r="P92" s="64"/>
      <c r="Q92" s="64"/>
      <c r="R92" s="64"/>
      <c r="S92" s="65">
        <v>5118.6440677966102</v>
      </c>
      <c r="T92" s="65">
        <v>5118.6440677966102</v>
      </c>
      <c r="U92" s="65">
        <v>5118.6440677966102</v>
      </c>
      <c r="V92" s="65">
        <v>5118.6440677966102</v>
      </c>
      <c r="W92" s="65">
        <v>5118.6440677966102</v>
      </c>
      <c r="X92" s="65">
        <v>5118.6440677966102</v>
      </c>
      <c r="Y92" s="65">
        <v>5118.6440677966102</v>
      </c>
      <c r="Z92" s="72" t="s">
        <v>395</v>
      </c>
      <c r="AA92" s="81" t="s">
        <v>456</v>
      </c>
    </row>
    <row r="93" spans="2:27" ht="21" customHeight="1">
      <c r="B93" s="67">
        <v>63</v>
      </c>
      <c r="C93" s="68" t="s">
        <v>513</v>
      </c>
      <c r="D93" s="69"/>
      <c r="E93" s="70">
        <v>1</v>
      </c>
      <c r="F93" s="71" t="s">
        <v>458</v>
      </c>
      <c r="G93" s="32"/>
      <c r="H93" s="32"/>
      <c r="I93" s="32"/>
      <c r="J93" s="32"/>
      <c r="K93" s="32"/>
      <c r="L93" s="32"/>
      <c r="M93" s="32"/>
      <c r="N93" s="73"/>
      <c r="O93" s="32"/>
      <c r="P93" s="64"/>
      <c r="Q93" s="64"/>
      <c r="R93" s="64"/>
      <c r="S93" s="65">
        <v>5597.4576271186443</v>
      </c>
      <c r="T93" s="65">
        <v>5597.4576271186443</v>
      </c>
      <c r="U93" s="65">
        <v>5597.4576271186443</v>
      </c>
      <c r="V93" s="65">
        <v>5597.4576271186443</v>
      </c>
      <c r="W93" s="65">
        <v>5597.4576271186443</v>
      </c>
      <c r="X93" s="65">
        <v>5597.4576271186443</v>
      </c>
      <c r="Y93" s="65">
        <v>5597.4576271186443</v>
      </c>
      <c r="Z93" s="72" t="s">
        <v>395</v>
      </c>
      <c r="AA93" s="81" t="s">
        <v>456</v>
      </c>
    </row>
    <row r="94" spans="2:27" ht="21" customHeight="1">
      <c r="B94" s="67">
        <v>64</v>
      </c>
      <c r="C94" s="68" t="s">
        <v>514</v>
      </c>
      <c r="D94" s="69"/>
      <c r="E94" s="70">
        <v>1</v>
      </c>
      <c r="F94" s="71" t="s">
        <v>458</v>
      </c>
      <c r="G94" s="40"/>
      <c r="H94" s="40"/>
      <c r="I94" s="40"/>
      <c r="J94" s="40"/>
      <c r="K94" s="40"/>
      <c r="L94" s="40"/>
      <c r="M94" s="40"/>
      <c r="N94" s="78"/>
      <c r="O94" s="32"/>
      <c r="P94" s="64"/>
      <c r="Q94" s="64"/>
      <c r="R94" s="64"/>
      <c r="S94" s="65">
        <v>5597.4576271186443</v>
      </c>
      <c r="T94" s="65">
        <v>5597.4576271186443</v>
      </c>
      <c r="U94" s="65">
        <v>5597.4576271186443</v>
      </c>
      <c r="V94" s="65">
        <v>5597.4576271186443</v>
      </c>
      <c r="W94" s="65">
        <v>5597.4576271186443</v>
      </c>
      <c r="X94" s="65">
        <v>5597.4576271186443</v>
      </c>
      <c r="Y94" s="65">
        <v>5597.4576271186443</v>
      </c>
      <c r="Z94" s="72" t="s">
        <v>395</v>
      </c>
      <c r="AA94" s="81" t="s">
        <v>456</v>
      </c>
    </row>
    <row r="95" spans="2:27" ht="21" customHeight="1">
      <c r="B95" s="67">
        <v>65</v>
      </c>
      <c r="C95" s="68" t="s">
        <v>515</v>
      </c>
      <c r="D95" s="69"/>
      <c r="E95" s="70">
        <v>1</v>
      </c>
      <c r="F95" s="71" t="s">
        <v>458</v>
      </c>
      <c r="G95" s="32"/>
      <c r="H95" s="32"/>
      <c r="I95" s="32"/>
      <c r="J95" s="32"/>
      <c r="K95" s="32"/>
      <c r="L95" s="32"/>
      <c r="M95" s="32"/>
      <c r="N95" s="73"/>
      <c r="O95" s="32"/>
      <c r="P95" s="64"/>
      <c r="Q95" s="64"/>
      <c r="R95" s="64"/>
      <c r="S95" s="65">
        <v>12067.796610169493</v>
      </c>
      <c r="T95" s="65">
        <v>12067.796610169493</v>
      </c>
      <c r="U95" s="65">
        <v>12067.796610169493</v>
      </c>
      <c r="V95" s="65">
        <v>12067.796610169493</v>
      </c>
      <c r="W95" s="65">
        <v>12067.796610169493</v>
      </c>
      <c r="X95" s="65">
        <v>12067.796610169493</v>
      </c>
      <c r="Y95" s="65">
        <v>12067.796610169493</v>
      </c>
      <c r="Z95" s="72" t="s">
        <v>395</v>
      </c>
      <c r="AA95" s="81" t="s">
        <v>456</v>
      </c>
    </row>
    <row r="96" spans="2:27" ht="21" customHeight="1">
      <c r="B96" s="67">
        <v>66</v>
      </c>
      <c r="C96" s="68" t="s">
        <v>516</v>
      </c>
      <c r="D96" s="69"/>
      <c r="E96" s="70">
        <v>1</v>
      </c>
      <c r="F96" s="71" t="s">
        <v>458</v>
      </c>
      <c r="G96" s="32"/>
      <c r="H96" s="32"/>
      <c r="I96" s="32"/>
      <c r="J96" s="32"/>
      <c r="K96" s="32"/>
      <c r="L96" s="32"/>
      <c r="M96" s="32"/>
      <c r="N96" s="73"/>
      <c r="O96" s="32"/>
      <c r="P96" s="64"/>
      <c r="Q96" s="64"/>
      <c r="R96" s="64"/>
      <c r="S96" s="65">
        <v>13233.050847457627</v>
      </c>
      <c r="T96" s="65">
        <v>13233.050847457627</v>
      </c>
      <c r="U96" s="65">
        <v>13233.050847457627</v>
      </c>
      <c r="V96" s="65">
        <v>13233.050847457627</v>
      </c>
      <c r="W96" s="65">
        <v>13233.050847457627</v>
      </c>
      <c r="X96" s="65">
        <v>13233.050847457627</v>
      </c>
      <c r="Y96" s="65">
        <v>13233.050847457627</v>
      </c>
      <c r="Z96" s="72" t="s">
        <v>395</v>
      </c>
      <c r="AA96" s="81" t="s">
        <v>456</v>
      </c>
    </row>
    <row r="97" spans="2:27" ht="21" customHeight="1">
      <c r="B97" s="67">
        <v>67</v>
      </c>
      <c r="C97" s="68" t="s">
        <v>517</v>
      </c>
      <c r="D97" s="69"/>
      <c r="E97" s="70">
        <v>1</v>
      </c>
      <c r="F97" s="71" t="s">
        <v>458</v>
      </c>
      <c r="G97" s="32"/>
      <c r="H97" s="32"/>
      <c r="I97" s="32"/>
      <c r="J97" s="32"/>
      <c r="K97" s="32"/>
      <c r="L97" s="32"/>
      <c r="M97" s="32"/>
      <c r="N97" s="73"/>
      <c r="O97" s="32"/>
      <c r="P97" s="64"/>
      <c r="Q97" s="64"/>
      <c r="R97" s="64"/>
      <c r="S97" s="65">
        <v>5466.1016949152545</v>
      </c>
      <c r="T97" s="65">
        <v>5466.1016949152545</v>
      </c>
      <c r="U97" s="65">
        <v>5466.1016949152545</v>
      </c>
      <c r="V97" s="65">
        <v>5466.1016949152545</v>
      </c>
      <c r="W97" s="65">
        <v>5466.1016949152545</v>
      </c>
      <c r="X97" s="65">
        <v>5466.1016949152545</v>
      </c>
      <c r="Y97" s="65">
        <v>5466.1016949152545</v>
      </c>
      <c r="Z97" s="72" t="s">
        <v>395</v>
      </c>
      <c r="AA97" s="81" t="s">
        <v>456</v>
      </c>
    </row>
    <row r="98" spans="2:27" ht="21" customHeight="1">
      <c r="B98" s="67">
        <v>68</v>
      </c>
      <c r="C98" s="68" t="s">
        <v>518</v>
      </c>
      <c r="D98" s="69"/>
      <c r="E98" s="70">
        <v>1</v>
      </c>
      <c r="F98" s="71" t="s">
        <v>458</v>
      </c>
      <c r="G98" s="32"/>
      <c r="H98" s="32"/>
      <c r="I98" s="32"/>
      <c r="J98" s="32"/>
      <c r="K98" s="32"/>
      <c r="L98" s="32"/>
      <c r="M98" s="32"/>
      <c r="N98" s="73"/>
      <c r="O98" s="32"/>
      <c r="P98" s="64"/>
      <c r="Q98" s="64"/>
      <c r="R98" s="64"/>
      <c r="S98" s="65">
        <v>6000</v>
      </c>
      <c r="T98" s="65">
        <v>6000</v>
      </c>
      <c r="U98" s="65">
        <v>6000</v>
      </c>
      <c r="V98" s="65">
        <v>6000</v>
      </c>
      <c r="W98" s="65">
        <v>6000</v>
      </c>
      <c r="X98" s="65">
        <v>6000</v>
      </c>
      <c r="Y98" s="65">
        <v>6000</v>
      </c>
      <c r="Z98" s="72" t="s">
        <v>395</v>
      </c>
      <c r="AA98" s="81" t="s">
        <v>456</v>
      </c>
    </row>
    <row r="99" spans="2:27" ht="21" customHeight="1">
      <c r="B99" s="67">
        <v>69</v>
      </c>
      <c r="C99" s="68" t="s">
        <v>519</v>
      </c>
      <c r="D99" s="69"/>
      <c r="E99" s="70">
        <v>1</v>
      </c>
      <c r="F99" s="71" t="s">
        <v>458</v>
      </c>
      <c r="G99" s="32"/>
      <c r="H99" s="32"/>
      <c r="I99" s="32"/>
      <c r="J99" s="32"/>
      <c r="K99" s="32"/>
      <c r="L99" s="32"/>
      <c r="M99" s="32"/>
      <c r="N99" s="73"/>
      <c r="O99" s="32"/>
      <c r="P99" s="64"/>
      <c r="Q99" s="64"/>
      <c r="R99" s="64"/>
      <c r="S99" s="65">
        <v>830.50847457627128</v>
      </c>
      <c r="T99" s="65">
        <v>830.50847457627128</v>
      </c>
      <c r="U99" s="65">
        <v>830.50847457627128</v>
      </c>
      <c r="V99" s="65">
        <v>830.50847457627128</v>
      </c>
      <c r="W99" s="65">
        <v>830.50847457627128</v>
      </c>
      <c r="X99" s="65">
        <v>830.50847457627128</v>
      </c>
      <c r="Y99" s="65">
        <v>830.50847457627128</v>
      </c>
      <c r="Z99" s="72" t="s">
        <v>395</v>
      </c>
      <c r="AA99" s="81" t="s">
        <v>456</v>
      </c>
    </row>
    <row r="100" spans="2:27" ht="21" customHeight="1">
      <c r="B100" s="67">
        <v>70</v>
      </c>
      <c r="C100" s="68" t="s">
        <v>520</v>
      </c>
      <c r="D100" s="69"/>
      <c r="E100" s="70">
        <v>1</v>
      </c>
      <c r="F100" s="71" t="s">
        <v>458</v>
      </c>
      <c r="G100" s="32"/>
      <c r="H100" s="32"/>
      <c r="I100" s="32"/>
      <c r="J100" s="32"/>
      <c r="K100" s="32"/>
      <c r="L100" s="32"/>
      <c r="M100" s="32"/>
      <c r="N100" s="73"/>
      <c r="O100" s="32"/>
      <c r="P100" s="64"/>
      <c r="Q100" s="64"/>
      <c r="R100" s="64"/>
      <c r="S100" s="65">
        <v>830.50847457627128</v>
      </c>
      <c r="T100" s="65">
        <v>830.50847457627128</v>
      </c>
      <c r="U100" s="65">
        <v>830.50847457627128</v>
      </c>
      <c r="V100" s="65">
        <v>830.50847457627128</v>
      </c>
      <c r="W100" s="65">
        <v>830.50847457627128</v>
      </c>
      <c r="X100" s="65">
        <v>830.50847457627128</v>
      </c>
      <c r="Y100" s="65">
        <v>830.50847457627128</v>
      </c>
      <c r="Z100" s="72" t="s">
        <v>395</v>
      </c>
      <c r="AA100" s="81" t="s">
        <v>456</v>
      </c>
    </row>
    <row r="101" spans="2:27" ht="21" customHeight="1">
      <c r="B101" s="67">
        <v>71</v>
      </c>
      <c r="C101" s="68" t="s">
        <v>521</v>
      </c>
      <c r="D101" s="69"/>
      <c r="E101" s="70">
        <v>1</v>
      </c>
      <c r="F101" s="71" t="s">
        <v>458</v>
      </c>
      <c r="G101" s="32"/>
      <c r="H101" s="32"/>
      <c r="I101" s="32"/>
      <c r="J101" s="32"/>
      <c r="K101" s="32"/>
      <c r="L101" s="32"/>
      <c r="M101" s="32"/>
      <c r="N101" s="73"/>
      <c r="O101" s="32"/>
      <c r="P101" s="64"/>
      <c r="Q101" s="64"/>
      <c r="R101" s="64"/>
      <c r="S101" s="65">
        <v>830.50847457627128</v>
      </c>
      <c r="T101" s="65">
        <v>830.50847457627128</v>
      </c>
      <c r="U101" s="65">
        <v>830.50847457627128</v>
      </c>
      <c r="V101" s="65">
        <v>830.50847457627128</v>
      </c>
      <c r="W101" s="65">
        <v>830.50847457627128</v>
      </c>
      <c r="X101" s="65">
        <v>830.50847457627128</v>
      </c>
      <c r="Y101" s="65">
        <v>830.50847457627128</v>
      </c>
      <c r="Z101" s="72" t="s">
        <v>395</v>
      </c>
      <c r="AA101" s="81" t="s">
        <v>456</v>
      </c>
    </row>
    <row r="102" spans="2:27" ht="21" customHeight="1">
      <c r="B102" s="67">
        <v>72</v>
      </c>
      <c r="C102" s="68" t="s">
        <v>522</v>
      </c>
      <c r="D102" s="69"/>
      <c r="E102" s="70">
        <v>1</v>
      </c>
      <c r="F102" s="71" t="s">
        <v>458</v>
      </c>
      <c r="G102" s="32"/>
      <c r="H102" s="32"/>
      <c r="I102" s="32"/>
      <c r="J102" s="32"/>
      <c r="K102" s="32"/>
      <c r="L102" s="32"/>
      <c r="M102" s="32"/>
      <c r="N102" s="73"/>
      <c r="O102" s="32"/>
      <c r="P102" s="64"/>
      <c r="Q102" s="64"/>
      <c r="R102" s="64"/>
      <c r="S102" s="65">
        <v>830.50847457627128</v>
      </c>
      <c r="T102" s="65">
        <v>830.50847457627128</v>
      </c>
      <c r="U102" s="65">
        <v>830.50847457627128</v>
      </c>
      <c r="V102" s="65">
        <v>830.50847457627128</v>
      </c>
      <c r="W102" s="65">
        <v>830.50847457627128</v>
      </c>
      <c r="X102" s="65">
        <v>830.50847457627128</v>
      </c>
      <c r="Y102" s="65">
        <v>830.50847457627128</v>
      </c>
      <c r="Z102" s="72" t="s">
        <v>395</v>
      </c>
      <c r="AA102" s="81" t="s">
        <v>456</v>
      </c>
    </row>
    <row r="103" spans="2:27" ht="21" customHeight="1">
      <c r="B103" s="67">
        <v>73</v>
      </c>
      <c r="C103" s="68" t="s">
        <v>523</v>
      </c>
      <c r="D103" s="69"/>
      <c r="E103" s="70">
        <v>1</v>
      </c>
      <c r="F103" s="71" t="s">
        <v>458</v>
      </c>
      <c r="G103" s="32"/>
      <c r="H103" s="32"/>
      <c r="I103" s="32"/>
      <c r="J103" s="32"/>
      <c r="K103" s="32"/>
      <c r="L103" s="32"/>
      <c r="M103" s="32"/>
      <c r="N103" s="73"/>
      <c r="O103" s="32"/>
      <c r="P103" s="64"/>
      <c r="Q103" s="64"/>
      <c r="R103" s="64"/>
      <c r="S103" s="65">
        <v>830.50847457627128</v>
      </c>
      <c r="T103" s="65">
        <v>830.50847457627128</v>
      </c>
      <c r="U103" s="65">
        <v>830.50847457627128</v>
      </c>
      <c r="V103" s="65">
        <v>830.50847457627128</v>
      </c>
      <c r="W103" s="65">
        <v>830.50847457627128</v>
      </c>
      <c r="X103" s="65">
        <v>830.50847457627128</v>
      </c>
      <c r="Y103" s="65">
        <v>830.50847457627128</v>
      </c>
      <c r="Z103" s="72" t="s">
        <v>395</v>
      </c>
      <c r="AA103" s="81" t="s">
        <v>456</v>
      </c>
    </row>
    <row r="104" spans="2:27" ht="21" customHeight="1">
      <c r="B104" s="67">
        <v>74</v>
      </c>
      <c r="C104" s="68" t="s">
        <v>524</v>
      </c>
      <c r="D104" s="69"/>
      <c r="E104" s="70">
        <v>1</v>
      </c>
      <c r="F104" s="71" t="s">
        <v>458</v>
      </c>
      <c r="G104" s="32"/>
      <c r="H104" s="32"/>
      <c r="I104" s="32"/>
      <c r="J104" s="32"/>
      <c r="K104" s="32"/>
      <c r="L104" s="32"/>
      <c r="M104" s="32"/>
      <c r="N104" s="73"/>
      <c r="O104" s="32"/>
      <c r="P104" s="64"/>
      <c r="Q104" s="64"/>
      <c r="R104" s="64"/>
      <c r="S104" s="65">
        <v>6961.8644067796613</v>
      </c>
      <c r="T104" s="65">
        <v>6961.8644067796613</v>
      </c>
      <c r="U104" s="65">
        <v>6961.8644067796613</v>
      </c>
      <c r="V104" s="65">
        <v>6961.8644067796613</v>
      </c>
      <c r="W104" s="65">
        <v>6961.8644067796613</v>
      </c>
      <c r="X104" s="65">
        <v>6961.8644067796613</v>
      </c>
      <c r="Y104" s="65">
        <v>6961.8644067796613</v>
      </c>
      <c r="Z104" s="72" t="s">
        <v>395</v>
      </c>
      <c r="AA104" s="81" t="s">
        <v>456</v>
      </c>
    </row>
    <row r="105" spans="2:27" ht="21" customHeight="1">
      <c r="B105" s="67">
        <v>75</v>
      </c>
      <c r="C105" s="68" t="s">
        <v>525</v>
      </c>
      <c r="D105" s="69"/>
      <c r="E105" s="70">
        <v>1</v>
      </c>
      <c r="F105" s="71" t="s">
        <v>458</v>
      </c>
      <c r="G105" s="32"/>
      <c r="H105" s="32"/>
      <c r="I105" s="32"/>
      <c r="J105" s="32"/>
      <c r="K105" s="32"/>
      <c r="L105" s="32"/>
      <c r="M105" s="32"/>
      <c r="N105" s="73"/>
      <c r="O105" s="32"/>
      <c r="P105" s="64"/>
      <c r="Q105" s="64"/>
      <c r="R105" s="64"/>
      <c r="S105" s="65">
        <v>1978.8135593220341</v>
      </c>
      <c r="T105" s="65">
        <v>1978.8135593220341</v>
      </c>
      <c r="U105" s="65">
        <v>1978.8135593220341</v>
      </c>
      <c r="V105" s="65">
        <v>1978.8135593220341</v>
      </c>
      <c r="W105" s="65">
        <v>1978.8135593220341</v>
      </c>
      <c r="X105" s="65">
        <v>1978.8135593220341</v>
      </c>
      <c r="Y105" s="65">
        <v>1978.8135593220341</v>
      </c>
      <c r="Z105" s="72" t="s">
        <v>395</v>
      </c>
      <c r="AA105" s="81" t="s">
        <v>456</v>
      </c>
    </row>
    <row r="106" spans="2:27" ht="21" customHeight="1">
      <c r="B106" s="67"/>
      <c r="C106" s="68"/>
      <c r="D106" s="69"/>
      <c r="E106" s="70"/>
      <c r="F106" s="71"/>
      <c r="G106" s="32"/>
      <c r="H106" s="32"/>
      <c r="I106" s="32"/>
      <c r="J106" s="32"/>
      <c r="K106" s="32"/>
      <c r="L106" s="32"/>
      <c r="M106" s="32"/>
      <c r="N106" s="73"/>
      <c r="O106" s="32"/>
      <c r="P106" s="64"/>
      <c r="Q106" s="64"/>
      <c r="R106" s="64"/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72" t="s">
        <v>395</v>
      </c>
      <c r="AA106" s="81" t="s">
        <v>456</v>
      </c>
    </row>
    <row r="107" spans="2:27" ht="21" customHeight="1">
      <c r="B107" s="67">
        <v>65</v>
      </c>
      <c r="C107" s="68"/>
      <c r="D107" s="69"/>
      <c r="E107" s="70">
        <v>1</v>
      </c>
      <c r="F107" s="71" t="s">
        <v>458</v>
      </c>
      <c r="G107" s="40"/>
      <c r="H107" s="40"/>
      <c r="I107" s="40"/>
      <c r="J107" s="40"/>
      <c r="K107" s="40"/>
      <c r="L107" s="40"/>
      <c r="M107" s="40"/>
      <c r="N107" s="78"/>
      <c r="O107" s="32"/>
      <c r="P107" s="64"/>
      <c r="Q107" s="64"/>
      <c r="R107" s="64"/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72" t="s">
        <v>395</v>
      </c>
      <c r="AA107" s="81" t="s">
        <v>456</v>
      </c>
    </row>
    <row r="108" spans="2:27" ht="21" customHeight="1">
      <c r="B108" s="67">
        <v>66</v>
      </c>
      <c r="C108" s="68" t="s">
        <v>526</v>
      </c>
      <c r="D108" s="69"/>
      <c r="E108" s="70">
        <v>1</v>
      </c>
      <c r="F108" s="71" t="s">
        <v>458</v>
      </c>
      <c r="G108" s="40"/>
      <c r="H108" s="40"/>
      <c r="I108" s="40"/>
      <c r="J108" s="40"/>
      <c r="K108" s="40"/>
      <c r="L108" s="40"/>
      <c r="M108" s="40"/>
      <c r="N108" s="78"/>
      <c r="O108" s="32"/>
      <c r="P108" s="64"/>
      <c r="Q108" s="64"/>
      <c r="R108" s="64"/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72" t="s">
        <v>395</v>
      </c>
      <c r="AA108" s="81" t="s">
        <v>456</v>
      </c>
    </row>
    <row r="109" spans="2:27" ht="21" customHeight="1">
      <c r="B109" s="67">
        <v>70</v>
      </c>
      <c r="C109" s="68" t="s">
        <v>527</v>
      </c>
      <c r="D109" s="69"/>
      <c r="E109" s="70">
        <v>1</v>
      </c>
      <c r="F109" s="71" t="s">
        <v>458</v>
      </c>
      <c r="G109" s="40"/>
      <c r="H109" s="40"/>
      <c r="I109" s="40"/>
      <c r="J109" s="40"/>
      <c r="K109" s="40"/>
      <c r="L109" s="40"/>
      <c r="M109" s="40"/>
      <c r="N109" s="78"/>
      <c r="O109" s="32"/>
      <c r="P109" s="64"/>
      <c r="Q109" s="64"/>
      <c r="R109" s="64"/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72" t="s">
        <v>395</v>
      </c>
      <c r="AA109" s="81" t="s">
        <v>456</v>
      </c>
    </row>
    <row r="110" spans="2:27" ht="21" customHeight="1">
      <c r="B110" s="67">
        <v>71</v>
      </c>
      <c r="C110" s="68" t="s">
        <v>528</v>
      </c>
      <c r="D110" s="69"/>
      <c r="E110" s="70">
        <v>1</v>
      </c>
      <c r="F110" s="71" t="s">
        <v>458</v>
      </c>
      <c r="G110" s="40"/>
      <c r="H110" s="40"/>
      <c r="I110" s="40"/>
      <c r="J110" s="40"/>
      <c r="K110" s="40"/>
      <c r="L110" s="40"/>
      <c r="M110" s="40"/>
      <c r="N110" s="78"/>
      <c r="O110" s="32"/>
      <c r="P110" s="64"/>
      <c r="Q110" s="64"/>
      <c r="R110" s="64"/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72" t="s">
        <v>395</v>
      </c>
      <c r="AA110" s="81" t="s">
        <v>456</v>
      </c>
    </row>
    <row r="111" spans="2:27" ht="21" customHeight="1">
      <c r="B111" s="67">
        <v>72</v>
      </c>
      <c r="C111" s="68" t="s">
        <v>529</v>
      </c>
      <c r="D111" s="69"/>
      <c r="E111" s="70">
        <v>1</v>
      </c>
      <c r="F111" s="71" t="s">
        <v>458</v>
      </c>
      <c r="G111" s="40"/>
      <c r="H111" s="40"/>
      <c r="I111" s="40"/>
      <c r="J111" s="40"/>
      <c r="K111" s="40"/>
      <c r="L111" s="40"/>
      <c r="M111" s="40"/>
      <c r="N111" s="78"/>
      <c r="O111" s="32"/>
      <c r="P111" s="64"/>
      <c r="Q111" s="64"/>
      <c r="R111" s="64"/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72" t="s">
        <v>395</v>
      </c>
      <c r="AA111" s="81" t="s">
        <v>456</v>
      </c>
    </row>
    <row r="112" spans="2:27" ht="21" customHeight="1">
      <c r="B112" s="67">
        <v>73</v>
      </c>
      <c r="C112" s="68" t="s">
        <v>530</v>
      </c>
      <c r="D112" s="69"/>
      <c r="E112" s="70">
        <v>1</v>
      </c>
      <c r="F112" s="71" t="s">
        <v>458</v>
      </c>
      <c r="G112" s="40"/>
      <c r="H112" s="40"/>
      <c r="I112" s="40"/>
      <c r="J112" s="40"/>
      <c r="K112" s="40"/>
      <c r="L112" s="40"/>
      <c r="M112" s="40"/>
      <c r="N112" s="78"/>
      <c r="O112" s="32"/>
      <c r="P112" s="64"/>
      <c r="Q112" s="64"/>
      <c r="R112" s="64"/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72" t="s">
        <v>395</v>
      </c>
      <c r="AA112" s="81" t="s">
        <v>456</v>
      </c>
    </row>
    <row r="113" spans="2:27" ht="21" customHeight="1">
      <c r="B113" s="67">
        <v>74</v>
      </c>
      <c r="C113" s="68" t="s">
        <v>531</v>
      </c>
      <c r="D113" s="69"/>
      <c r="E113" s="70">
        <v>1</v>
      </c>
      <c r="F113" s="71" t="s">
        <v>458</v>
      </c>
      <c r="G113" s="40"/>
      <c r="H113" s="40"/>
      <c r="I113" s="40"/>
      <c r="J113" s="40"/>
      <c r="K113" s="40"/>
      <c r="L113" s="40"/>
      <c r="M113" s="40"/>
      <c r="N113" s="78"/>
      <c r="O113" s="32"/>
      <c r="P113" s="64"/>
      <c r="Q113" s="64"/>
      <c r="R113" s="64"/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72" t="s">
        <v>395</v>
      </c>
      <c r="AA113" s="81" t="s">
        <v>456</v>
      </c>
    </row>
    <row r="114" spans="2:27" ht="21" customHeight="1">
      <c r="B114" s="67">
        <v>75</v>
      </c>
      <c r="C114" s="68" t="s">
        <v>532</v>
      </c>
      <c r="D114" s="69"/>
      <c r="E114" s="70">
        <v>1</v>
      </c>
      <c r="F114" s="71" t="s">
        <v>458</v>
      </c>
      <c r="G114" s="40"/>
      <c r="H114" s="40"/>
      <c r="I114" s="40"/>
      <c r="J114" s="40"/>
      <c r="K114" s="40"/>
      <c r="L114" s="40"/>
      <c r="M114" s="40"/>
      <c r="N114" s="78"/>
      <c r="O114" s="32"/>
      <c r="P114" s="64"/>
      <c r="Q114" s="64"/>
      <c r="R114" s="64"/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72" t="s">
        <v>395</v>
      </c>
      <c r="AA114" s="81" t="s">
        <v>456</v>
      </c>
    </row>
    <row r="115" spans="2:27" ht="21" customHeight="1">
      <c r="B115" s="67">
        <v>76</v>
      </c>
      <c r="C115" s="68" t="s">
        <v>533</v>
      </c>
      <c r="D115" s="69"/>
      <c r="E115" s="70">
        <v>1</v>
      </c>
      <c r="F115" s="71" t="s">
        <v>458</v>
      </c>
      <c r="G115" s="40"/>
      <c r="H115" s="40"/>
      <c r="I115" s="40"/>
      <c r="J115" s="40"/>
      <c r="K115" s="40"/>
      <c r="L115" s="40"/>
      <c r="M115" s="40"/>
      <c r="N115" s="78"/>
      <c r="O115" s="32"/>
      <c r="P115" s="64"/>
      <c r="Q115" s="64"/>
      <c r="R115" s="64"/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72" t="s">
        <v>395</v>
      </c>
      <c r="AA115" s="81" t="s">
        <v>456</v>
      </c>
    </row>
    <row r="116" spans="2:27" ht="21" customHeight="1">
      <c r="B116" s="67">
        <v>77</v>
      </c>
      <c r="C116" s="68" t="s">
        <v>534</v>
      </c>
      <c r="D116" s="69"/>
      <c r="E116" s="70">
        <v>1</v>
      </c>
      <c r="F116" s="71" t="s">
        <v>458</v>
      </c>
      <c r="G116" s="40"/>
      <c r="H116" s="40"/>
      <c r="I116" s="40"/>
      <c r="J116" s="40"/>
      <c r="K116" s="40"/>
      <c r="L116" s="40"/>
      <c r="M116" s="40"/>
      <c r="N116" s="78"/>
      <c r="O116" s="32"/>
      <c r="P116" s="64"/>
      <c r="Q116" s="64"/>
      <c r="R116" s="64"/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72" t="s">
        <v>395</v>
      </c>
      <c r="AA116" s="81" t="s">
        <v>456</v>
      </c>
    </row>
    <row r="117" spans="2:27" ht="21" customHeight="1">
      <c r="B117" s="67">
        <v>78</v>
      </c>
      <c r="C117" s="68" t="s">
        <v>535</v>
      </c>
      <c r="D117" s="69"/>
      <c r="E117" s="70">
        <v>1</v>
      </c>
      <c r="F117" s="71" t="s">
        <v>458</v>
      </c>
      <c r="G117" s="40"/>
      <c r="H117" s="40"/>
      <c r="I117" s="40"/>
      <c r="J117" s="40"/>
      <c r="K117" s="40"/>
      <c r="L117" s="40"/>
      <c r="M117" s="40"/>
      <c r="N117" s="78"/>
      <c r="O117" s="32"/>
      <c r="P117" s="64"/>
      <c r="Q117" s="64"/>
      <c r="R117" s="64"/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72" t="s">
        <v>395</v>
      </c>
      <c r="AA117" s="81" t="s">
        <v>456</v>
      </c>
    </row>
    <row r="118" spans="2:27" ht="21" customHeight="1">
      <c r="B118" s="67">
        <v>79</v>
      </c>
      <c r="C118" s="68" t="s">
        <v>536</v>
      </c>
      <c r="D118" s="69"/>
      <c r="E118" s="70">
        <v>1</v>
      </c>
      <c r="F118" s="71" t="s">
        <v>458</v>
      </c>
      <c r="G118" s="40"/>
      <c r="H118" s="40"/>
      <c r="I118" s="40"/>
      <c r="J118" s="40"/>
      <c r="K118" s="40"/>
      <c r="L118" s="40"/>
      <c r="M118" s="40"/>
      <c r="N118" s="78"/>
      <c r="O118" s="32"/>
      <c r="P118" s="64"/>
      <c r="Q118" s="64"/>
      <c r="R118" s="64"/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72" t="s">
        <v>395</v>
      </c>
      <c r="AA118" s="81" t="s">
        <v>456</v>
      </c>
    </row>
    <row r="119" spans="2:27" ht="21" customHeight="1">
      <c r="B119" s="67">
        <v>80</v>
      </c>
      <c r="C119" s="68" t="s">
        <v>537</v>
      </c>
      <c r="D119" s="69"/>
      <c r="E119" s="70">
        <v>1</v>
      </c>
      <c r="F119" s="71" t="s">
        <v>458</v>
      </c>
      <c r="G119" s="40"/>
      <c r="H119" s="40"/>
      <c r="I119" s="40"/>
      <c r="J119" s="40"/>
      <c r="K119" s="40"/>
      <c r="L119" s="40"/>
      <c r="M119" s="40"/>
      <c r="N119" s="78"/>
      <c r="O119" s="32"/>
      <c r="P119" s="64"/>
      <c r="Q119" s="64"/>
      <c r="R119" s="64"/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72" t="s">
        <v>395</v>
      </c>
      <c r="AA119" s="81" t="s">
        <v>456</v>
      </c>
    </row>
    <row r="120" spans="2:27" ht="21" customHeight="1">
      <c r="B120" s="67">
        <v>81</v>
      </c>
      <c r="C120" s="68" t="s">
        <v>538</v>
      </c>
      <c r="D120" s="69"/>
      <c r="E120" s="70">
        <v>1</v>
      </c>
      <c r="F120" s="71" t="s">
        <v>458</v>
      </c>
      <c r="G120" s="40"/>
      <c r="H120" s="40"/>
      <c r="I120" s="40"/>
      <c r="J120" s="40"/>
      <c r="K120" s="40"/>
      <c r="L120" s="40"/>
      <c r="M120" s="40"/>
      <c r="N120" s="78"/>
      <c r="O120" s="32"/>
      <c r="P120" s="64"/>
      <c r="Q120" s="64"/>
      <c r="R120" s="64"/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72" t="s">
        <v>395</v>
      </c>
      <c r="AA120" s="81" t="s">
        <v>456</v>
      </c>
    </row>
    <row r="121" spans="2:27" ht="21" customHeight="1">
      <c r="B121" s="67"/>
      <c r="C121" s="83"/>
      <c r="D121" s="84"/>
      <c r="E121" s="82"/>
      <c r="F121" s="85"/>
      <c r="G121" s="40"/>
      <c r="H121" s="40"/>
      <c r="I121" s="40"/>
      <c r="J121" s="40"/>
      <c r="K121" s="40"/>
      <c r="L121" s="40"/>
      <c r="M121" s="40"/>
      <c r="N121" s="78"/>
      <c r="O121" s="32"/>
      <c r="P121" s="64"/>
      <c r="Q121" s="64"/>
      <c r="R121" s="64"/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72" t="s">
        <v>395</v>
      </c>
    </row>
    <row r="122" spans="2:27" ht="21" customHeight="1">
      <c r="B122" s="67"/>
      <c r="C122" s="81" t="s">
        <v>539</v>
      </c>
      <c r="D122" s="69"/>
      <c r="E122" s="82"/>
      <c r="F122" s="77"/>
      <c r="G122" s="40"/>
      <c r="H122" s="40"/>
      <c r="I122" s="40"/>
      <c r="J122" s="40"/>
      <c r="K122" s="40"/>
      <c r="L122" s="40"/>
      <c r="M122" s="40"/>
      <c r="N122" s="78"/>
      <c r="O122" s="32"/>
      <c r="P122" s="64"/>
      <c r="Q122" s="64"/>
      <c r="R122" s="64"/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72" t="s">
        <v>395</v>
      </c>
    </row>
    <row r="123" spans="2:27" ht="21" customHeight="1">
      <c r="B123" s="67">
        <v>76</v>
      </c>
      <c r="C123" s="68" t="s">
        <v>540</v>
      </c>
      <c r="D123" s="69"/>
      <c r="E123" s="70">
        <v>1</v>
      </c>
      <c r="F123" s="74" t="s">
        <v>458</v>
      </c>
      <c r="G123" s="40"/>
      <c r="H123" s="40"/>
      <c r="I123" s="40"/>
      <c r="J123" s="40"/>
      <c r="K123" s="40"/>
      <c r="L123" s="40"/>
      <c r="M123" s="40"/>
      <c r="N123" s="78"/>
      <c r="O123" s="32"/>
      <c r="P123" s="64"/>
      <c r="Q123" s="64"/>
      <c r="R123" s="64"/>
      <c r="S123" s="65">
        <v>343.22033898305085</v>
      </c>
      <c r="T123" s="65">
        <v>343.22033898305085</v>
      </c>
      <c r="U123" s="65">
        <v>343.22033898305085</v>
      </c>
      <c r="V123" s="65">
        <v>343.22033898305085</v>
      </c>
      <c r="W123" s="65">
        <v>343.22033898305085</v>
      </c>
      <c r="X123" s="65">
        <v>343.22033898305085</v>
      </c>
      <c r="Y123" s="65">
        <v>343.22033898305085</v>
      </c>
      <c r="Z123" s="72" t="s">
        <v>395</v>
      </c>
      <c r="AA123" s="81" t="s">
        <v>539</v>
      </c>
    </row>
    <row r="124" spans="2:27" ht="21" customHeight="1">
      <c r="B124" s="67">
        <v>77</v>
      </c>
      <c r="C124" s="68" t="s">
        <v>541</v>
      </c>
      <c r="D124" s="69"/>
      <c r="E124" s="70">
        <v>1</v>
      </c>
      <c r="F124" s="74" t="s">
        <v>458</v>
      </c>
      <c r="G124" s="40"/>
      <c r="H124" s="40"/>
      <c r="I124" s="40"/>
      <c r="J124" s="40"/>
      <c r="K124" s="40"/>
      <c r="L124" s="40"/>
      <c r="M124" s="40"/>
      <c r="N124" s="78"/>
      <c r="O124" s="32"/>
      <c r="P124" s="64"/>
      <c r="Q124" s="64"/>
      <c r="R124" s="64"/>
      <c r="S124" s="65">
        <v>644.06779661016958</v>
      </c>
      <c r="T124" s="65">
        <v>644.06779661016958</v>
      </c>
      <c r="U124" s="65">
        <v>644.06779661016958</v>
      </c>
      <c r="V124" s="65">
        <v>644.06779661016958</v>
      </c>
      <c r="W124" s="65">
        <v>644.06779661016958</v>
      </c>
      <c r="X124" s="65">
        <v>644.06779661016958</v>
      </c>
      <c r="Y124" s="65">
        <v>644.06779661016958</v>
      </c>
      <c r="Z124" s="72" t="s">
        <v>395</v>
      </c>
      <c r="AA124" s="81" t="s">
        <v>539</v>
      </c>
    </row>
    <row r="125" spans="2:27" ht="21" customHeight="1">
      <c r="B125" s="67">
        <v>78</v>
      </c>
      <c r="C125" s="68" t="s">
        <v>542</v>
      </c>
      <c r="D125" s="69"/>
      <c r="E125" s="70">
        <v>1</v>
      </c>
      <c r="F125" s="74" t="s">
        <v>458</v>
      </c>
      <c r="G125" s="40"/>
      <c r="H125" s="40"/>
      <c r="I125" s="40"/>
      <c r="J125" s="40"/>
      <c r="K125" s="40"/>
      <c r="L125" s="40"/>
      <c r="M125" s="40"/>
      <c r="N125" s="78"/>
      <c r="O125" s="32"/>
      <c r="P125" s="64"/>
      <c r="Q125" s="64"/>
      <c r="R125" s="64"/>
      <c r="S125" s="65">
        <v>923.72881355932213</v>
      </c>
      <c r="T125" s="65">
        <v>923.72881355932213</v>
      </c>
      <c r="U125" s="65">
        <v>923.72881355932213</v>
      </c>
      <c r="V125" s="65">
        <v>923.72881355932213</v>
      </c>
      <c r="W125" s="65">
        <v>923.72881355932213</v>
      </c>
      <c r="X125" s="65">
        <v>923.72881355932213</v>
      </c>
      <c r="Y125" s="65">
        <v>923.72881355932213</v>
      </c>
      <c r="Z125" s="72" t="s">
        <v>395</v>
      </c>
      <c r="AA125" s="81" t="s">
        <v>539</v>
      </c>
    </row>
    <row r="126" spans="2:27" ht="21" customHeight="1">
      <c r="B126" s="67">
        <v>79</v>
      </c>
      <c r="C126" s="68" t="s">
        <v>543</v>
      </c>
      <c r="D126" s="69"/>
      <c r="E126" s="70">
        <v>1</v>
      </c>
      <c r="F126" s="74" t="s">
        <v>458</v>
      </c>
      <c r="G126" s="40"/>
      <c r="H126" s="40"/>
      <c r="I126" s="40"/>
      <c r="J126" s="40"/>
      <c r="K126" s="40"/>
      <c r="L126" s="40"/>
      <c r="M126" s="40"/>
      <c r="N126" s="78"/>
      <c r="O126" s="32"/>
      <c r="P126" s="64"/>
      <c r="Q126" s="64"/>
      <c r="R126" s="64"/>
      <c r="S126" s="65">
        <v>1156.7796610169491</v>
      </c>
      <c r="T126" s="65">
        <v>1156.7796610169491</v>
      </c>
      <c r="U126" s="65">
        <v>1156.7796610169491</v>
      </c>
      <c r="V126" s="65">
        <v>1156.7796610169491</v>
      </c>
      <c r="W126" s="65">
        <v>1156.7796610169491</v>
      </c>
      <c r="X126" s="65">
        <v>1156.7796610169491</v>
      </c>
      <c r="Y126" s="65">
        <v>1156.7796610169491</v>
      </c>
      <c r="Z126" s="72" t="s">
        <v>395</v>
      </c>
      <c r="AA126" s="81" t="s">
        <v>539</v>
      </c>
    </row>
    <row r="127" spans="2:27" ht="21" customHeight="1">
      <c r="B127" s="67">
        <v>80</v>
      </c>
      <c r="C127" s="68" t="s">
        <v>544</v>
      </c>
      <c r="D127" s="69"/>
      <c r="E127" s="70">
        <v>1</v>
      </c>
      <c r="F127" s="74" t="s">
        <v>458</v>
      </c>
      <c r="G127" s="40"/>
      <c r="H127" s="40"/>
      <c r="I127" s="40"/>
      <c r="J127" s="40"/>
      <c r="K127" s="40"/>
      <c r="L127" s="40"/>
      <c r="M127" s="40"/>
      <c r="N127" s="78"/>
      <c r="O127" s="32"/>
      <c r="P127" s="64"/>
      <c r="Q127" s="64"/>
      <c r="R127" s="64"/>
      <c r="S127" s="65">
        <v>1415.2542372881358</v>
      </c>
      <c r="T127" s="65">
        <v>1415.2542372881358</v>
      </c>
      <c r="U127" s="65">
        <v>1415.2542372881358</v>
      </c>
      <c r="V127" s="65">
        <v>1415.2542372881358</v>
      </c>
      <c r="W127" s="65">
        <v>1415.2542372881358</v>
      </c>
      <c r="X127" s="65">
        <v>1415.2542372881358</v>
      </c>
      <c r="Y127" s="65">
        <v>1415.2542372881358</v>
      </c>
      <c r="Z127" s="72" t="s">
        <v>395</v>
      </c>
      <c r="AA127" s="81" t="s">
        <v>539</v>
      </c>
    </row>
    <row r="128" spans="2:27" ht="21" customHeight="1">
      <c r="B128" s="67">
        <v>81</v>
      </c>
      <c r="C128" s="79" t="s">
        <v>545</v>
      </c>
      <c r="D128" s="80"/>
      <c r="E128" s="70">
        <v>1</v>
      </c>
      <c r="F128" s="74" t="s">
        <v>458</v>
      </c>
      <c r="G128" s="32"/>
      <c r="H128" s="32"/>
      <c r="I128" s="32"/>
      <c r="J128" s="32"/>
      <c r="K128" s="32"/>
      <c r="L128" s="32"/>
      <c r="M128" s="32"/>
      <c r="N128" s="73"/>
      <c r="O128" s="32"/>
      <c r="P128" s="64"/>
      <c r="Q128" s="64"/>
      <c r="R128" s="64"/>
      <c r="S128" s="65">
        <v>563.5593220338983</v>
      </c>
      <c r="T128" s="65">
        <v>563.5593220338983</v>
      </c>
      <c r="U128" s="65">
        <v>563.5593220338983</v>
      </c>
      <c r="V128" s="65">
        <v>563.5593220338983</v>
      </c>
      <c r="W128" s="65">
        <v>563.5593220338983</v>
      </c>
      <c r="X128" s="65">
        <v>563.5593220338983</v>
      </c>
      <c r="Y128" s="65">
        <v>563.5593220338983</v>
      </c>
      <c r="Z128" s="72" t="s">
        <v>395</v>
      </c>
      <c r="AA128" s="81" t="s">
        <v>539</v>
      </c>
    </row>
    <row r="129" spans="2:27" ht="21" customHeight="1">
      <c r="B129" s="67">
        <v>82</v>
      </c>
      <c r="C129" s="68" t="s">
        <v>546</v>
      </c>
      <c r="D129" s="69"/>
      <c r="E129" s="70">
        <v>1</v>
      </c>
      <c r="F129" s="74" t="s">
        <v>458</v>
      </c>
      <c r="G129" s="32"/>
      <c r="H129" s="32"/>
      <c r="I129" s="32"/>
      <c r="J129" s="32"/>
      <c r="K129" s="32"/>
      <c r="L129" s="32"/>
      <c r="M129" s="32"/>
      <c r="N129" s="73"/>
      <c r="O129" s="32"/>
      <c r="P129" s="64"/>
      <c r="Q129" s="64"/>
      <c r="R129" s="64"/>
      <c r="S129" s="65">
        <v>834.74576271186447</v>
      </c>
      <c r="T129" s="65">
        <v>834.74576271186447</v>
      </c>
      <c r="U129" s="65">
        <v>834.74576271186447</v>
      </c>
      <c r="V129" s="65">
        <v>834.74576271186447</v>
      </c>
      <c r="W129" s="65">
        <v>834.74576271186447</v>
      </c>
      <c r="X129" s="65">
        <v>834.74576271186447</v>
      </c>
      <c r="Y129" s="65">
        <v>834.74576271186447</v>
      </c>
      <c r="Z129" s="72" t="s">
        <v>395</v>
      </c>
      <c r="AA129" s="81" t="s">
        <v>539</v>
      </c>
    </row>
    <row r="130" spans="2:27" ht="21" customHeight="1">
      <c r="B130" s="67">
        <v>83</v>
      </c>
      <c r="C130" s="68" t="s">
        <v>547</v>
      </c>
      <c r="D130" s="69"/>
      <c r="E130" s="70">
        <v>1</v>
      </c>
      <c r="F130" s="74" t="s">
        <v>458</v>
      </c>
      <c r="G130" s="32"/>
      <c r="H130" s="32"/>
      <c r="I130" s="32"/>
      <c r="J130" s="32"/>
      <c r="K130" s="32"/>
      <c r="L130" s="32"/>
      <c r="M130" s="32"/>
      <c r="N130" s="73"/>
      <c r="O130" s="32"/>
      <c r="P130" s="64"/>
      <c r="Q130" s="64"/>
      <c r="R130" s="64"/>
      <c r="S130" s="65">
        <v>1961.8644067796611</v>
      </c>
      <c r="T130" s="65">
        <v>1961.8644067796611</v>
      </c>
      <c r="U130" s="65">
        <v>1961.8644067796611</v>
      </c>
      <c r="V130" s="65">
        <v>1961.8644067796611</v>
      </c>
      <c r="W130" s="65">
        <v>1961.8644067796611</v>
      </c>
      <c r="X130" s="65">
        <v>1961.8644067796611</v>
      </c>
      <c r="Y130" s="65">
        <v>1961.8644067796611</v>
      </c>
      <c r="Z130" s="72" t="s">
        <v>395</v>
      </c>
      <c r="AA130" s="81" t="s">
        <v>539</v>
      </c>
    </row>
    <row r="131" spans="2:27" ht="21" customHeight="1">
      <c r="B131" s="67">
        <v>84</v>
      </c>
      <c r="C131" s="68" t="s">
        <v>548</v>
      </c>
      <c r="D131" s="69"/>
      <c r="E131" s="70">
        <v>1</v>
      </c>
      <c r="F131" s="74" t="s">
        <v>458</v>
      </c>
      <c r="G131" s="32"/>
      <c r="H131" s="32"/>
      <c r="I131" s="32"/>
      <c r="J131" s="32"/>
      <c r="K131" s="32"/>
      <c r="L131" s="32"/>
      <c r="M131" s="32"/>
      <c r="N131" s="73"/>
      <c r="O131" s="32"/>
      <c r="P131" s="64"/>
      <c r="Q131" s="64"/>
      <c r="R131" s="64"/>
      <c r="S131" s="65">
        <v>5805.0847457627124</v>
      </c>
      <c r="T131" s="65">
        <v>5805.0847457627124</v>
      </c>
      <c r="U131" s="65">
        <v>5805.0847457627124</v>
      </c>
      <c r="V131" s="65">
        <v>5805.0847457627124</v>
      </c>
      <c r="W131" s="65">
        <v>5805.0847457627124</v>
      </c>
      <c r="X131" s="65">
        <v>5805.0847457627124</v>
      </c>
      <c r="Y131" s="65">
        <v>5805.0847457627124</v>
      </c>
      <c r="Z131" s="72" t="s">
        <v>395</v>
      </c>
      <c r="AA131" s="81" t="s">
        <v>539</v>
      </c>
    </row>
    <row r="132" spans="2:27" ht="21" customHeight="1">
      <c r="B132" s="67">
        <v>85</v>
      </c>
      <c r="C132" s="79" t="s">
        <v>549</v>
      </c>
      <c r="D132" s="80"/>
      <c r="E132" s="70">
        <v>1</v>
      </c>
      <c r="F132" s="74" t="s">
        <v>458</v>
      </c>
      <c r="G132" s="32"/>
      <c r="H132" s="32"/>
      <c r="I132" s="32"/>
      <c r="J132" s="32"/>
      <c r="K132" s="32"/>
      <c r="L132" s="32"/>
      <c r="M132" s="32"/>
      <c r="N132" s="73"/>
      <c r="O132" s="32"/>
      <c r="P132" s="64"/>
      <c r="Q132" s="64"/>
      <c r="R132" s="64"/>
      <c r="S132" s="65">
        <v>305.08474576271186</v>
      </c>
      <c r="T132" s="65">
        <v>305.08474576271186</v>
      </c>
      <c r="U132" s="65">
        <v>305.08474576271186</v>
      </c>
      <c r="V132" s="65">
        <v>305.08474576271186</v>
      </c>
      <c r="W132" s="65">
        <v>305.08474576271186</v>
      </c>
      <c r="X132" s="65">
        <v>305.08474576271186</v>
      </c>
      <c r="Y132" s="65">
        <v>305.08474576271186</v>
      </c>
      <c r="Z132" s="72" t="s">
        <v>395</v>
      </c>
      <c r="AA132" s="81" t="s">
        <v>539</v>
      </c>
    </row>
    <row r="133" spans="2:27" ht="21" customHeight="1">
      <c r="B133" s="67">
        <v>86</v>
      </c>
      <c r="C133" s="68" t="s">
        <v>550</v>
      </c>
      <c r="D133" s="69"/>
      <c r="E133" s="70">
        <v>1</v>
      </c>
      <c r="F133" s="74" t="s">
        <v>458</v>
      </c>
      <c r="G133" s="32"/>
      <c r="H133" s="32"/>
      <c r="I133" s="32"/>
      <c r="J133" s="32"/>
      <c r="K133" s="32"/>
      <c r="L133" s="32"/>
      <c r="M133" s="32"/>
      <c r="N133" s="73"/>
      <c r="O133" s="32"/>
      <c r="P133" s="64"/>
      <c r="Q133" s="64"/>
      <c r="R133" s="64"/>
      <c r="S133" s="65">
        <v>1038.1355932203389</v>
      </c>
      <c r="T133" s="65">
        <v>1038.1355932203389</v>
      </c>
      <c r="U133" s="65">
        <v>1038.1355932203389</v>
      </c>
      <c r="V133" s="65">
        <v>1038.1355932203389</v>
      </c>
      <c r="W133" s="65">
        <v>1038.1355932203389</v>
      </c>
      <c r="X133" s="65">
        <v>1038.1355932203389</v>
      </c>
      <c r="Y133" s="65">
        <v>1038.1355932203389</v>
      </c>
      <c r="Z133" s="72" t="s">
        <v>395</v>
      </c>
      <c r="AA133" s="81" t="s">
        <v>539</v>
      </c>
    </row>
    <row r="134" spans="2:27" ht="21" customHeight="1">
      <c r="B134" s="67">
        <v>87</v>
      </c>
      <c r="C134" s="68" t="s">
        <v>551</v>
      </c>
      <c r="D134" s="69"/>
      <c r="E134" s="70">
        <v>1</v>
      </c>
      <c r="F134" s="71" t="s">
        <v>458</v>
      </c>
      <c r="G134" s="40"/>
      <c r="H134" s="40"/>
      <c r="I134" s="40"/>
      <c r="J134" s="40"/>
      <c r="K134" s="40"/>
      <c r="L134" s="40"/>
      <c r="M134" s="40"/>
      <c r="N134" s="78"/>
      <c r="O134" s="32"/>
      <c r="P134" s="64"/>
      <c r="Q134" s="64"/>
      <c r="R134" s="64"/>
      <c r="S134" s="65">
        <v>796.61016949152543</v>
      </c>
      <c r="T134" s="65">
        <v>796.61016949152543</v>
      </c>
      <c r="U134" s="65">
        <v>796.61016949152543</v>
      </c>
      <c r="V134" s="65">
        <v>796.61016949152543</v>
      </c>
      <c r="W134" s="65">
        <v>796.61016949152543</v>
      </c>
      <c r="X134" s="65">
        <v>796.61016949152543</v>
      </c>
      <c r="Y134" s="65">
        <v>796.61016949152543</v>
      </c>
      <c r="Z134" s="72" t="s">
        <v>395</v>
      </c>
      <c r="AA134" s="81" t="s">
        <v>539</v>
      </c>
    </row>
    <row r="135" spans="2:27" ht="21" customHeight="1">
      <c r="B135" s="67">
        <v>88</v>
      </c>
      <c r="C135" s="68" t="s">
        <v>552</v>
      </c>
      <c r="D135" s="69"/>
      <c r="E135" s="70">
        <v>1</v>
      </c>
      <c r="F135" s="71" t="s">
        <v>458</v>
      </c>
      <c r="G135" s="40"/>
      <c r="H135" s="40"/>
      <c r="I135" s="40"/>
      <c r="J135" s="40"/>
      <c r="K135" s="40"/>
      <c r="L135" s="40"/>
      <c r="M135" s="40"/>
      <c r="N135" s="78"/>
      <c r="O135" s="32"/>
      <c r="P135" s="64"/>
      <c r="Q135" s="64"/>
      <c r="R135" s="64"/>
      <c r="S135" s="65">
        <v>1529.6610169491526</v>
      </c>
      <c r="T135" s="65">
        <v>1529.6610169491526</v>
      </c>
      <c r="U135" s="65">
        <v>1529.6610169491526</v>
      </c>
      <c r="V135" s="65">
        <v>1529.6610169491526</v>
      </c>
      <c r="W135" s="65">
        <v>1529.6610169491526</v>
      </c>
      <c r="X135" s="65">
        <v>1529.6610169491526</v>
      </c>
      <c r="Y135" s="65">
        <v>1529.6610169491526</v>
      </c>
      <c r="Z135" s="72" t="s">
        <v>395</v>
      </c>
      <c r="AA135" s="81" t="s">
        <v>539</v>
      </c>
    </row>
    <row r="136" spans="2:27" ht="21" customHeight="1">
      <c r="B136" s="67">
        <v>89</v>
      </c>
      <c r="C136" s="68" t="s">
        <v>553</v>
      </c>
      <c r="D136" s="69"/>
      <c r="E136" s="70">
        <v>1</v>
      </c>
      <c r="F136" s="71" t="s">
        <v>458</v>
      </c>
      <c r="G136" s="40"/>
      <c r="H136" s="40"/>
      <c r="I136" s="40"/>
      <c r="J136" s="40"/>
      <c r="K136" s="40"/>
      <c r="L136" s="40"/>
      <c r="M136" s="40"/>
      <c r="N136" s="78"/>
      <c r="O136" s="32"/>
      <c r="P136" s="64"/>
      <c r="Q136" s="64"/>
      <c r="R136" s="64"/>
      <c r="S136" s="65">
        <v>868.64406779661022</v>
      </c>
      <c r="T136" s="65">
        <v>868.64406779661022</v>
      </c>
      <c r="U136" s="65">
        <v>868.64406779661022</v>
      </c>
      <c r="V136" s="65">
        <v>868.64406779661022</v>
      </c>
      <c r="W136" s="65">
        <v>868.64406779661022</v>
      </c>
      <c r="X136" s="65">
        <v>868.64406779661022</v>
      </c>
      <c r="Y136" s="65">
        <v>868.64406779661022</v>
      </c>
      <c r="Z136" s="72" t="s">
        <v>395</v>
      </c>
      <c r="AA136" s="81" t="s">
        <v>539</v>
      </c>
    </row>
    <row r="137" spans="2:27" ht="21" customHeight="1">
      <c r="B137" s="67">
        <v>90</v>
      </c>
      <c r="C137" s="68" t="s">
        <v>554</v>
      </c>
      <c r="D137" s="69"/>
      <c r="E137" s="70">
        <v>1</v>
      </c>
      <c r="F137" s="71" t="s">
        <v>458</v>
      </c>
      <c r="G137" s="32"/>
      <c r="H137" s="32"/>
      <c r="I137" s="32"/>
      <c r="J137" s="32"/>
      <c r="K137" s="32"/>
      <c r="L137" s="32"/>
      <c r="M137" s="32"/>
      <c r="N137" s="73"/>
      <c r="O137" s="32"/>
      <c r="P137" s="64"/>
      <c r="Q137" s="64"/>
      <c r="R137" s="64"/>
      <c r="S137" s="65">
        <v>1004.2372881355933</v>
      </c>
      <c r="T137" s="65">
        <v>1004.2372881355933</v>
      </c>
      <c r="U137" s="65">
        <v>1004.2372881355933</v>
      </c>
      <c r="V137" s="65">
        <v>1004.2372881355933</v>
      </c>
      <c r="W137" s="65">
        <v>1004.2372881355933</v>
      </c>
      <c r="X137" s="65">
        <v>1004.2372881355933</v>
      </c>
      <c r="Y137" s="65">
        <v>1004.2372881355933</v>
      </c>
      <c r="Z137" s="72" t="s">
        <v>395</v>
      </c>
      <c r="AA137" s="81" t="s">
        <v>539</v>
      </c>
    </row>
    <row r="138" spans="2:27" ht="21" customHeight="1">
      <c r="B138" s="67">
        <v>91</v>
      </c>
      <c r="C138" s="68" t="s">
        <v>555</v>
      </c>
      <c r="D138" s="69"/>
      <c r="E138" s="70">
        <v>1</v>
      </c>
      <c r="F138" s="71" t="s">
        <v>458</v>
      </c>
      <c r="G138" s="40"/>
      <c r="H138" s="40"/>
      <c r="I138" s="40"/>
      <c r="J138" s="40"/>
      <c r="K138" s="40"/>
      <c r="L138" s="40"/>
      <c r="M138" s="40"/>
      <c r="N138" s="78"/>
      <c r="O138" s="32"/>
      <c r="P138" s="64"/>
      <c r="Q138" s="64"/>
      <c r="R138" s="64"/>
      <c r="S138" s="65">
        <v>974.57627118644075</v>
      </c>
      <c r="T138" s="65">
        <v>974.57627118644075</v>
      </c>
      <c r="U138" s="65">
        <v>974.57627118644075</v>
      </c>
      <c r="V138" s="65">
        <v>974.57627118644075</v>
      </c>
      <c r="W138" s="65">
        <v>974.57627118644075</v>
      </c>
      <c r="X138" s="65">
        <v>974.57627118644075</v>
      </c>
      <c r="Y138" s="65">
        <v>974.57627118644075</v>
      </c>
      <c r="Z138" s="72" t="s">
        <v>395</v>
      </c>
      <c r="AA138" s="81" t="s">
        <v>539</v>
      </c>
    </row>
    <row r="139" spans="2:27" ht="21" customHeight="1">
      <c r="B139" s="67">
        <v>92</v>
      </c>
      <c r="C139" s="68" t="s">
        <v>556</v>
      </c>
      <c r="D139" s="69"/>
      <c r="E139" s="70">
        <v>1</v>
      </c>
      <c r="F139" s="71" t="s">
        <v>458</v>
      </c>
      <c r="G139" s="40"/>
      <c r="H139" s="40"/>
      <c r="I139" s="40"/>
      <c r="J139" s="40"/>
      <c r="K139" s="40"/>
      <c r="L139" s="40"/>
      <c r="M139" s="40"/>
      <c r="N139" s="78"/>
      <c r="O139" s="32"/>
      <c r="P139" s="64"/>
      <c r="Q139" s="64"/>
      <c r="R139" s="64"/>
      <c r="S139" s="65">
        <v>1245.7627118644068</v>
      </c>
      <c r="T139" s="65">
        <v>1245.7627118644068</v>
      </c>
      <c r="U139" s="65">
        <v>1245.7627118644068</v>
      </c>
      <c r="V139" s="65">
        <v>1245.7627118644068</v>
      </c>
      <c r="W139" s="65">
        <v>1245.7627118644068</v>
      </c>
      <c r="X139" s="65">
        <v>1245.7627118644068</v>
      </c>
      <c r="Y139" s="65">
        <v>1245.7627118644068</v>
      </c>
      <c r="Z139" s="72" t="s">
        <v>395</v>
      </c>
      <c r="AA139" s="81" t="s">
        <v>539</v>
      </c>
    </row>
    <row r="140" spans="2:27" ht="21" customHeight="1">
      <c r="B140" s="67">
        <v>93</v>
      </c>
      <c r="C140" s="68" t="s">
        <v>557</v>
      </c>
      <c r="D140" s="69"/>
      <c r="E140" s="70">
        <v>1</v>
      </c>
      <c r="F140" s="71" t="s">
        <v>458</v>
      </c>
      <c r="G140" s="40"/>
      <c r="H140" s="40"/>
      <c r="I140" s="40"/>
      <c r="J140" s="40"/>
      <c r="K140" s="40"/>
      <c r="L140" s="40"/>
      <c r="M140" s="40"/>
      <c r="N140" s="78"/>
      <c r="O140" s="32"/>
      <c r="P140" s="64"/>
      <c r="Q140" s="64"/>
      <c r="R140" s="64"/>
      <c r="S140" s="65">
        <v>868.64406779661022</v>
      </c>
      <c r="T140" s="65">
        <v>868.64406779661022</v>
      </c>
      <c r="U140" s="65">
        <v>868.64406779661022</v>
      </c>
      <c r="V140" s="65">
        <v>868.64406779661022</v>
      </c>
      <c r="W140" s="65">
        <v>868.64406779661022</v>
      </c>
      <c r="X140" s="65">
        <v>868.64406779661022</v>
      </c>
      <c r="Y140" s="65">
        <v>868.64406779661022</v>
      </c>
      <c r="Z140" s="72" t="s">
        <v>395</v>
      </c>
      <c r="AA140" s="81" t="s">
        <v>539</v>
      </c>
    </row>
    <row r="141" spans="2:27" ht="21" customHeight="1">
      <c r="B141" s="67">
        <v>94</v>
      </c>
      <c r="C141" s="68" t="s">
        <v>558</v>
      </c>
      <c r="D141" s="69"/>
      <c r="E141" s="70">
        <v>1</v>
      </c>
      <c r="F141" s="71" t="s">
        <v>458</v>
      </c>
      <c r="G141" s="40"/>
      <c r="H141" s="40"/>
      <c r="I141" s="40"/>
      <c r="J141" s="40"/>
      <c r="K141" s="40"/>
      <c r="L141" s="40"/>
      <c r="M141" s="40"/>
      <c r="N141" s="78"/>
      <c r="O141" s="32"/>
      <c r="P141" s="64"/>
      <c r="Q141" s="64"/>
      <c r="R141" s="64"/>
      <c r="S141" s="65">
        <v>1021.1864406779662</v>
      </c>
      <c r="T141" s="65">
        <v>1021.1864406779662</v>
      </c>
      <c r="U141" s="65">
        <v>1021.1864406779662</v>
      </c>
      <c r="V141" s="65">
        <v>1021.1864406779662</v>
      </c>
      <c r="W141" s="65">
        <v>1021.1864406779662</v>
      </c>
      <c r="X141" s="65">
        <v>1021.1864406779662</v>
      </c>
      <c r="Y141" s="65">
        <v>1021.1864406779662</v>
      </c>
      <c r="Z141" s="72" t="s">
        <v>395</v>
      </c>
      <c r="AA141" s="81" t="s">
        <v>539</v>
      </c>
    </row>
    <row r="142" spans="2:27" ht="21" customHeight="1">
      <c r="B142" s="67">
        <v>95</v>
      </c>
      <c r="C142" s="68" t="s">
        <v>559</v>
      </c>
      <c r="D142" s="69"/>
      <c r="E142" s="70">
        <v>1</v>
      </c>
      <c r="F142" s="71" t="s">
        <v>458</v>
      </c>
      <c r="G142" s="40"/>
      <c r="H142" s="40"/>
      <c r="I142" s="40"/>
      <c r="J142" s="40"/>
      <c r="K142" s="40"/>
      <c r="L142" s="40"/>
      <c r="M142" s="40"/>
      <c r="N142" s="78"/>
      <c r="O142" s="32"/>
      <c r="P142" s="64"/>
      <c r="Q142" s="64"/>
      <c r="R142" s="64"/>
      <c r="S142" s="65">
        <v>1478.8135593220341</v>
      </c>
      <c r="T142" s="65">
        <v>1478.8135593220341</v>
      </c>
      <c r="U142" s="65">
        <v>1478.8135593220341</v>
      </c>
      <c r="V142" s="65">
        <v>1478.8135593220341</v>
      </c>
      <c r="W142" s="65">
        <v>1478.8135593220341</v>
      </c>
      <c r="X142" s="65">
        <v>1478.8135593220341</v>
      </c>
      <c r="Y142" s="65">
        <v>1478.8135593220341</v>
      </c>
      <c r="Z142" s="72" t="s">
        <v>395</v>
      </c>
      <c r="AA142" s="81" t="s">
        <v>539</v>
      </c>
    </row>
    <row r="143" spans="2:27" ht="21" customHeight="1">
      <c r="B143" s="67">
        <v>96</v>
      </c>
      <c r="C143" s="68" t="s">
        <v>560</v>
      </c>
      <c r="D143" s="69"/>
      <c r="E143" s="70">
        <v>1</v>
      </c>
      <c r="F143" s="71" t="s">
        <v>458</v>
      </c>
      <c r="G143" s="40"/>
      <c r="H143" s="40"/>
      <c r="I143" s="40"/>
      <c r="J143" s="40"/>
      <c r="K143" s="40"/>
      <c r="L143" s="40"/>
      <c r="M143" s="40"/>
      <c r="N143" s="78"/>
      <c r="O143" s="32"/>
      <c r="P143" s="64"/>
      <c r="Q143" s="64"/>
      <c r="R143" s="64"/>
      <c r="S143" s="65">
        <v>1478.8135593220341</v>
      </c>
      <c r="T143" s="65">
        <v>1478.8135593220341</v>
      </c>
      <c r="U143" s="65">
        <v>1478.8135593220341</v>
      </c>
      <c r="V143" s="65">
        <v>1478.8135593220341</v>
      </c>
      <c r="W143" s="65">
        <v>1478.8135593220341</v>
      </c>
      <c r="X143" s="65">
        <v>1478.8135593220341</v>
      </c>
      <c r="Y143" s="65">
        <v>1478.8135593220341</v>
      </c>
      <c r="Z143" s="72" t="s">
        <v>395</v>
      </c>
      <c r="AA143" s="81" t="s">
        <v>539</v>
      </c>
    </row>
    <row r="144" spans="2:27" ht="21" customHeight="1">
      <c r="B144" s="67">
        <v>97</v>
      </c>
      <c r="C144" s="68" t="s">
        <v>561</v>
      </c>
      <c r="D144" s="69"/>
      <c r="E144" s="70">
        <v>1</v>
      </c>
      <c r="F144" s="71" t="s">
        <v>458</v>
      </c>
      <c r="G144" s="40"/>
      <c r="H144" s="40"/>
      <c r="I144" s="40"/>
      <c r="J144" s="40"/>
      <c r="K144" s="40"/>
      <c r="L144" s="40"/>
      <c r="M144" s="40"/>
      <c r="N144" s="78"/>
      <c r="O144" s="32"/>
      <c r="P144" s="64"/>
      <c r="Q144" s="64"/>
      <c r="R144" s="64"/>
      <c r="S144" s="65">
        <v>3406.7796610169494</v>
      </c>
      <c r="T144" s="65">
        <v>3406.7796610169494</v>
      </c>
      <c r="U144" s="65">
        <v>3406.7796610169494</v>
      </c>
      <c r="V144" s="65">
        <v>3406.7796610169494</v>
      </c>
      <c r="W144" s="65">
        <v>3406.7796610169494</v>
      </c>
      <c r="X144" s="65">
        <v>3406.7796610169494</v>
      </c>
      <c r="Y144" s="65">
        <v>3406.7796610169494</v>
      </c>
      <c r="Z144" s="72" t="s">
        <v>395</v>
      </c>
      <c r="AA144" s="81" t="s">
        <v>539</v>
      </c>
    </row>
    <row r="145" spans="2:27" ht="21" customHeight="1">
      <c r="B145" s="67">
        <v>98</v>
      </c>
      <c r="C145" s="68" t="s">
        <v>562</v>
      </c>
      <c r="D145" s="69"/>
      <c r="E145" s="70">
        <v>1</v>
      </c>
      <c r="F145" s="71" t="s">
        <v>458</v>
      </c>
      <c r="G145" s="40"/>
      <c r="H145" s="40"/>
      <c r="I145" s="40"/>
      <c r="J145" s="40"/>
      <c r="K145" s="40"/>
      <c r="L145" s="40"/>
      <c r="M145" s="40"/>
      <c r="N145" s="78"/>
      <c r="O145" s="32"/>
      <c r="P145" s="64"/>
      <c r="Q145" s="64"/>
      <c r="R145" s="64"/>
      <c r="S145" s="65">
        <v>1771.1864406779662</v>
      </c>
      <c r="T145" s="65">
        <v>1771.1864406779662</v>
      </c>
      <c r="U145" s="65">
        <v>1771.1864406779662</v>
      </c>
      <c r="V145" s="65">
        <v>1771.1864406779662</v>
      </c>
      <c r="W145" s="65">
        <v>1771.1864406779662</v>
      </c>
      <c r="X145" s="65">
        <v>1771.1864406779662</v>
      </c>
      <c r="Y145" s="65">
        <v>1771.1864406779662</v>
      </c>
      <c r="Z145" s="72" t="s">
        <v>395</v>
      </c>
      <c r="AA145" s="81" t="s">
        <v>539</v>
      </c>
    </row>
    <row r="146" spans="2:27" ht="21" customHeight="1">
      <c r="B146" s="67">
        <v>99</v>
      </c>
      <c r="C146" s="68" t="s">
        <v>563</v>
      </c>
      <c r="D146" s="69"/>
      <c r="E146" s="70">
        <v>1</v>
      </c>
      <c r="F146" s="71" t="s">
        <v>458</v>
      </c>
      <c r="G146" s="40"/>
      <c r="H146" s="40"/>
      <c r="I146" s="40"/>
      <c r="J146" s="40"/>
      <c r="K146" s="40"/>
      <c r="L146" s="40"/>
      <c r="M146" s="40"/>
      <c r="N146" s="78"/>
      <c r="O146" s="32"/>
      <c r="P146" s="64"/>
      <c r="Q146" s="64"/>
      <c r="R146" s="64"/>
      <c r="S146" s="65">
        <v>3970.3389830508477</v>
      </c>
      <c r="T146" s="65">
        <v>3970.3389830508477</v>
      </c>
      <c r="U146" s="65">
        <v>3970.3389830508477</v>
      </c>
      <c r="V146" s="65">
        <v>3970.3389830508477</v>
      </c>
      <c r="W146" s="65">
        <v>3970.3389830508477</v>
      </c>
      <c r="X146" s="65">
        <v>3970.3389830508477</v>
      </c>
      <c r="Y146" s="65">
        <v>3970.3389830508477</v>
      </c>
      <c r="Z146" s="72" t="s">
        <v>395</v>
      </c>
      <c r="AA146" s="81" t="s">
        <v>539</v>
      </c>
    </row>
    <row r="147" spans="2:27" ht="21" customHeight="1">
      <c r="B147" s="67">
        <v>100</v>
      </c>
      <c r="C147" s="68" t="s">
        <v>564</v>
      </c>
      <c r="D147" s="69"/>
      <c r="E147" s="70">
        <v>1</v>
      </c>
      <c r="F147" s="71" t="s">
        <v>458</v>
      </c>
      <c r="G147" s="40"/>
      <c r="H147" s="40"/>
      <c r="I147" s="40"/>
      <c r="J147" s="40"/>
      <c r="K147" s="40"/>
      <c r="L147" s="40"/>
      <c r="M147" s="40"/>
      <c r="N147" s="78"/>
      <c r="O147" s="32"/>
      <c r="P147" s="64"/>
      <c r="Q147" s="64"/>
      <c r="R147" s="64"/>
      <c r="S147" s="65">
        <v>1398.3050847457628</v>
      </c>
      <c r="T147" s="65">
        <v>1398.3050847457628</v>
      </c>
      <c r="U147" s="65">
        <v>1398.3050847457628</v>
      </c>
      <c r="V147" s="65">
        <v>1398.3050847457628</v>
      </c>
      <c r="W147" s="65">
        <v>1398.3050847457628</v>
      </c>
      <c r="X147" s="65">
        <v>1398.3050847457628</v>
      </c>
      <c r="Y147" s="65">
        <v>1398.3050847457628</v>
      </c>
      <c r="Z147" s="72" t="s">
        <v>395</v>
      </c>
      <c r="AA147" s="81" t="s">
        <v>539</v>
      </c>
    </row>
    <row r="148" spans="2:27" ht="21" customHeight="1">
      <c r="B148" s="67">
        <v>101</v>
      </c>
      <c r="C148" s="68" t="s">
        <v>565</v>
      </c>
      <c r="D148" s="69"/>
      <c r="E148" s="70">
        <v>1</v>
      </c>
      <c r="F148" s="71" t="s">
        <v>458</v>
      </c>
      <c r="G148" s="40"/>
      <c r="H148" s="40"/>
      <c r="I148" s="40"/>
      <c r="J148" s="40"/>
      <c r="K148" s="40"/>
      <c r="L148" s="40"/>
      <c r="M148" s="40"/>
      <c r="N148" s="78"/>
      <c r="O148" s="32"/>
      <c r="P148" s="64"/>
      <c r="Q148" s="64"/>
      <c r="R148" s="64"/>
      <c r="S148" s="65">
        <v>2110.1694915254238</v>
      </c>
      <c r="T148" s="65">
        <v>2110.1694915254238</v>
      </c>
      <c r="U148" s="65">
        <v>2110.1694915254238</v>
      </c>
      <c r="V148" s="65">
        <v>2110.1694915254238</v>
      </c>
      <c r="W148" s="65">
        <v>2110.1694915254238</v>
      </c>
      <c r="X148" s="65">
        <v>2110.1694915254238</v>
      </c>
      <c r="Y148" s="65">
        <v>2110.1694915254238</v>
      </c>
      <c r="Z148" s="72" t="s">
        <v>395</v>
      </c>
      <c r="AA148" s="81" t="s">
        <v>539</v>
      </c>
    </row>
    <row r="149" spans="2:27" ht="21" customHeight="1">
      <c r="B149" s="67">
        <v>102</v>
      </c>
      <c r="C149" s="68" t="s">
        <v>566</v>
      </c>
      <c r="D149" s="69"/>
      <c r="E149" s="70">
        <v>1</v>
      </c>
      <c r="F149" s="71" t="s">
        <v>458</v>
      </c>
      <c r="G149" s="40"/>
      <c r="H149" s="40"/>
      <c r="I149" s="40"/>
      <c r="J149" s="40"/>
      <c r="K149" s="40"/>
      <c r="L149" s="40"/>
      <c r="M149" s="40"/>
      <c r="N149" s="78"/>
      <c r="O149" s="32"/>
      <c r="P149" s="64"/>
      <c r="Q149" s="64"/>
      <c r="R149" s="64"/>
      <c r="S149" s="65">
        <v>932.20338983050851</v>
      </c>
      <c r="T149" s="65">
        <v>932.20338983050851</v>
      </c>
      <c r="U149" s="65">
        <v>932.20338983050851</v>
      </c>
      <c r="V149" s="65">
        <v>932.20338983050851</v>
      </c>
      <c r="W149" s="65">
        <v>932.20338983050851</v>
      </c>
      <c r="X149" s="65">
        <v>932.20338983050851</v>
      </c>
      <c r="Y149" s="65">
        <v>932.20338983050851</v>
      </c>
      <c r="Z149" s="72" t="s">
        <v>395</v>
      </c>
      <c r="AA149" s="81" t="s">
        <v>539</v>
      </c>
    </row>
    <row r="150" spans="2:27" ht="21" customHeight="1">
      <c r="B150" s="67">
        <v>103</v>
      </c>
      <c r="C150" s="68" t="s">
        <v>567</v>
      </c>
      <c r="D150" s="69"/>
      <c r="E150" s="70">
        <v>1</v>
      </c>
      <c r="F150" s="71" t="s">
        <v>458</v>
      </c>
      <c r="G150" s="40"/>
      <c r="H150" s="40"/>
      <c r="I150" s="40"/>
      <c r="J150" s="40"/>
      <c r="K150" s="40"/>
      <c r="L150" s="40"/>
      <c r="M150" s="40"/>
      <c r="N150" s="78"/>
      <c r="O150" s="32"/>
      <c r="P150" s="64"/>
      <c r="Q150" s="64"/>
      <c r="R150" s="64"/>
      <c r="S150" s="65">
        <v>1987.2881355932204</v>
      </c>
      <c r="T150" s="65">
        <v>1987.2881355932204</v>
      </c>
      <c r="U150" s="65">
        <v>1987.2881355932204</v>
      </c>
      <c r="V150" s="65">
        <v>1987.2881355932204</v>
      </c>
      <c r="W150" s="65">
        <v>1987.2881355932204</v>
      </c>
      <c r="X150" s="65">
        <v>1987.2881355932204</v>
      </c>
      <c r="Y150" s="65">
        <v>1987.2881355932204</v>
      </c>
      <c r="Z150" s="72" t="s">
        <v>395</v>
      </c>
      <c r="AA150" s="81" t="s">
        <v>539</v>
      </c>
    </row>
    <row r="151" spans="2:27" ht="21" customHeight="1">
      <c r="B151" s="67">
        <v>104</v>
      </c>
      <c r="C151" s="68" t="s">
        <v>568</v>
      </c>
      <c r="D151" s="69"/>
      <c r="E151" s="70">
        <v>1</v>
      </c>
      <c r="F151" s="71" t="s">
        <v>458</v>
      </c>
      <c r="G151" s="40"/>
      <c r="H151" s="40"/>
      <c r="I151" s="40"/>
      <c r="J151" s="40"/>
      <c r="K151" s="40"/>
      <c r="L151" s="40"/>
      <c r="M151" s="40"/>
      <c r="N151" s="78"/>
      <c r="O151" s="32"/>
      <c r="P151" s="64"/>
      <c r="Q151" s="64"/>
      <c r="R151" s="64"/>
      <c r="S151" s="65">
        <v>1377.1186440677966</v>
      </c>
      <c r="T151" s="65">
        <v>1377.1186440677966</v>
      </c>
      <c r="U151" s="65">
        <v>1377.1186440677966</v>
      </c>
      <c r="V151" s="65">
        <v>1377.1186440677966</v>
      </c>
      <c r="W151" s="65">
        <v>1377.1186440677966</v>
      </c>
      <c r="X151" s="65">
        <v>1377.1186440677966</v>
      </c>
      <c r="Y151" s="65">
        <v>1377.1186440677966</v>
      </c>
      <c r="Z151" s="72" t="s">
        <v>395</v>
      </c>
      <c r="AA151" s="81" t="s">
        <v>539</v>
      </c>
    </row>
    <row r="152" spans="2:27" ht="21" customHeight="1">
      <c r="B152" s="67">
        <v>105</v>
      </c>
      <c r="C152" s="68" t="s">
        <v>569</v>
      </c>
      <c r="D152" s="69"/>
      <c r="E152" s="70">
        <v>1</v>
      </c>
      <c r="F152" s="71" t="s">
        <v>458</v>
      </c>
      <c r="G152" s="40"/>
      <c r="H152" s="40"/>
      <c r="I152" s="40"/>
      <c r="J152" s="40"/>
      <c r="K152" s="40"/>
      <c r="L152" s="40"/>
      <c r="M152" s="40"/>
      <c r="N152" s="78"/>
      <c r="O152" s="32"/>
      <c r="P152" s="64"/>
      <c r="Q152" s="64"/>
      <c r="R152" s="64"/>
      <c r="S152" s="65">
        <v>1470.3389830508474</v>
      </c>
      <c r="T152" s="65">
        <v>1470.3389830508474</v>
      </c>
      <c r="U152" s="65">
        <v>1470.3389830508474</v>
      </c>
      <c r="V152" s="65">
        <v>1470.3389830508474</v>
      </c>
      <c r="W152" s="65">
        <v>1470.3389830508474</v>
      </c>
      <c r="X152" s="65">
        <v>1470.3389830508474</v>
      </c>
      <c r="Y152" s="65">
        <v>1470.3389830508474</v>
      </c>
      <c r="Z152" s="72" t="s">
        <v>395</v>
      </c>
      <c r="AA152" s="81" t="s">
        <v>539</v>
      </c>
    </row>
    <row r="153" spans="2:27" ht="21" customHeight="1">
      <c r="B153" s="67">
        <v>106</v>
      </c>
      <c r="C153" s="68" t="s">
        <v>570</v>
      </c>
      <c r="D153" s="69"/>
      <c r="E153" s="70">
        <v>1</v>
      </c>
      <c r="F153" s="71" t="s">
        <v>458</v>
      </c>
      <c r="G153" s="40"/>
      <c r="H153" s="40"/>
      <c r="I153" s="40"/>
      <c r="J153" s="40"/>
      <c r="K153" s="40"/>
      <c r="L153" s="40"/>
      <c r="M153" s="40"/>
      <c r="N153" s="78"/>
      <c r="O153" s="32"/>
      <c r="P153" s="64"/>
      <c r="Q153" s="64"/>
      <c r="R153" s="64"/>
      <c r="S153" s="65">
        <v>2309.3220338983051</v>
      </c>
      <c r="T153" s="65">
        <v>2309.3220338983051</v>
      </c>
      <c r="U153" s="65">
        <v>2309.3220338983051</v>
      </c>
      <c r="V153" s="65">
        <v>2309.3220338983051</v>
      </c>
      <c r="W153" s="65">
        <v>2309.3220338983051</v>
      </c>
      <c r="X153" s="65">
        <v>2309.3220338983051</v>
      </c>
      <c r="Y153" s="65">
        <v>2309.3220338983051</v>
      </c>
      <c r="Z153" s="72" t="s">
        <v>395</v>
      </c>
      <c r="AA153" s="81" t="s">
        <v>539</v>
      </c>
    </row>
    <row r="154" spans="2:27" ht="21" customHeight="1">
      <c r="B154" s="67">
        <v>107</v>
      </c>
      <c r="C154" s="68" t="s">
        <v>571</v>
      </c>
      <c r="D154" s="69"/>
      <c r="E154" s="70">
        <v>1</v>
      </c>
      <c r="F154" s="71" t="s">
        <v>458</v>
      </c>
      <c r="G154" s="40"/>
      <c r="H154" s="40"/>
      <c r="I154" s="40"/>
      <c r="J154" s="40"/>
      <c r="K154" s="40"/>
      <c r="L154" s="40"/>
      <c r="M154" s="40"/>
      <c r="N154" s="78"/>
      <c r="O154" s="32"/>
      <c r="P154" s="64"/>
      <c r="Q154" s="64"/>
      <c r="R154" s="64"/>
      <c r="S154" s="65">
        <v>241.52542372881356</v>
      </c>
      <c r="T154" s="65">
        <v>241.52542372881356</v>
      </c>
      <c r="U154" s="65">
        <v>241.52542372881356</v>
      </c>
      <c r="V154" s="65">
        <v>241.52542372881356</v>
      </c>
      <c r="W154" s="65">
        <v>241.52542372881356</v>
      </c>
      <c r="X154" s="65">
        <v>241.52542372881356</v>
      </c>
      <c r="Y154" s="65">
        <v>241.52542372881356</v>
      </c>
      <c r="Z154" s="72" t="s">
        <v>395</v>
      </c>
      <c r="AA154" s="81" t="s">
        <v>539</v>
      </c>
    </row>
    <row r="155" spans="2:27" ht="21" customHeight="1">
      <c r="B155" s="67">
        <v>108</v>
      </c>
      <c r="C155" s="68" t="s">
        <v>572</v>
      </c>
      <c r="D155" s="69"/>
      <c r="E155" s="70">
        <v>1</v>
      </c>
      <c r="F155" s="71" t="s">
        <v>458</v>
      </c>
      <c r="G155" s="40"/>
      <c r="H155" s="40"/>
      <c r="I155" s="40"/>
      <c r="J155" s="40"/>
      <c r="K155" s="40"/>
      <c r="L155" s="40"/>
      <c r="M155" s="40"/>
      <c r="N155" s="78"/>
      <c r="O155" s="32"/>
      <c r="P155" s="64"/>
      <c r="Q155" s="64"/>
      <c r="R155" s="64"/>
      <c r="S155" s="65">
        <v>313.5593220338983</v>
      </c>
      <c r="T155" s="65">
        <v>313.5593220338983</v>
      </c>
      <c r="U155" s="65">
        <v>313.5593220338983</v>
      </c>
      <c r="V155" s="65">
        <v>313.5593220338983</v>
      </c>
      <c r="W155" s="65">
        <v>313.5593220338983</v>
      </c>
      <c r="X155" s="65">
        <v>313.5593220338983</v>
      </c>
      <c r="Y155" s="65">
        <v>313.5593220338983</v>
      </c>
      <c r="Z155" s="72" t="s">
        <v>395</v>
      </c>
      <c r="AA155" s="81" t="s">
        <v>539</v>
      </c>
    </row>
    <row r="156" spans="2:27" ht="21" customHeight="1">
      <c r="B156" s="67">
        <v>109</v>
      </c>
      <c r="C156" s="68" t="s">
        <v>573</v>
      </c>
      <c r="D156" s="69"/>
      <c r="E156" s="70">
        <v>1</v>
      </c>
      <c r="F156" s="71" t="s">
        <v>458</v>
      </c>
      <c r="G156" s="40"/>
      <c r="H156" s="40"/>
      <c r="I156" s="40"/>
      <c r="J156" s="40"/>
      <c r="K156" s="40"/>
      <c r="L156" s="40"/>
      <c r="M156" s="40"/>
      <c r="N156" s="78"/>
      <c r="O156" s="32"/>
      <c r="P156" s="64"/>
      <c r="Q156" s="64"/>
      <c r="R156" s="64"/>
      <c r="S156" s="65">
        <v>508.47457627118649</v>
      </c>
      <c r="T156" s="65">
        <v>508.47457627118649</v>
      </c>
      <c r="U156" s="65">
        <v>508.47457627118649</v>
      </c>
      <c r="V156" s="65">
        <v>508.47457627118649</v>
      </c>
      <c r="W156" s="65">
        <v>508.47457627118649</v>
      </c>
      <c r="X156" s="65">
        <v>508.47457627118649</v>
      </c>
      <c r="Y156" s="65">
        <v>508.47457627118649</v>
      </c>
      <c r="Z156" s="72" t="s">
        <v>395</v>
      </c>
      <c r="AA156" s="81" t="s">
        <v>539</v>
      </c>
    </row>
    <row r="157" spans="2:27" ht="21" customHeight="1">
      <c r="B157" s="67">
        <v>110</v>
      </c>
      <c r="C157" s="68" t="s">
        <v>574</v>
      </c>
      <c r="D157" s="69"/>
      <c r="E157" s="70">
        <v>1</v>
      </c>
      <c r="F157" s="71" t="s">
        <v>458</v>
      </c>
      <c r="G157" s="40"/>
      <c r="H157" s="40"/>
      <c r="I157" s="40"/>
      <c r="J157" s="40"/>
      <c r="K157" s="40"/>
      <c r="L157" s="40"/>
      <c r="M157" s="40"/>
      <c r="N157" s="78"/>
      <c r="O157" s="32"/>
      <c r="P157" s="64"/>
      <c r="Q157" s="64"/>
      <c r="R157" s="64"/>
      <c r="S157" s="65">
        <v>466.10169491525426</v>
      </c>
      <c r="T157" s="65">
        <v>466.10169491525426</v>
      </c>
      <c r="U157" s="65">
        <v>466.10169491525426</v>
      </c>
      <c r="V157" s="65">
        <v>466.10169491525426</v>
      </c>
      <c r="W157" s="65">
        <v>466.10169491525426</v>
      </c>
      <c r="X157" s="65">
        <v>466.10169491525426</v>
      </c>
      <c r="Y157" s="65">
        <v>466.10169491525426</v>
      </c>
      <c r="Z157" s="72" t="s">
        <v>395</v>
      </c>
      <c r="AA157" s="81" t="s">
        <v>539</v>
      </c>
    </row>
    <row r="158" spans="2:27" ht="21" customHeight="1">
      <c r="B158" s="67">
        <v>111</v>
      </c>
      <c r="C158" s="68" t="s">
        <v>575</v>
      </c>
      <c r="D158" s="69"/>
      <c r="E158" s="70">
        <v>1</v>
      </c>
      <c r="F158" s="71" t="s">
        <v>458</v>
      </c>
      <c r="G158" s="40"/>
      <c r="H158" s="40"/>
      <c r="I158" s="40"/>
      <c r="J158" s="40"/>
      <c r="K158" s="40"/>
      <c r="L158" s="40"/>
      <c r="M158" s="40"/>
      <c r="N158" s="78"/>
      <c r="O158" s="32"/>
      <c r="P158" s="64"/>
      <c r="Q158" s="64"/>
      <c r="R158" s="64"/>
      <c r="S158" s="65">
        <v>118.64406779661017</v>
      </c>
      <c r="T158" s="65">
        <v>118.64406779661017</v>
      </c>
      <c r="U158" s="65">
        <v>118.64406779661017</v>
      </c>
      <c r="V158" s="65">
        <v>118.64406779661017</v>
      </c>
      <c r="W158" s="65">
        <v>118.64406779661017</v>
      </c>
      <c r="X158" s="65">
        <v>118.64406779661017</v>
      </c>
      <c r="Y158" s="65">
        <v>118.64406779661017</v>
      </c>
      <c r="Z158" s="72" t="s">
        <v>395</v>
      </c>
      <c r="AA158" s="81" t="s">
        <v>539</v>
      </c>
    </row>
    <row r="159" spans="2:27" ht="21" customHeight="1">
      <c r="B159" s="67"/>
      <c r="C159" s="68"/>
      <c r="D159" s="69"/>
      <c r="E159" s="70"/>
      <c r="F159" s="71"/>
      <c r="G159" s="40"/>
      <c r="H159" s="40"/>
      <c r="I159" s="40"/>
      <c r="J159" s="40"/>
      <c r="K159" s="40"/>
      <c r="L159" s="40"/>
      <c r="M159" s="40"/>
      <c r="N159" s="78"/>
      <c r="O159" s="32"/>
      <c r="P159" s="64"/>
      <c r="Q159" s="64"/>
      <c r="R159" s="64"/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72" t="s">
        <v>395</v>
      </c>
    </row>
    <row r="160" spans="2:27" ht="21" customHeight="1">
      <c r="B160" s="67"/>
      <c r="C160" s="81" t="s">
        <v>576</v>
      </c>
      <c r="D160" s="69"/>
      <c r="E160" s="70"/>
      <c r="F160" s="85"/>
      <c r="G160" s="40"/>
      <c r="H160" s="40"/>
      <c r="I160" s="40"/>
      <c r="J160" s="40"/>
      <c r="K160" s="40"/>
      <c r="L160" s="40"/>
      <c r="M160" s="40"/>
      <c r="N160" s="78"/>
      <c r="O160" s="32"/>
      <c r="P160" s="64"/>
      <c r="Q160" s="64"/>
      <c r="R160" s="64"/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72" t="s">
        <v>395</v>
      </c>
    </row>
    <row r="161" spans="2:27" ht="21" customHeight="1">
      <c r="B161" s="67"/>
      <c r="C161" s="86" t="s">
        <v>577</v>
      </c>
      <c r="D161" s="87"/>
      <c r="E161" s="70"/>
      <c r="F161" s="85"/>
      <c r="G161" s="40"/>
      <c r="H161" s="40"/>
      <c r="I161" s="40"/>
      <c r="J161" s="40"/>
      <c r="K161" s="40"/>
      <c r="L161" s="40"/>
      <c r="M161" s="40"/>
      <c r="N161" s="78"/>
      <c r="O161" s="32"/>
      <c r="P161" s="64"/>
      <c r="Q161" s="64"/>
      <c r="R161" s="64"/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72" t="s">
        <v>395</v>
      </c>
    </row>
    <row r="162" spans="2:27" ht="51" customHeight="1">
      <c r="B162" s="67">
        <v>95</v>
      </c>
      <c r="C162" s="79" t="s">
        <v>578</v>
      </c>
      <c r="D162" s="80"/>
      <c r="E162" s="70">
        <v>1</v>
      </c>
      <c r="F162" s="71" t="s">
        <v>458</v>
      </c>
      <c r="G162" s="32"/>
      <c r="H162" s="32"/>
      <c r="I162" s="32"/>
      <c r="J162" s="32"/>
      <c r="K162" s="32"/>
      <c r="L162" s="32"/>
      <c r="M162" s="32"/>
      <c r="N162" s="73"/>
      <c r="O162" s="32"/>
      <c r="P162" s="64"/>
      <c r="Q162" s="64"/>
      <c r="R162" s="64"/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72" t="s">
        <v>395</v>
      </c>
      <c r="AA162" s="81" t="s">
        <v>576</v>
      </c>
    </row>
    <row r="163" spans="2:27" ht="21" customHeight="1">
      <c r="B163" s="67">
        <v>96</v>
      </c>
      <c r="C163" s="79" t="s">
        <v>579</v>
      </c>
      <c r="D163" s="80"/>
      <c r="E163" s="70">
        <v>1</v>
      </c>
      <c r="F163" s="71" t="s">
        <v>458</v>
      </c>
      <c r="G163" s="32"/>
      <c r="H163" s="32"/>
      <c r="I163" s="32"/>
      <c r="J163" s="32"/>
      <c r="K163" s="32"/>
      <c r="L163" s="32"/>
      <c r="M163" s="32"/>
      <c r="N163" s="73"/>
      <c r="O163" s="32"/>
      <c r="P163" s="64"/>
      <c r="Q163" s="64"/>
      <c r="R163" s="64"/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72" t="s">
        <v>395</v>
      </c>
      <c r="AA163" s="81" t="s">
        <v>576</v>
      </c>
    </row>
    <row r="164" spans="2:27" ht="21" customHeight="1">
      <c r="B164" s="67">
        <v>97</v>
      </c>
      <c r="C164" s="79" t="s">
        <v>580</v>
      </c>
      <c r="D164" s="80"/>
      <c r="E164" s="70">
        <v>1</v>
      </c>
      <c r="F164" s="71" t="s">
        <v>458</v>
      </c>
      <c r="G164" s="32"/>
      <c r="H164" s="32"/>
      <c r="I164" s="32"/>
      <c r="J164" s="32"/>
      <c r="K164" s="32"/>
      <c r="L164" s="32"/>
      <c r="M164" s="32"/>
      <c r="N164" s="73"/>
      <c r="O164" s="32"/>
      <c r="P164" s="64"/>
      <c r="Q164" s="64"/>
      <c r="R164" s="64"/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72" t="s">
        <v>395</v>
      </c>
      <c r="AA164" s="81" t="s">
        <v>576</v>
      </c>
    </row>
    <row r="165" spans="2:27" ht="21" customHeight="1">
      <c r="B165" s="67">
        <v>98</v>
      </c>
      <c r="C165" s="79" t="s">
        <v>581</v>
      </c>
      <c r="D165" s="80"/>
      <c r="E165" s="70">
        <v>1</v>
      </c>
      <c r="F165" s="71" t="s">
        <v>458</v>
      </c>
      <c r="G165" s="32"/>
      <c r="H165" s="32"/>
      <c r="I165" s="32"/>
      <c r="J165" s="32"/>
      <c r="K165" s="32"/>
      <c r="L165" s="32"/>
      <c r="M165" s="32"/>
      <c r="N165" s="73"/>
      <c r="O165" s="32"/>
      <c r="P165" s="64"/>
      <c r="Q165" s="64"/>
      <c r="R165" s="64"/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72" t="s">
        <v>395</v>
      </c>
      <c r="AA165" s="81" t="s">
        <v>576</v>
      </c>
    </row>
    <row r="166" spans="2:27" ht="21" customHeight="1">
      <c r="B166" s="67">
        <v>99</v>
      </c>
      <c r="C166" s="79" t="s">
        <v>582</v>
      </c>
      <c r="D166" s="80"/>
      <c r="E166" s="70">
        <v>1</v>
      </c>
      <c r="F166" s="71" t="s">
        <v>458</v>
      </c>
      <c r="G166" s="32"/>
      <c r="H166" s="32"/>
      <c r="I166" s="32"/>
      <c r="J166" s="32"/>
      <c r="K166" s="32"/>
      <c r="L166" s="32"/>
      <c r="M166" s="32"/>
      <c r="N166" s="73"/>
      <c r="O166" s="32"/>
      <c r="P166" s="64"/>
      <c r="Q166" s="64"/>
      <c r="R166" s="64"/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72" t="s">
        <v>395</v>
      </c>
      <c r="AA166" s="81" t="s">
        <v>576</v>
      </c>
    </row>
    <row r="167" spans="2:27" ht="21" customHeight="1">
      <c r="B167" s="67">
        <v>100</v>
      </c>
      <c r="C167" s="79" t="s">
        <v>583</v>
      </c>
      <c r="D167" s="80"/>
      <c r="E167" s="70">
        <v>1</v>
      </c>
      <c r="F167" s="71" t="s">
        <v>458</v>
      </c>
      <c r="G167" s="32"/>
      <c r="H167" s="32"/>
      <c r="I167" s="32"/>
      <c r="J167" s="32"/>
      <c r="K167" s="32"/>
      <c r="L167" s="32"/>
      <c r="M167" s="32"/>
      <c r="N167" s="73"/>
      <c r="O167" s="32"/>
      <c r="P167" s="64"/>
      <c r="Q167" s="64"/>
      <c r="R167" s="64"/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72" t="s">
        <v>395</v>
      </c>
      <c r="AA167" s="81" t="s">
        <v>576</v>
      </c>
    </row>
    <row r="168" spans="2:27" ht="21" customHeight="1">
      <c r="B168" s="67">
        <v>101</v>
      </c>
      <c r="C168" s="79" t="s">
        <v>584</v>
      </c>
      <c r="D168" s="80"/>
      <c r="E168" s="70">
        <v>1</v>
      </c>
      <c r="F168" s="71" t="s">
        <v>458</v>
      </c>
      <c r="G168" s="32"/>
      <c r="H168" s="32"/>
      <c r="I168" s="32"/>
      <c r="J168" s="32"/>
      <c r="K168" s="32"/>
      <c r="L168" s="32"/>
      <c r="M168" s="32"/>
      <c r="N168" s="73"/>
      <c r="O168" s="32"/>
      <c r="P168" s="64"/>
      <c r="Q168" s="64"/>
      <c r="R168" s="64"/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72" t="s">
        <v>395</v>
      </c>
      <c r="AA168" s="81" t="s">
        <v>576</v>
      </c>
    </row>
    <row r="169" spans="2:27" ht="21" customHeight="1">
      <c r="B169" s="67">
        <v>102</v>
      </c>
      <c r="C169" s="79" t="s">
        <v>585</v>
      </c>
      <c r="D169" s="80"/>
      <c r="E169" s="70">
        <v>1</v>
      </c>
      <c r="F169" s="71" t="s">
        <v>458</v>
      </c>
      <c r="G169" s="32"/>
      <c r="H169" s="32"/>
      <c r="I169" s="32"/>
      <c r="J169" s="32"/>
      <c r="K169" s="32"/>
      <c r="L169" s="32"/>
      <c r="M169" s="32"/>
      <c r="N169" s="73"/>
      <c r="O169" s="32"/>
      <c r="P169" s="64"/>
      <c r="Q169" s="64"/>
      <c r="R169" s="64"/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72" t="s">
        <v>395</v>
      </c>
      <c r="AA169" s="81" t="s">
        <v>576</v>
      </c>
    </row>
    <row r="170" spans="2:27" ht="21" customHeight="1">
      <c r="B170" s="67">
        <v>103</v>
      </c>
      <c r="C170" s="79" t="s">
        <v>586</v>
      </c>
      <c r="D170" s="80"/>
      <c r="E170" s="70">
        <v>1</v>
      </c>
      <c r="F170" s="71" t="s">
        <v>458</v>
      </c>
      <c r="G170" s="32"/>
      <c r="H170" s="32"/>
      <c r="I170" s="32"/>
      <c r="J170" s="32"/>
      <c r="K170" s="32"/>
      <c r="L170" s="32"/>
      <c r="M170" s="32"/>
      <c r="N170" s="73"/>
      <c r="O170" s="32"/>
      <c r="P170" s="64"/>
      <c r="Q170" s="64"/>
      <c r="R170" s="64"/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72" t="s">
        <v>395</v>
      </c>
      <c r="AA170" s="81" t="s">
        <v>576</v>
      </c>
    </row>
    <row r="171" spans="2:27" ht="21" customHeight="1">
      <c r="B171" s="67">
        <v>104</v>
      </c>
      <c r="C171" s="79" t="s">
        <v>587</v>
      </c>
      <c r="D171" s="80"/>
      <c r="E171" s="70">
        <v>1</v>
      </c>
      <c r="F171" s="71" t="s">
        <v>458</v>
      </c>
      <c r="G171" s="32"/>
      <c r="H171" s="32"/>
      <c r="I171" s="32"/>
      <c r="J171" s="32"/>
      <c r="K171" s="32"/>
      <c r="L171" s="32"/>
      <c r="M171" s="32"/>
      <c r="N171" s="73"/>
      <c r="O171" s="32"/>
      <c r="P171" s="64"/>
      <c r="Q171" s="64"/>
      <c r="R171" s="64"/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72" t="s">
        <v>395</v>
      </c>
      <c r="AA171" s="81" t="s">
        <v>576</v>
      </c>
    </row>
    <row r="172" spans="2:27" ht="21" customHeight="1">
      <c r="B172" s="67">
        <v>105</v>
      </c>
      <c r="C172" s="79" t="s">
        <v>588</v>
      </c>
      <c r="D172" s="80"/>
      <c r="E172" s="70">
        <v>1</v>
      </c>
      <c r="F172" s="71" t="s">
        <v>458</v>
      </c>
      <c r="G172" s="32"/>
      <c r="H172" s="32"/>
      <c r="I172" s="32"/>
      <c r="J172" s="32"/>
      <c r="K172" s="32"/>
      <c r="L172" s="32"/>
      <c r="M172" s="32"/>
      <c r="N172" s="73"/>
      <c r="O172" s="32"/>
      <c r="P172" s="64"/>
      <c r="Q172" s="64"/>
      <c r="R172" s="64"/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72" t="s">
        <v>395</v>
      </c>
      <c r="AA172" s="81" t="s">
        <v>576</v>
      </c>
    </row>
    <row r="173" spans="2:27" ht="21" customHeight="1">
      <c r="B173" s="67">
        <v>106</v>
      </c>
      <c r="C173" s="79" t="s">
        <v>589</v>
      </c>
      <c r="D173" s="80"/>
      <c r="E173" s="70">
        <v>1</v>
      </c>
      <c r="F173" s="71" t="s">
        <v>458</v>
      </c>
      <c r="G173" s="32"/>
      <c r="H173" s="32"/>
      <c r="I173" s="32"/>
      <c r="J173" s="32"/>
      <c r="K173" s="32"/>
      <c r="L173" s="32"/>
      <c r="M173" s="32"/>
      <c r="N173" s="73"/>
      <c r="O173" s="32"/>
      <c r="P173" s="64"/>
      <c r="Q173" s="64"/>
      <c r="R173" s="64"/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72" t="s">
        <v>395</v>
      </c>
      <c r="AA173" s="81" t="s">
        <v>576</v>
      </c>
    </row>
    <row r="174" spans="2:27" ht="21" customHeight="1">
      <c r="B174" s="67">
        <v>107</v>
      </c>
      <c r="C174" s="79" t="s">
        <v>590</v>
      </c>
      <c r="D174" s="80"/>
      <c r="E174" s="70">
        <v>1</v>
      </c>
      <c r="F174" s="71" t="s">
        <v>458</v>
      </c>
      <c r="G174" s="32"/>
      <c r="H174" s="32"/>
      <c r="I174" s="32"/>
      <c r="J174" s="32"/>
      <c r="K174" s="32"/>
      <c r="L174" s="32"/>
      <c r="M174" s="32"/>
      <c r="N174" s="73"/>
      <c r="O174" s="32"/>
      <c r="P174" s="64"/>
      <c r="Q174" s="64"/>
      <c r="R174" s="64"/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72" t="s">
        <v>395</v>
      </c>
      <c r="AA174" s="81" t="s">
        <v>576</v>
      </c>
    </row>
    <row r="175" spans="2:27" ht="21" customHeight="1">
      <c r="B175" s="67">
        <v>108</v>
      </c>
      <c r="C175" s="79" t="s">
        <v>591</v>
      </c>
      <c r="D175" s="80"/>
      <c r="E175" s="70">
        <v>1</v>
      </c>
      <c r="F175" s="71" t="s">
        <v>458</v>
      </c>
      <c r="G175" s="32"/>
      <c r="H175" s="32"/>
      <c r="I175" s="32"/>
      <c r="J175" s="32"/>
      <c r="K175" s="32"/>
      <c r="L175" s="32"/>
      <c r="M175" s="32"/>
      <c r="N175" s="73"/>
      <c r="O175" s="32"/>
      <c r="P175" s="64"/>
      <c r="Q175" s="64"/>
      <c r="R175" s="64"/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72" t="s">
        <v>395</v>
      </c>
      <c r="AA175" s="81" t="s">
        <v>576</v>
      </c>
    </row>
    <row r="176" spans="2:27" ht="21" customHeight="1">
      <c r="B176" s="67">
        <v>109</v>
      </c>
      <c r="C176" s="79" t="s">
        <v>592</v>
      </c>
      <c r="D176" s="80"/>
      <c r="E176" s="70">
        <v>1</v>
      </c>
      <c r="F176" s="71" t="s">
        <v>458</v>
      </c>
      <c r="G176" s="32"/>
      <c r="H176" s="32"/>
      <c r="I176" s="32"/>
      <c r="J176" s="32"/>
      <c r="K176" s="32"/>
      <c r="L176" s="32"/>
      <c r="M176" s="32"/>
      <c r="N176" s="73"/>
      <c r="O176" s="32"/>
      <c r="P176" s="64"/>
      <c r="Q176" s="64"/>
      <c r="R176" s="64"/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72" t="s">
        <v>395</v>
      </c>
      <c r="AA176" s="81" t="s">
        <v>576</v>
      </c>
    </row>
    <row r="177" spans="2:27" ht="21" customHeight="1">
      <c r="B177" s="67">
        <v>110</v>
      </c>
      <c r="C177" s="79" t="s">
        <v>593</v>
      </c>
      <c r="D177" s="80"/>
      <c r="E177" s="70">
        <v>1</v>
      </c>
      <c r="F177" s="71" t="s">
        <v>458</v>
      </c>
      <c r="G177" s="32"/>
      <c r="H177" s="32"/>
      <c r="I177" s="32"/>
      <c r="J177" s="32"/>
      <c r="K177" s="32"/>
      <c r="L177" s="32"/>
      <c r="M177" s="32"/>
      <c r="N177" s="73"/>
      <c r="O177" s="32"/>
      <c r="P177" s="64"/>
      <c r="Q177" s="64"/>
      <c r="R177" s="64"/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72" t="s">
        <v>395</v>
      </c>
      <c r="AA177" s="81" t="s">
        <v>576</v>
      </c>
    </row>
    <row r="178" spans="2:27" ht="21" customHeight="1">
      <c r="B178" s="67">
        <v>111</v>
      </c>
      <c r="C178" s="79" t="s">
        <v>594</v>
      </c>
      <c r="D178" s="80"/>
      <c r="E178" s="70">
        <v>1</v>
      </c>
      <c r="F178" s="71" t="s">
        <v>458</v>
      </c>
      <c r="G178" s="32"/>
      <c r="H178" s="32"/>
      <c r="I178" s="32"/>
      <c r="J178" s="32"/>
      <c r="K178" s="32"/>
      <c r="L178" s="32"/>
      <c r="M178" s="32"/>
      <c r="N178" s="73"/>
      <c r="O178" s="32"/>
      <c r="P178" s="64"/>
      <c r="Q178" s="64"/>
      <c r="R178" s="64"/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72" t="s">
        <v>395</v>
      </c>
      <c r="AA178" s="81" t="s">
        <v>576</v>
      </c>
    </row>
    <row r="179" spans="2:27" ht="21" customHeight="1">
      <c r="B179" s="67">
        <v>112</v>
      </c>
      <c r="C179" s="79" t="s">
        <v>595</v>
      </c>
      <c r="D179" s="80"/>
      <c r="E179" s="70">
        <v>1</v>
      </c>
      <c r="F179" s="71" t="s">
        <v>458</v>
      </c>
      <c r="G179" s="32"/>
      <c r="H179" s="32"/>
      <c r="I179" s="32"/>
      <c r="J179" s="32"/>
      <c r="K179" s="32"/>
      <c r="L179" s="32"/>
      <c r="M179" s="32"/>
      <c r="N179" s="73"/>
      <c r="O179" s="32"/>
      <c r="P179" s="64"/>
      <c r="Q179" s="64"/>
      <c r="R179" s="64"/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72" t="s">
        <v>395</v>
      </c>
      <c r="AA179" s="81" t="s">
        <v>576</v>
      </c>
    </row>
    <row r="180" spans="2:27" ht="21" customHeight="1">
      <c r="B180" s="67">
        <v>113</v>
      </c>
      <c r="C180" s="79" t="s">
        <v>596</v>
      </c>
      <c r="D180" s="80"/>
      <c r="E180" s="70">
        <v>1</v>
      </c>
      <c r="F180" s="71" t="s">
        <v>458</v>
      </c>
      <c r="G180" s="32"/>
      <c r="H180" s="32"/>
      <c r="I180" s="32"/>
      <c r="J180" s="32"/>
      <c r="K180" s="32"/>
      <c r="L180" s="32"/>
      <c r="M180" s="32"/>
      <c r="N180" s="73"/>
      <c r="O180" s="32"/>
      <c r="P180" s="64"/>
      <c r="Q180" s="64"/>
      <c r="R180" s="64"/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72" t="s">
        <v>395</v>
      </c>
      <c r="AA180" s="81" t="s">
        <v>576</v>
      </c>
    </row>
    <row r="181" spans="2:27" ht="21" customHeight="1">
      <c r="B181" s="67">
        <v>114</v>
      </c>
      <c r="C181" s="79" t="s">
        <v>597</v>
      </c>
      <c r="D181" s="80"/>
      <c r="E181" s="70">
        <v>1</v>
      </c>
      <c r="F181" s="71" t="s">
        <v>458</v>
      </c>
      <c r="G181" s="32"/>
      <c r="H181" s="32"/>
      <c r="I181" s="32"/>
      <c r="J181" s="32"/>
      <c r="K181" s="32"/>
      <c r="L181" s="32"/>
      <c r="M181" s="32"/>
      <c r="N181" s="73"/>
      <c r="O181" s="32"/>
      <c r="P181" s="64"/>
      <c r="Q181" s="64"/>
      <c r="R181" s="64"/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72" t="s">
        <v>395</v>
      </c>
      <c r="AA181" s="81" t="s">
        <v>576</v>
      </c>
    </row>
    <row r="182" spans="2:27" ht="21" customHeight="1">
      <c r="B182" s="67">
        <v>115</v>
      </c>
      <c r="C182" s="79" t="s">
        <v>598</v>
      </c>
      <c r="D182" s="80"/>
      <c r="E182" s="70">
        <v>1</v>
      </c>
      <c r="F182" s="71" t="s">
        <v>458</v>
      </c>
      <c r="G182" s="32"/>
      <c r="H182" s="32"/>
      <c r="I182" s="32"/>
      <c r="J182" s="32"/>
      <c r="K182" s="32"/>
      <c r="L182" s="32"/>
      <c r="M182" s="32"/>
      <c r="N182" s="73"/>
      <c r="O182" s="32"/>
      <c r="P182" s="64"/>
      <c r="Q182" s="64"/>
      <c r="R182" s="64"/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72" t="s">
        <v>395</v>
      </c>
      <c r="AA182" s="81" t="s">
        <v>576</v>
      </c>
    </row>
    <row r="183" spans="2:27" ht="21" customHeight="1">
      <c r="B183" s="67">
        <v>116</v>
      </c>
      <c r="C183" s="79" t="s">
        <v>599</v>
      </c>
      <c r="D183" s="80"/>
      <c r="E183" s="70">
        <v>1</v>
      </c>
      <c r="F183" s="71" t="s">
        <v>458</v>
      </c>
      <c r="G183" s="32"/>
      <c r="H183" s="32"/>
      <c r="I183" s="32"/>
      <c r="J183" s="32"/>
      <c r="K183" s="32"/>
      <c r="L183" s="32"/>
      <c r="M183" s="32"/>
      <c r="N183" s="73"/>
      <c r="O183" s="32"/>
      <c r="P183" s="64"/>
      <c r="Q183" s="64"/>
      <c r="R183" s="64"/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72" t="s">
        <v>395</v>
      </c>
      <c r="AA183" s="81" t="s">
        <v>576</v>
      </c>
    </row>
    <row r="184" spans="2:27" ht="21" customHeight="1">
      <c r="B184" s="67">
        <v>117</v>
      </c>
      <c r="C184" s="79" t="s">
        <v>600</v>
      </c>
      <c r="D184" s="80"/>
      <c r="E184" s="70">
        <v>1</v>
      </c>
      <c r="F184" s="71" t="s">
        <v>458</v>
      </c>
      <c r="G184" s="32"/>
      <c r="H184" s="32"/>
      <c r="I184" s="32"/>
      <c r="J184" s="32"/>
      <c r="K184" s="32"/>
      <c r="L184" s="32"/>
      <c r="M184" s="32"/>
      <c r="N184" s="73"/>
      <c r="O184" s="32"/>
      <c r="P184" s="64"/>
      <c r="Q184" s="64"/>
      <c r="R184" s="64"/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72" t="s">
        <v>395</v>
      </c>
      <c r="AA184" s="81" t="s">
        <v>576</v>
      </c>
    </row>
    <row r="185" spans="2:27" ht="21" customHeight="1">
      <c r="B185" s="67">
        <v>118</v>
      </c>
      <c r="C185" s="79" t="s">
        <v>601</v>
      </c>
      <c r="D185" s="80"/>
      <c r="E185" s="70">
        <v>1</v>
      </c>
      <c r="F185" s="71" t="s">
        <v>458</v>
      </c>
      <c r="G185" s="32"/>
      <c r="H185" s="32"/>
      <c r="I185" s="32"/>
      <c r="J185" s="32"/>
      <c r="K185" s="32"/>
      <c r="L185" s="32"/>
      <c r="M185" s="32"/>
      <c r="N185" s="73"/>
      <c r="O185" s="32"/>
      <c r="P185" s="64"/>
      <c r="Q185" s="64"/>
      <c r="R185" s="64"/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72" t="s">
        <v>395</v>
      </c>
      <c r="AA185" s="81" t="s">
        <v>576</v>
      </c>
    </row>
    <row r="186" spans="2:27" ht="21" customHeight="1">
      <c r="B186" s="67">
        <v>119</v>
      </c>
      <c r="C186" s="79" t="s">
        <v>602</v>
      </c>
      <c r="D186" s="80"/>
      <c r="E186" s="70">
        <v>1</v>
      </c>
      <c r="F186" s="71" t="s">
        <v>458</v>
      </c>
      <c r="G186" s="32"/>
      <c r="H186" s="32"/>
      <c r="I186" s="32"/>
      <c r="J186" s="32"/>
      <c r="K186" s="32"/>
      <c r="L186" s="32"/>
      <c r="M186" s="32"/>
      <c r="N186" s="73"/>
      <c r="O186" s="32"/>
      <c r="P186" s="64"/>
      <c r="Q186" s="64"/>
      <c r="R186" s="64"/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72" t="s">
        <v>395</v>
      </c>
      <c r="AA186" s="81" t="s">
        <v>576</v>
      </c>
    </row>
    <row r="187" spans="2:27" ht="21" customHeight="1">
      <c r="B187" s="67">
        <v>120</v>
      </c>
      <c r="C187" s="79" t="s">
        <v>603</v>
      </c>
      <c r="D187" s="80"/>
      <c r="E187" s="70">
        <v>1</v>
      </c>
      <c r="F187" s="71" t="s">
        <v>458</v>
      </c>
      <c r="G187" s="32"/>
      <c r="H187" s="32"/>
      <c r="I187" s="32"/>
      <c r="J187" s="32"/>
      <c r="K187" s="32"/>
      <c r="L187" s="32"/>
      <c r="M187" s="32"/>
      <c r="N187" s="73"/>
      <c r="O187" s="32"/>
      <c r="P187" s="64"/>
      <c r="Q187" s="64"/>
      <c r="R187" s="64"/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72" t="s">
        <v>395</v>
      </c>
      <c r="AA187" s="81" t="s">
        <v>576</v>
      </c>
    </row>
    <row r="188" spans="2:27" ht="21" customHeight="1">
      <c r="B188" s="67">
        <v>121</v>
      </c>
      <c r="C188" s="79" t="s">
        <v>604</v>
      </c>
      <c r="D188" s="80"/>
      <c r="E188" s="70">
        <v>1</v>
      </c>
      <c r="F188" s="71" t="s">
        <v>458</v>
      </c>
      <c r="G188" s="32"/>
      <c r="H188" s="32"/>
      <c r="I188" s="32"/>
      <c r="J188" s="32"/>
      <c r="K188" s="32"/>
      <c r="L188" s="32"/>
      <c r="M188" s="32"/>
      <c r="N188" s="73"/>
      <c r="O188" s="32"/>
      <c r="P188" s="64"/>
      <c r="Q188" s="64"/>
      <c r="R188" s="64"/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72" t="s">
        <v>395</v>
      </c>
      <c r="AA188" s="81" t="s">
        <v>576</v>
      </c>
    </row>
    <row r="189" spans="2:27" ht="21" customHeight="1">
      <c r="B189" s="67">
        <v>122</v>
      </c>
      <c r="C189" s="79" t="s">
        <v>605</v>
      </c>
      <c r="D189" s="80"/>
      <c r="E189" s="70">
        <v>1</v>
      </c>
      <c r="F189" s="71" t="s">
        <v>458</v>
      </c>
      <c r="G189" s="40"/>
      <c r="H189" s="40"/>
      <c r="I189" s="40"/>
      <c r="J189" s="40"/>
      <c r="K189" s="40"/>
      <c r="L189" s="40"/>
      <c r="M189" s="40"/>
      <c r="N189" s="78"/>
      <c r="O189" s="32"/>
      <c r="P189" s="64"/>
      <c r="Q189" s="64"/>
      <c r="R189" s="64"/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72" t="s">
        <v>395</v>
      </c>
      <c r="AA189" s="81" t="s">
        <v>576</v>
      </c>
    </row>
    <row r="190" spans="2:27" ht="21" customHeight="1">
      <c r="B190" s="67">
        <v>123</v>
      </c>
      <c r="C190" s="68" t="s">
        <v>606</v>
      </c>
      <c r="D190" s="69"/>
      <c r="E190" s="70">
        <v>1</v>
      </c>
      <c r="F190" s="71" t="s">
        <v>458</v>
      </c>
      <c r="G190" s="40"/>
      <c r="H190" s="40"/>
      <c r="I190" s="40"/>
      <c r="J190" s="40"/>
      <c r="K190" s="40"/>
      <c r="L190" s="40"/>
      <c r="M190" s="40"/>
      <c r="N190" s="78"/>
      <c r="O190" s="32"/>
      <c r="P190" s="64"/>
      <c r="Q190" s="64"/>
      <c r="R190" s="64"/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72" t="s">
        <v>395</v>
      </c>
      <c r="AA190" s="81" t="s">
        <v>576</v>
      </c>
    </row>
    <row r="191" spans="2:27" ht="21" customHeight="1">
      <c r="B191" s="67">
        <v>124</v>
      </c>
      <c r="C191" s="79" t="s">
        <v>607</v>
      </c>
      <c r="D191" s="80"/>
      <c r="E191" s="70">
        <v>1</v>
      </c>
      <c r="F191" s="71" t="s">
        <v>458</v>
      </c>
      <c r="G191" s="40"/>
      <c r="H191" s="40"/>
      <c r="I191" s="40"/>
      <c r="J191" s="40"/>
      <c r="K191" s="40"/>
      <c r="L191" s="40"/>
      <c r="M191" s="40"/>
      <c r="N191" s="78"/>
      <c r="O191" s="32"/>
      <c r="P191" s="64"/>
      <c r="Q191" s="64"/>
      <c r="R191" s="64"/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72" t="s">
        <v>395</v>
      </c>
      <c r="AA191" s="81" t="s">
        <v>576</v>
      </c>
    </row>
    <row r="192" spans="2:27" ht="21" customHeight="1">
      <c r="B192" s="67">
        <v>125</v>
      </c>
      <c r="C192" s="79" t="s">
        <v>608</v>
      </c>
      <c r="D192" s="80"/>
      <c r="E192" s="70">
        <v>1</v>
      </c>
      <c r="F192" s="71" t="s">
        <v>458</v>
      </c>
      <c r="G192" s="40"/>
      <c r="H192" s="40"/>
      <c r="I192" s="40"/>
      <c r="J192" s="40"/>
      <c r="K192" s="40"/>
      <c r="L192" s="40"/>
      <c r="M192" s="40"/>
      <c r="N192" s="78"/>
      <c r="O192" s="32"/>
      <c r="P192" s="64"/>
      <c r="Q192" s="64"/>
      <c r="R192" s="64"/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72" t="s">
        <v>395</v>
      </c>
      <c r="AA192" s="81" t="s">
        <v>576</v>
      </c>
    </row>
    <row r="193" spans="2:27" ht="21" customHeight="1">
      <c r="B193" s="67"/>
      <c r="C193" s="79"/>
      <c r="D193" s="80"/>
      <c r="E193" s="70"/>
      <c r="F193" s="71"/>
      <c r="G193" s="40"/>
      <c r="H193" s="40"/>
      <c r="I193" s="40"/>
      <c r="J193" s="40"/>
      <c r="K193" s="40"/>
      <c r="L193" s="40"/>
      <c r="M193" s="40"/>
      <c r="N193" s="78"/>
      <c r="O193" s="32"/>
      <c r="P193" s="64"/>
      <c r="Q193" s="64"/>
      <c r="R193" s="64"/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72" t="s">
        <v>395</v>
      </c>
    </row>
    <row r="194" spans="2:27" ht="21" customHeight="1">
      <c r="B194" s="67"/>
      <c r="C194" s="81" t="s">
        <v>609</v>
      </c>
      <c r="D194" s="69"/>
      <c r="E194" s="70"/>
      <c r="F194" s="85"/>
      <c r="G194" s="40"/>
      <c r="H194" s="40"/>
      <c r="I194" s="40"/>
      <c r="J194" s="40"/>
      <c r="K194" s="40"/>
      <c r="L194" s="40"/>
      <c r="M194" s="40"/>
      <c r="N194" s="78"/>
      <c r="O194" s="32"/>
      <c r="P194" s="64"/>
      <c r="Q194" s="64"/>
      <c r="R194" s="64"/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72" t="s">
        <v>395</v>
      </c>
    </row>
    <row r="195" spans="2:27" ht="21" customHeight="1">
      <c r="B195" s="67">
        <v>126</v>
      </c>
      <c r="C195" s="68" t="s">
        <v>610</v>
      </c>
      <c r="D195" s="69"/>
      <c r="E195" s="70">
        <v>1</v>
      </c>
      <c r="F195" s="71" t="s">
        <v>458</v>
      </c>
      <c r="G195" s="32"/>
      <c r="H195" s="32"/>
      <c r="I195" s="32"/>
      <c r="J195" s="32"/>
      <c r="K195" s="32"/>
      <c r="L195" s="32"/>
      <c r="M195" s="32"/>
      <c r="N195" s="73"/>
      <c r="O195" s="32"/>
      <c r="P195" s="64"/>
      <c r="Q195" s="64"/>
      <c r="R195" s="64"/>
      <c r="S195" s="65">
        <v>13347.457627118645</v>
      </c>
      <c r="T195" s="65">
        <v>13347.457627118645</v>
      </c>
      <c r="U195" s="65">
        <v>13347.457627118645</v>
      </c>
      <c r="V195" s="65">
        <v>13347.457627118645</v>
      </c>
      <c r="W195" s="65">
        <v>13347.457627118645</v>
      </c>
      <c r="X195" s="65">
        <v>13347.457627118645</v>
      </c>
      <c r="Y195" s="65">
        <v>13347.457627118645</v>
      </c>
      <c r="Z195" s="72" t="s">
        <v>395</v>
      </c>
      <c r="AA195" s="81" t="s">
        <v>609</v>
      </c>
    </row>
    <row r="196" spans="2:27" ht="21" customHeight="1">
      <c r="B196" s="67">
        <v>127</v>
      </c>
      <c r="C196" s="68" t="s">
        <v>611</v>
      </c>
      <c r="D196" s="69"/>
      <c r="E196" s="70">
        <v>1</v>
      </c>
      <c r="F196" s="71" t="s">
        <v>458</v>
      </c>
      <c r="G196" s="32"/>
      <c r="H196" s="32"/>
      <c r="I196" s="32"/>
      <c r="J196" s="32"/>
      <c r="K196" s="32"/>
      <c r="L196" s="32"/>
      <c r="M196" s="32"/>
      <c r="N196" s="73"/>
      <c r="O196" s="32"/>
      <c r="P196" s="64"/>
      <c r="Q196" s="64"/>
      <c r="R196" s="64"/>
      <c r="S196" s="65">
        <v>14194.915254237289</v>
      </c>
      <c r="T196" s="65">
        <v>14194.915254237289</v>
      </c>
      <c r="U196" s="65">
        <v>14194.915254237289</v>
      </c>
      <c r="V196" s="65">
        <v>14194.915254237289</v>
      </c>
      <c r="W196" s="65">
        <v>14194.915254237289</v>
      </c>
      <c r="X196" s="65">
        <v>14194.915254237289</v>
      </c>
      <c r="Y196" s="65">
        <v>14194.915254237289</v>
      </c>
      <c r="Z196" s="72" t="s">
        <v>395</v>
      </c>
      <c r="AA196" s="81" t="s">
        <v>609</v>
      </c>
    </row>
    <row r="197" spans="2:27" ht="21" customHeight="1">
      <c r="B197" s="67">
        <v>128</v>
      </c>
      <c r="C197" s="68" t="s">
        <v>612</v>
      </c>
      <c r="D197" s="69"/>
      <c r="E197" s="70">
        <v>1</v>
      </c>
      <c r="F197" s="71" t="s">
        <v>458</v>
      </c>
      <c r="G197" s="32"/>
      <c r="H197" s="32"/>
      <c r="I197" s="32"/>
      <c r="J197" s="32"/>
      <c r="K197" s="32"/>
      <c r="L197" s="32"/>
      <c r="M197" s="32"/>
      <c r="N197" s="73"/>
      <c r="O197" s="32"/>
      <c r="P197" s="64"/>
      <c r="Q197" s="64"/>
      <c r="R197" s="64"/>
      <c r="S197" s="65">
        <v>15042.372881355934</v>
      </c>
      <c r="T197" s="65">
        <v>15042.372881355934</v>
      </c>
      <c r="U197" s="65">
        <v>15042.372881355934</v>
      </c>
      <c r="V197" s="65">
        <v>15042.372881355934</v>
      </c>
      <c r="W197" s="65">
        <v>15042.372881355934</v>
      </c>
      <c r="X197" s="65">
        <v>15042.372881355934</v>
      </c>
      <c r="Y197" s="65">
        <v>15042.372881355934</v>
      </c>
      <c r="Z197" s="72" t="s">
        <v>395</v>
      </c>
      <c r="AA197" s="81" t="s">
        <v>609</v>
      </c>
    </row>
    <row r="198" spans="2:27" ht="21" customHeight="1">
      <c r="B198" s="67">
        <v>129</v>
      </c>
      <c r="C198" s="79" t="s">
        <v>613</v>
      </c>
      <c r="D198" s="80"/>
      <c r="E198" s="70">
        <v>1</v>
      </c>
      <c r="F198" s="71" t="s">
        <v>458</v>
      </c>
      <c r="G198" s="40"/>
      <c r="H198" s="40"/>
      <c r="I198" s="40"/>
      <c r="J198" s="40"/>
      <c r="K198" s="40"/>
      <c r="L198" s="40"/>
      <c r="M198" s="40"/>
      <c r="N198" s="78"/>
      <c r="O198" s="32"/>
      <c r="P198" s="64"/>
      <c r="Q198" s="64"/>
      <c r="R198" s="64"/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72" t="s">
        <v>395</v>
      </c>
      <c r="AA198" s="81" t="s">
        <v>609</v>
      </c>
    </row>
    <row r="199" spans="2:27" ht="21" customHeight="1">
      <c r="B199" s="67">
        <v>130</v>
      </c>
      <c r="C199" s="68" t="s">
        <v>614</v>
      </c>
      <c r="D199" s="69"/>
      <c r="E199" s="70">
        <v>1</v>
      </c>
      <c r="F199" s="71" t="s">
        <v>458</v>
      </c>
      <c r="G199" s="40"/>
      <c r="H199" s="40"/>
      <c r="I199" s="40"/>
      <c r="J199" s="40"/>
      <c r="K199" s="40"/>
      <c r="L199" s="40"/>
      <c r="M199" s="40"/>
      <c r="N199" s="78"/>
      <c r="O199" s="32"/>
      <c r="P199" s="64"/>
      <c r="Q199" s="64"/>
      <c r="R199" s="64"/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72" t="s">
        <v>395</v>
      </c>
      <c r="AA199" s="81" t="s">
        <v>609</v>
      </c>
    </row>
    <row r="200" spans="2:27" ht="21" customHeight="1">
      <c r="B200" s="67">
        <v>131</v>
      </c>
      <c r="C200" s="79" t="s">
        <v>615</v>
      </c>
      <c r="D200" s="80"/>
      <c r="E200" s="70">
        <v>1</v>
      </c>
      <c r="F200" s="74" t="s">
        <v>458</v>
      </c>
      <c r="G200" s="40"/>
      <c r="H200" s="40"/>
      <c r="I200" s="40"/>
      <c r="J200" s="40"/>
      <c r="K200" s="40"/>
      <c r="L200" s="40"/>
      <c r="M200" s="40"/>
      <c r="N200" s="78"/>
      <c r="O200" s="32"/>
      <c r="P200" s="64"/>
      <c r="Q200" s="64"/>
      <c r="R200" s="64"/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72" t="s">
        <v>395</v>
      </c>
      <c r="AA200" s="81" t="s">
        <v>609</v>
      </c>
    </row>
    <row r="201" spans="2:27" ht="21" customHeight="1">
      <c r="B201" s="67">
        <v>132</v>
      </c>
      <c r="C201" s="79" t="s">
        <v>616</v>
      </c>
      <c r="D201" s="80"/>
      <c r="E201" s="70">
        <v>1</v>
      </c>
      <c r="F201" s="74" t="s">
        <v>458</v>
      </c>
      <c r="G201" s="40"/>
      <c r="H201" s="40"/>
      <c r="I201" s="40"/>
      <c r="J201" s="40"/>
      <c r="K201" s="40"/>
      <c r="L201" s="40"/>
      <c r="M201" s="40"/>
      <c r="N201" s="78"/>
      <c r="O201" s="32"/>
      <c r="P201" s="64"/>
      <c r="Q201" s="64"/>
      <c r="R201" s="64"/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72" t="s">
        <v>395</v>
      </c>
      <c r="AA201" s="81" t="s">
        <v>609</v>
      </c>
    </row>
    <row r="202" spans="2:27" ht="21" customHeight="1">
      <c r="B202" s="67">
        <v>133</v>
      </c>
      <c r="C202" s="68" t="s">
        <v>617</v>
      </c>
      <c r="D202" s="69"/>
      <c r="E202" s="70">
        <v>1</v>
      </c>
      <c r="F202" s="74" t="s">
        <v>458</v>
      </c>
      <c r="G202" s="40"/>
      <c r="H202" s="40"/>
      <c r="I202" s="40"/>
      <c r="J202" s="40"/>
      <c r="K202" s="40"/>
      <c r="L202" s="40"/>
      <c r="M202" s="40"/>
      <c r="N202" s="78"/>
      <c r="O202" s="32"/>
      <c r="P202" s="64"/>
      <c r="Q202" s="64"/>
      <c r="R202" s="64"/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72" t="s">
        <v>395</v>
      </c>
      <c r="AA202" s="81" t="s">
        <v>609</v>
      </c>
    </row>
    <row r="203" spans="2:27" ht="21" customHeight="1">
      <c r="B203" s="67"/>
      <c r="C203" s="81"/>
      <c r="D203" s="69"/>
      <c r="E203" s="88"/>
      <c r="F203" s="85"/>
      <c r="G203" s="40"/>
      <c r="H203" s="40"/>
      <c r="I203" s="40"/>
      <c r="J203" s="40"/>
      <c r="K203" s="40"/>
      <c r="L203" s="40"/>
      <c r="M203" s="40"/>
      <c r="N203" s="78"/>
      <c r="O203" s="32"/>
      <c r="P203" s="64"/>
      <c r="Q203" s="64"/>
      <c r="R203" s="64"/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72" t="s">
        <v>395</v>
      </c>
    </row>
    <row r="204" spans="2:27" ht="21" customHeight="1">
      <c r="B204" s="67"/>
      <c r="C204" s="81" t="s">
        <v>618</v>
      </c>
      <c r="D204" s="69"/>
      <c r="E204" s="88"/>
      <c r="F204" s="85"/>
      <c r="G204" s="40"/>
      <c r="H204" s="40"/>
      <c r="I204" s="40"/>
      <c r="J204" s="40"/>
      <c r="K204" s="40"/>
      <c r="L204" s="40"/>
      <c r="M204" s="40"/>
      <c r="N204" s="78"/>
      <c r="O204" s="32"/>
      <c r="P204" s="64"/>
      <c r="Q204" s="64"/>
      <c r="R204" s="64"/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72" t="s">
        <v>395</v>
      </c>
    </row>
    <row r="205" spans="2:27" ht="21" customHeight="1">
      <c r="B205" s="67">
        <v>134</v>
      </c>
      <c r="C205" s="68" t="s">
        <v>619</v>
      </c>
      <c r="D205" s="69"/>
      <c r="E205" s="70">
        <v>1</v>
      </c>
      <c r="F205" s="71" t="s">
        <v>620</v>
      </c>
      <c r="G205" s="40"/>
      <c r="H205" s="40"/>
      <c r="I205" s="40"/>
      <c r="J205" s="40"/>
      <c r="K205" s="40"/>
      <c r="L205" s="40"/>
      <c r="M205" s="40"/>
      <c r="N205" s="78"/>
      <c r="O205" s="32"/>
      <c r="P205" s="64"/>
      <c r="Q205" s="64"/>
      <c r="R205" s="64"/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72" t="s">
        <v>395</v>
      </c>
      <c r="AA205" s="81" t="s">
        <v>618</v>
      </c>
    </row>
    <row r="206" spans="2:27" ht="21" customHeight="1">
      <c r="B206" s="67">
        <v>135</v>
      </c>
      <c r="C206" s="68" t="s">
        <v>621</v>
      </c>
      <c r="D206" s="69"/>
      <c r="E206" s="70">
        <v>1</v>
      </c>
      <c r="F206" s="71" t="s">
        <v>620</v>
      </c>
      <c r="G206" s="32"/>
      <c r="H206" s="32"/>
      <c r="I206" s="32"/>
      <c r="J206" s="32"/>
      <c r="K206" s="32"/>
      <c r="L206" s="32"/>
      <c r="M206" s="32"/>
      <c r="N206" s="73"/>
      <c r="O206" s="32"/>
      <c r="P206" s="64"/>
      <c r="Q206" s="64"/>
      <c r="R206" s="64"/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72" t="s">
        <v>395</v>
      </c>
      <c r="AA206" s="81" t="s">
        <v>618</v>
      </c>
    </row>
    <row r="207" spans="2:27" ht="21" customHeight="1">
      <c r="B207" s="67">
        <v>136</v>
      </c>
      <c r="C207" s="68" t="s">
        <v>622</v>
      </c>
      <c r="D207" s="69"/>
      <c r="E207" s="70">
        <v>1</v>
      </c>
      <c r="F207" s="71" t="s">
        <v>620</v>
      </c>
      <c r="G207" s="32"/>
      <c r="H207" s="32"/>
      <c r="I207" s="32"/>
      <c r="J207" s="32"/>
      <c r="K207" s="32"/>
      <c r="L207" s="32"/>
      <c r="M207" s="32"/>
      <c r="N207" s="73"/>
      <c r="O207" s="32"/>
      <c r="P207" s="64"/>
      <c r="Q207" s="64"/>
      <c r="R207" s="64"/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72" t="s">
        <v>395</v>
      </c>
      <c r="AA207" s="81" t="s">
        <v>618</v>
      </c>
    </row>
    <row r="208" spans="2:27" ht="21" customHeight="1">
      <c r="B208" s="67">
        <v>137</v>
      </c>
      <c r="C208" s="68" t="s">
        <v>623</v>
      </c>
      <c r="D208" s="69"/>
      <c r="E208" s="70">
        <v>1</v>
      </c>
      <c r="F208" s="71" t="s">
        <v>620</v>
      </c>
      <c r="G208" s="32"/>
      <c r="H208" s="32"/>
      <c r="I208" s="32"/>
      <c r="J208" s="32"/>
      <c r="K208" s="32"/>
      <c r="L208" s="32"/>
      <c r="M208" s="32"/>
      <c r="N208" s="73"/>
      <c r="O208" s="32"/>
      <c r="P208" s="64"/>
      <c r="Q208" s="64"/>
      <c r="R208" s="64"/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72" t="s">
        <v>395</v>
      </c>
      <c r="AA208" s="81" t="s">
        <v>618</v>
      </c>
    </row>
    <row r="209" spans="2:27" ht="21" customHeight="1">
      <c r="B209" s="67">
        <v>138</v>
      </c>
      <c r="C209" s="68" t="s">
        <v>624</v>
      </c>
      <c r="D209" s="69"/>
      <c r="E209" s="70">
        <v>1</v>
      </c>
      <c r="F209" s="71" t="s">
        <v>620</v>
      </c>
      <c r="G209" s="32"/>
      <c r="H209" s="32"/>
      <c r="I209" s="32"/>
      <c r="J209" s="32"/>
      <c r="K209" s="32"/>
      <c r="L209" s="32"/>
      <c r="M209" s="32"/>
      <c r="N209" s="73"/>
      <c r="O209" s="32"/>
      <c r="P209" s="64"/>
      <c r="Q209" s="64"/>
      <c r="R209" s="64"/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72" t="s">
        <v>395</v>
      </c>
      <c r="AA209" s="81" t="s">
        <v>618</v>
      </c>
    </row>
    <row r="210" spans="2:27" ht="21" customHeight="1">
      <c r="B210" s="67">
        <v>139</v>
      </c>
      <c r="C210" s="68" t="s">
        <v>625</v>
      </c>
      <c r="D210" s="69"/>
      <c r="E210" s="70">
        <v>1</v>
      </c>
      <c r="F210" s="71" t="s">
        <v>458</v>
      </c>
      <c r="G210" s="32"/>
      <c r="H210" s="32"/>
      <c r="I210" s="32"/>
      <c r="J210" s="32"/>
      <c r="K210" s="32"/>
      <c r="L210" s="32"/>
      <c r="M210" s="32"/>
      <c r="N210" s="73"/>
      <c r="O210" s="32"/>
      <c r="P210" s="64"/>
      <c r="Q210" s="64"/>
      <c r="R210" s="64"/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72" t="s">
        <v>395</v>
      </c>
      <c r="AA210" s="81" t="s">
        <v>618</v>
      </c>
    </row>
    <row r="211" spans="2:27" ht="21" customHeight="1">
      <c r="B211" s="67">
        <v>140</v>
      </c>
      <c r="C211" s="68" t="s">
        <v>626</v>
      </c>
      <c r="D211" s="69"/>
      <c r="E211" s="70">
        <v>1</v>
      </c>
      <c r="F211" s="74" t="s">
        <v>458</v>
      </c>
      <c r="G211" s="32"/>
      <c r="H211" s="32"/>
      <c r="I211" s="32"/>
      <c r="J211" s="32"/>
      <c r="K211" s="32"/>
      <c r="L211" s="32"/>
      <c r="M211" s="32"/>
      <c r="N211" s="73"/>
      <c r="O211" s="32"/>
      <c r="P211" s="64"/>
      <c r="Q211" s="64"/>
      <c r="R211" s="64"/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72" t="s">
        <v>395</v>
      </c>
      <c r="AA211" s="81" t="s">
        <v>618</v>
      </c>
    </row>
    <row r="212" spans="2:27" ht="21" customHeight="1">
      <c r="B212" s="67">
        <v>141</v>
      </c>
      <c r="C212" s="68" t="s">
        <v>627</v>
      </c>
      <c r="D212" s="69"/>
      <c r="E212" s="70">
        <v>1</v>
      </c>
      <c r="F212" s="74" t="s">
        <v>458</v>
      </c>
      <c r="G212" s="40"/>
      <c r="H212" s="40"/>
      <c r="I212" s="40"/>
      <c r="J212" s="40"/>
      <c r="K212" s="40"/>
      <c r="L212" s="40"/>
      <c r="M212" s="40"/>
      <c r="N212" s="78"/>
      <c r="O212" s="32"/>
      <c r="P212" s="64"/>
      <c r="Q212" s="64"/>
      <c r="R212" s="64"/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72" t="s">
        <v>395</v>
      </c>
      <c r="AA212" s="81" t="s">
        <v>618</v>
      </c>
    </row>
    <row r="213" spans="2:27" ht="21" customHeight="1">
      <c r="B213" s="67">
        <v>142</v>
      </c>
      <c r="C213" s="68" t="s">
        <v>628</v>
      </c>
      <c r="D213" s="69"/>
      <c r="E213" s="70">
        <v>1</v>
      </c>
      <c r="F213" s="74" t="s">
        <v>458</v>
      </c>
      <c r="G213" s="40"/>
      <c r="H213" s="40"/>
      <c r="I213" s="40"/>
      <c r="J213" s="40"/>
      <c r="K213" s="40"/>
      <c r="L213" s="40"/>
      <c r="M213" s="40"/>
      <c r="N213" s="78"/>
      <c r="O213" s="32"/>
      <c r="P213" s="64"/>
      <c r="Q213" s="64"/>
      <c r="R213" s="64"/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72" t="s">
        <v>395</v>
      </c>
      <c r="AA213" s="81" t="s">
        <v>618</v>
      </c>
    </row>
    <row r="214" spans="2:27" ht="21" customHeight="1">
      <c r="B214" s="67">
        <v>143</v>
      </c>
      <c r="C214" s="68" t="s">
        <v>629</v>
      </c>
      <c r="D214" s="69"/>
      <c r="E214" s="70">
        <v>1</v>
      </c>
      <c r="F214" s="74" t="s">
        <v>458</v>
      </c>
      <c r="G214" s="40"/>
      <c r="H214" s="40"/>
      <c r="I214" s="40"/>
      <c r="J214" s="40"/>
      <c r="K214" s="40"/>
      <c r="L214" s="40"/>
      <c r="M214" s="40"/>
      <c r="N214" s="78"/>
      <c r="O214" s="32"/>
      <c r="P214" s="64"/>
      <c r="Q214" s="64"/>
      <c r="R214" s="64"/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72" t="s">
        <v>395</v>
      </c>
      <c r="AA214" s="81" t="s">
        <v>618</v>
      </c>
    </row>
    <row r="215" spans="2:27" ht="21" customHeight="1">
      <c r="B215" s="67">
        <v>144</v>
      </c>
      <c r="C215" s="68" t="s">
        <v>630</v>
      </c>
      <c r="D215" s="69"/>
      <c r="E215" s="70">
        <v>1</v>
      </c>
      <c r="F215" s="74" t="s">
        <v>458</v>
      </c>
      <c r="G215" s="40"/>
      <c r="H215" s="40"/>
      <c r="I215" s="40"/>
      <c r="J215" s="40"/>
      <c r="K215" s="40"/>
      <c r="L215" s="40"/>
      <c r="M215" s="40"/>
      <c r="N215" s="78"/>
      <c r="O215" s="32"/>
      <c r="P215" s="64"/>
      <c r="Q215" s="64"/>
      <c r="R215" s="64"/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72" t="s">
        <v>395</v>
      </c>
      <c r="AA215" s="81" t="s">
        <v>618</v>
      </c>
    </row>
    <row r="216" spans="2:27" ht="21" customHeight="1">
      <c r="B216" s="67">
        <v>145</v>
      </c>
      <c r="C216" s="68" t="s">
        <v>631</v>
      </c>
      <c r="D216" s="69"/>
      <c r="E216" s="70">
        <v>1</v>
      </c>
      <c r="F216" s="74" t="s">
        <v>458</v>
      </c>
      <c r="G216" s="40"/>
      <c r="H216" s="40"/>
      <c r="I216" s="40"/>
      <c r="J216" s="40"/>
      <c r="K216" s="40"/>
      <c r="L216" s="40"/>
      <c r="M216" s="40"/>
      <c r="N216" s="78"/>
      <c r="O216" s="32"/>
      <c r="P216" s="64"/>
      <c r="Q216" s="64"/>
      <c r="R216" s="64"/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72" t="s">
        <v>395</v>
      </c>
      <c r="AA216" s="81" t="s">
        <v>618</v>
      </c>
    </row>
    <row r="217" spans="2:27" ht="21" customHeight="1">
      <c r="B217" s="67">
        <v>146</v>
      </c>
      <c r="C217" s="68" t="s">
        <v>632</v>
      </c>
      <c r="D217" s="69"/>
      <c r="E217" s="70">
        <v>1</v>
      </c>
      <c r="F217" s="74" t="s">
        <v>458</v>
      </c>
      <c r="G217" s="40"/>
      <c r="H217" s="40"/>
      <c r="I217" s="40"/>
      <c r="J217" s="40"/>
      <c r="K217" s="40"/>
      <c r="L217" s="40"/>
      <c r="M217" s="40"/>
      <c r="N217" s="78"/>
      <c r="O217" s="32"/>
      <c r="P217" s="64"/>
      <c r="Q217" s="64"/>
      <c r="R217" s="64"/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72" t="s">
        <v>395</v>
      </c>
      <c r="AA217" s="81" t="s">
        <v>618</v>
      </c>
    </row>
    <row r="218" spans="2:27" ht="21" customHeight="1">
      <c r="B218" s="67">
        <v>147</v>
      </c>
      <c r="C218" s="68" t="s">
        <v>633</v>
      </c>
      <c r="D218" s="69"/>
      <c r="E218" s="70">
        <v>1</v>
      </c>
      <c r="F218" s="74" t="s">
        <v>458</v>
      </c>
      <c r="G218" s="40"/>
      <c r="H218" s="40"/>
      <c r="I218" s="40"/>
      <c r="J218" s="40"/>
      <c r="K218" s="40"/>
      <c r="L218" s="40"/>
      <c r="M218" s="40"/>
      <c r="N218" s="78"/>
      <c r="O218" s="32"/>
      <c r="P218" s="64"/>
      <c r="Q218" s="64"/>
      <c r="R218" s="64"/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72" t="s">
        <v>395</v>
      </c>
      <c r="AA218" s="81" t="s">
        <v>618</v>
      </c>
    </row>
    <row r="219" spans="2:27" ht="21" customHeight="1">
      <c r="B219" s="67">
        <v>148</v>
      </c>
      <c r="C219" s="68" t="s">
        <v>634</v>
      </c>
      <c r="D219" s="69"/>
      <c r="E219" s="70">
        <v>1</v>
      </c>
      <c r="F219" s="74" t="s">
        <v>458</v>
      </c>
      <c r="G219" s="40"/>
      <c r="H219" s="40"/>
      <c r="I219" s="40"/>
      <c r="J219" s="40"/>
      <c r="K219" s="40"/>
      <c r="L219" s="40"/>
      <c r="M219" s="40"/>
      <c r="N219" s="78"/>
      <c r="O219" s="32"/>
      <c r="P219" s="64"/>
      <c r="Q219" s="64"/>
      <c r="R219" s="64"/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72" t="s">
        <v>395</v>
      </c>
      <c r="AA219" s="81" t="s">
        <v>618</v>
      </c>
    </row>
    <row r="220" spans="2:27" ht="21" customHeight="1">
      <c r="B220" s="67">
        <v>149</v>
      </c>
      <c r="C220" s="68" t="s">
        <v>635</v>
      </c>
      <c r="D220" s="69"/>
      <c r="E220" s="70">
        <v>1</v>
      </c>
      <c r="F220" s="74" t="s">
        <v>458</v>
      </c>
      <c r="G220" s="40"/>
      <c r="H220" s="40"/>
      <c r="I220" s="40"/>
      <c r="J220" s="40"/>
      <c r="K220" s="40"/>
      <c r="L220" s="40"/>
      <c r="M220" s="40"/>
      <c r="N220" s="78"/>
      <c r="O220" s="32"/>
      <c r="P220" s="64"/>
      <c r="Q220" s="64"/>
      <c r="R220" s="64"/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72" t="s">
        <v>395</v>
      </c>
      <c r="AA220" s="81" t="s">
        <v>618</v>
      </c>
    </row>
    <row r="221" spans="2:27" ht="21" customHeight="1">
      <c r="B221" s="67">
        <v>150</v>
      </c>
      <c r="C221" s="68" t="s">
        <v>636</v>
      </c>
      <c r="D221" s="69"/>
      <c r="E221" s="70">
        <v>1</v>
      </c>
      <c r="F221" s="74" t="s">
        <v>458</v>
      </c>
      <c r="G221" s="40"/>
      <c r="H221" s="40"/>
      <c r="I221" s="40"/>
      <c r="J221" s="40"/>
      <c r="K221" s="40"/>
      <c r="L221" s="40"/>
      <c r="M221" s="40"/>
      <c r="N221" s="78"/>
      <c r="O221" s="32"/>
      <c r="P221" s="64"/>
      <c r="Q221" s="64"/>
      <c r="R221" s="64"/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72" t="s">
        <v>395</v>
      </c>
      <c r="AA221" s="81" t="s">
        <v>618</v>
      </c>
    </row>
    <row r="222" spans="2:27" ht="21" customHeight="1">
      <c r="B222" s="67">
        <v>151</v>
      </c>
      <c r="C222" s="68" t="s">
        <v>637</v>
      </c>
      <c r="D222" s="69"/>
      <c r="E222" s="70">
        <v>1</v>
      </c>
      <c r="F222" s="74" t="s">
        <v>458</v>
      </c>
      <c r="G222" s="40"/>
      <c r="H222" s="40"/>
      <c r="I222" s="40"/>
      <c r="J222" s="40"/>
      <c r="K222" s="40"/>
      <c r="L222" s="40"/>
      <c r="M222" s="40"/>
      <c r="N222" s="78"/>
      <c r="O222" s="32"/>
      <c r="P222" s="64"/>
      <c r="Q222" s="64"/>
      <c r="R222" s="64"/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72" t="s">
        <v>395</v>
      </c>
      <c r="AA222" s="81" t="s">
        <v>618</v>
      </c>
    </row>
    <row r="223" spans="2:27" ht="21" customHeight="1">
      <c r="B223" s="67">
        <v>152</v>
      </c>
      <c r="C223" s="68" t="s">
        <v>638</v>
      </c>
      <c r="D223" s="69"/>
      <c r="E223" s="70">
        <v>1</v>
      </c>
      <c r="F223" s="74" t="s">
        <v>458</v>
      </c>
      <c r="G223" s="40"/>
      <c r="H223" s="40"/>
      <c r="I223" s="40"/>
      <c r="J223" s="40"/>
      <c r="K223" s="40"/>
      <c r="L223" s="40"/>
      <c r="M223" s="40"/>
      <c r="N223" s="78"/>
      <c r="O223" s="32"/>
      <c r="P223" s="64"/>
      <c r="Q223" s="64"/>
      <c r="R223" s="64"/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72" t="s">
        <v>395</v>
      </c>
      <c r="AA223" s="81" t="s">
        <v>618</v>
      </c>
    </row>
    <row r="224" spans="2:27" ht="21" customHeight="1">
      <c r="B224" s="67">
        <v>153</v>
      </c>
      <c r="C224" s="68" t="s">
        <v>639</v>
      </c>
      <c r="D224" s="69"/>
      <c r="E224" s="70">
        <v>1</v>
      </c>
      <c r="F224" s="74" t="s">
        <v>458</v>
      </c>
      <c r="G224" s="32"/>
      <c r="H224" s="32"/>
      <c r="I224" s="32"/>
      <c r="J224" s="32"/>
      <c r="K224" s="32"/>
      <c r="L224" s="32"/>
      <c r="M224" s="32"/>
      <c r="N224" s="73"/>
      <c r="O224" s="32"/>
      <c r="P224" s="64"/>
      <c r="Q224" s="64"/>
      <c r="R224" s="64"/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72" t="s">
        <v>395</v>
      </c>
      <c r="AA224" s="81" t="s">
        <v>618</v>
      </c>
    </row>
    <row r="225" spans="2:27" ht="21" customHeight="1">
      <c r="B225" s="67">
        <v>154</v>
      </c>
      <c r="C225" s="68" t="s">
        <v>640</v>
      </c>
      <c r="D225" s="69"/>
      <c r="E225" s="70">
        <v>1</v>
      </c>
      <c r="F225" s="74" t="s">
        <v>458</v>
      </c>
      <c r="G225" s="32"/>
      <c r="H225" s="32"/>
      <c r="I225" s="32"/>
      <c r="J225" s="32"/>
      <c r="K225" s="32"/>
      <c r="L225" s="32"/>
      <c r="M225" s="32"/>
      <c r="N225" s="73"/>
      <c r="O225" s="32"/>
      <c r="P225" s="64"/>
      <c r="Q225" s="64"/>
      <c r="R225" s="64"/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0</v>
      </c>
      <c r="Z225" s="72" t="s">
        <v>395</v>
      </c>
      <c r="AA225" s="81" t="s">
        <v>618</v>
      </c>
    </row>
    <row r="226" spans="2:27" ht="21" customHeight="1">
      <c r="B226" s="67">
        <v>155</v>
      </c>
      <c r="C226" s="68" t="s">
        <v>641</v>
      </c>
      <c r="D226" s="69"/>
      <c r="E226" s="70">
        <v>1</v>
      </c>
      <c r="F226" s="74" t="s">
        <v>642</v>
      </c>
      <c r="G226" s="32"/>
      <c r="H226" s="32"/>
      <c r="I226" s="32"/>
      <c r="J226" s="32"/>
      <c r="K226" s="32"/>
      <c r="L226" s="32"/>
      <c r="M226" s="32"/>
      <c r="N226" s="73"/>
      <c r="O226" s="32"/>
      <c r="P226" s="64"/>
      <c r="Q226" s="64"/>
      <c r="R226" s="64"/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72" t="s">
        <v>395</v>
      </c>
      <c r="AA226" s="81" t="s">
        <v>618</v>
      </c>
    </row>
    <row r="227" spans="2:27" ht="21" customHeight="1">
      <c r="B227" s="67"/>
      <c r="C227" s="68"/>
      <c r="D227" s="69"/>
      <c r="E227" s="82"/>
      <c r="F227" s="71"/>
      <c r="G227" s="32"/>
      <c r="H227" s="32"/>
      <c r="I227" s="32"/>
      <c r="J227" s="32"/>
      <c r="K227" s="32"/>
      <c r="L227" s="32"/>
      <c r="M227" s="32"/>
      <c r="N227" s="73"/>
      <c r="O227" s="32"/>
      <c r="P227" s="64"/>
      <c r="Q227" s="64"/>
      <c r="R227" s="64"/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0</v>
      </c>
      <c r="Y227" s="65">
        <v>0</v>
      </c>
      <c r="Z227" s="72" t="s">
        <v>395</v>
      </c>
    </row>
    <row r="228" spans="2:27" ht="21" customHeight="1">
      <c r="B228" s="67"/>
      <c r="C228" s="81" t="s">
        <v>643</v>
      </c>
      <c r="D228" s="69"/>
      <c r="E228" s="82"/>
      <c r="F228" s="71"/>
      <c r="G228" s="32"/>
      <c r="H228" s="32"/>
      <c r="I228" s="32"/>
      <c r="J228" s="32"/>
      <c r="K228" s="32"/>
      <c r="L228" s="32"/>
      <c r="M228" s="32"/>
      <c r="N228" s="73"/>
      <c r="O228" s="32"/>
      <c r="P228" s="64"/>
      <c r="Q228" s="64"/>
      <c r="R228" s="64"/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72" t="s">
        <v>395</v>
      </c>
    </row>
    <row r="229" spans="2:27" ht="21" customHeight="1">
      <c r="B229" s="67">
        <v>156</v>
      </c>
      <c r="C229" s="79" t="s">
        <v>644</v>
      </c>
      <c r="D229" s="80"/>
      <c r="E229" s="70">
        <v>1</v>
      </c>
      <c r="F229" s="71" t="s">
        <v>645</v>
      </c>
      <c r="G229" s="32"/>
      <c r="H229" s="32"/>
      <c r="I229" s="32"/>
      <c r="J229" s="32"/>
      <c r="K229" s="32"/>
      <c r="L229" s="32"/>
      <c r="M229" s="32"/>
      <c r="N229" s="73"/>
      <c r="O229" s="32"/>
      <c r="P229" s="64"/>
      <c r="Q229" s="64"/>
      <c r="R229" s="64"/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0</v>
      </c>
      <c r="Y229" s="65">
        <v>0</v>
      </c>
      <c r="Z229" s="72" t="s">
        <v>395</v>
      </c>
      <c r="AA229" s="81" t="s">
        <v>643</v>
      </c>
    </row>
    <row r="230" spans="2:27" ht="21" customHeight="1">
      <c r="B230" s="67">
        <v>157</v>
      </c>
      <c r="C230" s="89" t="s">
        <v>646</v>
      </c>
      <c r="D230" s="90"/>
      <c r="E230" s="70">
        <v>1</v>
      </c>
      <c r="F230" s="77" t="s">
        <v>647</v>
      </c>
      <c r="G230" s="32"/>
      <c r="H230" s="32"/>
      <c r="I230" s="32"/>
      <c r="J230" s="32"/>
      <c r="K230" s="32"/>
      <c r="L230" s="32"/>
      <c r="M230" s="32"/>
      <c r="N230" s="73"/>
      <c r="O230" s="32"/>
      <c r="P230" s="64"/>
      <c r="Q230" s="64"/>
      <c r="R230" s="64"/>
      <c r="S230" s="65">
        <v>0</v>
      </c>
      <c r="T230" s="65">
        <v>0</v>
      </c>
      <c r="U230" s="65">
        <v>0</v>
      </c>
      <c r="V230" s="65">
        <v>0</v>
      </c>
      <c r="W230" s="65">
        <v>0</v>
      </c>
      <c r="X230" s="65">
        <v>0</v>
      </c>
      <c r="Y230" s="65">
        <v>0</v>
      </c>
      <c r="Z230" s="72" t="s">
        <v>395</v>
      </c>
      <c r="AA230" s="81" t="s">
        <v>643</v>
      </c>
    </row>
    <row r="231" spans="2:27" ht="21" customHeight="1">
      <c r="B231" s="67"/>
      <c r="C231" s="83"/>
      <c r="D231" s="84"/>
      <c r="E231" s="82"/>
      <c r="F231" s="85"/>
      <c r="G231" s="32"/>
      <c r="H231" s="32"/>
      <c r="I231" s="32"/>
      <c r="J231" s="32"/>
      <c r="K231" s="32"/>
      <c r="L231" s="32"/>
      <c r="M231" s="32"/>
      <c r="N231" s="73"/>
      <c r="O231" s="32"/>
      <c r="P231" s="64"/>
      <c r="Q231" s="64"/>
      <c r="R231" s="64"/>
      <c r="S231" s="65">
        <v>0</v>
      </c>
      <c r="T231" s="65">
        <v>0</v>
      </c>
      <c r="U231" s="65">
        <v>0</v>
      </c>
      <c r="V231" s="65">
        <v>0</v>
      </c>
      <c r="W231" s="65">
        <v>0</v>
      </c>
      <c r="X231" s="65">
        <v>0</v>
      </c>
      <c r="Y231" s="65">
        <v>0</v>
      </c>
      <c r="Z231" s="72" t="s">
        <v>395</v>
      </c>
    </row>
    <row r="232" spans="2:27" ht="21" customHeight="1">
      <c r="B232" s="67"/>
      <c r="C232" s="81" t="s">
        <v>307</v>
      </c>
      <c r="D232" s="69"/>
      <c r="E232" s="88"/>
      <c r="F232" s="85"/>
      <c r="G232" s="32"/>
      <c r="H232" s="32"/>
      <c r="I232" s="32"/>
      <c r="J232" s="32"/>
      <c r="K232" s="32"/>
      <c r="L232" s="32"/>
      <c r="M232" s="32"/>
      <c r="N232" s="73"/>
      <c r="O232" s="32"/>
      <c r="P232" s="64"/>
      <c r="Q232" s="64"/>
      <c r="R232" s="64"/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72" t="s">
        <v>395</v>
      </c>
    </row>
    <row r="233" spans="2:27" ht="21" customHeight="1">
      <c r="B233" s="67">
        <v>158</v>
      </c>
      <c r="C233" s="68" t="s">
        <v>648</v>
      </c>
      <c r="D233" s="69"/>
      <c r="E233" s="70">
        <v>1</v>
      </c>
      <c r="F233" s="71" t="s">
        <v>458</v>
      </c>
      <c r="G233" s="32"/>
      <c r="H233" s="32"/>
      <c r="I233" s="32"/>
      <c r="J233" s="32"/>
      <c r="K233" s="32"/>
      <c r="L233" s="32"/>
      <c r="M233" s="32"/>
      <c r="N233" s="73"/>
      <c r="O233" s="32"/>
      <c r="P233" s="64"/>
      <c r="Q233" s="64"/>
      <c r="R233" s="64"/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72" t="s">
        <v>395</v>
      </c>
      <c r="AA233" s="81" t="s">
        <v>307</v>
      </c>
    </row>
    <row r="234" spans="2:27" ht="21" customHeight="1">
      <c r="B234" s="67">
        <v>159</v>
      </c>
      <c r="C234" s="68" t="s">
        <v>649</v>
      </c>
      <c r="D234" s="69"/>
      <c r="E234" s="70">
        <v>1</v>
      </c>
      <c r="F234" s="71" t="s">
        <v>458</v>
      </c>
      <c r="G234" s="32"/>
      <c r="H234" s="32"/>
      <c r="I234" s="32"/>
      <c r="J234" s="32"/>
      <c r="K234" s="32"/>
      <c r="L234" s="32"/>
      <c r="M234" s="32"/>
      <c r="N234" s="73"/>
      <c r="O234" s="32"/>
      <c r="P234" s="64"/>
      <c r="Q234" s="64"/>
      <c r="R234" s="64"/>
      <c r="S234" s="65">
        <v>0</v>
      </c>
      <c r="T234" s="65">
        <v>0</v>
      </c>
      <c r="U234" s="65">
        <v>0</v>
      </c>
      <c r="V234" s="65">
        <v>0</v>
      </c>
      <c r="W234" s="65">
        <v>0</v>
      </c>
      <c r="X234" s="65">
        <v>0</v>
      </c>
      <c r="Y234" s="65">
        <v>0</v>
      </c>
      <c r="Z234" s="72" t="s">
        <v>395</v>
      </c>
      <c r="AA234" s="81" t="s">
        <v>307</v>
      </c>
    </row>
    <row r="235" spans="2:27" ht="21" customHeight="1">
      <c r="B235" s="67">
        <v>160</v>
      </c>
      <c r="C235" s="68" t="s">
        <v>650</v>
      </c>
      <c r="D235" s="69"/>
      <c r="E235" s="70">
        <v>1</v>
      </c>
      <c r="F235" s="71" t="s">
        <v>458</v>
      </c>
      <c r="G235" s="32"/>
      <c r="H235" s="32"/>
      <c r="I235" s="32"/>
      <c r="J235" s="32"/>
      <c r="K235" s="32"/>
      <c r="L235" s="32"/>
      <c r="M235" s="32"/>
      <c r="N235" s="73"/>
      <c r="O235" s="32"/>
      <c r="P235" s="64"/>
      <c r="Q235" s="64"/>
      <c r="R235" s="64"/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0</v>
      </c>
      <c r="Y235" s="65">
        <v>0</v>
      </c>
      <c r="Z235" s="72" t="s">
        <v>395</v>
      </c>
      <c r="AA235" s="81" t="s">
        <v>307</v>
      </c>
    </row>
    <row r="236" spans="2:27" ht="21" customHeight="1">
      <c r="B236" s="67">
        <v>161</v>
      </c>
      <c r="C236" s="68" t="s">
        <v>651</v>
      </c>
      <c r="D236" s="69"/>
      <c r="E236" s="70">
        <v>1</v>
      </c>
      <c r="F236" s="71" t="s">
        <v>458</v>
      </c>
      <c r="G236" s="32"/>
      <c r="H236" s="32"/>
      <c r="I236" s="32"/>
      <c r="J236" s="32"/>
      <c r="K236" s="32"/>
      <c r="L236" s="32"/>
      <c r="M236" s="32"/>
      <c r="N236" s="73"/>
      <c r="O236" s="32"/>
      <c r="P236" s="64"/>
      <c r="Q236" s="64"/>
      <c r="R236" s="64"/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0</v>
      </c>
      <c r="Y236" s="65">
        <v>0</v>
      </c>
      <c r="Z236" s="72" t="s">
        <v>395</v>
      </c>
      <c r="AA236" s="81" t="s">
        <v>307</v>
      </c>
    </row>
    <row r="237" spans="2:27" ht="21" customHeight="1">
      <c r="B237" s="67">
        <v>162</v>
      </c>
      <c r="C237" s="79" t="s">
        <v>652</v>
      </c>
      <c r="D237" s="80"/>
      <c r="E237" s="70">
        <v>1</v>
      </c>
      <c r="F237" s="71" t="s">
        <v>458</v>
      </c>
      <c r="G237" s="32"/>
      <c r="H237" s="32"/>
      <c r="I237" s="32"/>
      <c r="J237" s="32"/>
      <c r="K237" s="32"/>
      <c r="L237" s="32"/>
      <c r="M237" s="32"/>
      <c r="N237" s="73"/>
      <c r="O237" s="32"/>
      <c r="P237" s="64"/>
      <c r="Q237" s="64"/>
      <c r="R237" s="64"/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0</v>
      </c>
      <c r="Y237" s="65">
        <v>0</v>
      </c>
      <c r="Z237" s="72" t="s">
        <v>395</v>
      </c>
      <c r="AA237" s="81" t="s">
        <v>307</v>
      </c>
    </row>
    <row r="238" spans="2:27" ht="21" customHeight="1">
      <c r="B238" s="67">
        <v>163</v>
      </c>
      <c r="C238" s="68" t="s">
        <v>653</v>
      </c>
      <c r="D238" s="69"/>
      <c r="E238" s="70">
        <v>1</v>
      </c>
      <c r="F238" s="71" t="s">
        <v>458</v>
      </c>
      <c r="G238" s="32"/>
      <c r="H238" s="32"/>
      <c r="I238" s="32"/>
      <c r="J238" s="32"/>
      <c r="K238" s="32"/>
      <c r="L238" s="32"/>
      <c r="M238" s="32"/>
      <c r="N238" s="73"/>
      <c r="O238" s="32"/>
      <c r="P238" s="64"/>
      <c r="Q238" s="64"/>
      <c r="R238" s="64"/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72" t="s">
        <v>395</v>
      </c>
      <c r="AA238" s="81" t="s">
        <v>307</v>
      </c>
    </row>
    <row r="239" spans="2:27" ht="21" customHeight="1">
      <c r="B239" s="67">
        <v>164</v>
      </c>
      <c r="C239" s="68" t="s">
        <v>654</v>
      </c>
      <c r="D239" s="91"/>
      <c r="E239" s="70">
        <v>1</v>
      </c>
      <c r="F239" s="71" t="s">
        <v>458</v>
      </c>
      <c r="G239" s="32"/>
      <c r="H239" s="32"/>
      <c r="I239" s="32"/>
      <c r="J239" s="32"/>
      <c r="K239" s="32"/>
      <c r="L239" s="32"/>
      <c r="M239" s="32"/>
      <c r="N239" s="73"/>
      <c r="O239" s="32"/>
      <c r="P239" s="64"/>
      <c r="Q239" s="64"/>
      <c r="R239" s="64"/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72" t="s">
        <v>395</v>
      </c>
      <c r="AA239" s="81" t="s">
        <v>307</v>
      </c>
    </row>
    <row r="240" spans="2:27" ht="21" customHeight="1">
      <c r="B240" s="67">
        <v>165</v>
      </c>
      <c r="C240" s="68" t="s">
        <v>655</v>
      </c>
      <c r="D240" s="69"/>
      <c r="E240" s="70">
        <v>1</v>
      </c>
      <c r="F240" s="71" t="s">
        <v>656</v>
      </c>
      <c r="G240" s="32"/>
      <c r="H240" s="32"/>
      <c r="I240" s="32"/>
      <c r="J240" s="32"/>
      <c r="K240" s="32"/>
      <c r="L240" s="32"/>
      <c r="M240" s="32"/>
      <c r="N240" s="73"/>
      <c r="O240" s="32"/>
      <c r="P240" s="64"/>
      <c r="Q240" s="64"/>
      <c r="R240" s="64"/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72" t="s">
        <v>395</v>
      </c>
      <c r="AA240" s="81" t="s">
        <v>307</v>
      </c>
    </row>
    <row r="241" spans="2:27" ht="21" customHeight="1">
      <c r="B241" s="67">
        <v>166</v>
      </c>
      <c r="C241" s="68" t="s">
        <v>657</v>
      </c>
      <c r="D241" s="69"/>
      <c r="E241" s="70">
        <v>1</v>
      </c>
      <c r="F241" s="71" t="s">
        <v>458</v>
      </c>
      <c r="G241" s="32"/>
      <c r="H241" s="32"/>
      <c r="I241" s="32"/>
      <c r="J241" s="32"/>
      <c r="K241" s="32"/>
      <c r="L241" s="32"/>
      <c r="M241" s="32"/>
      <c r="N241" s="73"/>
      <c r="O241" s="32"/>
      <c r="P241" s="64"/>
      <c r="Q241" s="64"/>
      <c r="R241" s="64"/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72" t="s">
        <v>395</v>
      </c>
      <c r="AA241" s="81" t="s">
        <v>307</v>
      </c>
    </row>
    <row r="242" spans="2:27" ht="21" customHeight="1">
      <c r="B242" s="67">
        <v>167</v>
      </c>
      <c r="C242" s="68" t="s">
        <v>658</v>
      </c>
      <c r="D242" s="69"/>
      <c r="E242" s="70">
        <v>1</v>
      </c>
      <c r="F242" s="71" t="s">
        <v>458</v>
      </c>
      <c r="G242" s="32"/>
      <c r="H242" s="32"/>
      <c r="I242" s="32"/>
      <c r="J242" s="32"/>
      <c r="K242" s="32"/>
      <c r="L242" s="32"/>
      <c r="M242" s="32"/>
      <c r="N242" s="73"/>
      <c r="O242" s="32"/>
      <c r="P242" s="64"/>
      <c r="Q242" s="64"/>
      <c r="R242" s="64"/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72" t="s">
        <v>395</v>
      </c>
      <c r="AA242" s="81" t="s">
        <v>307</v>
      </c>
    </row>
    <row r="243" spans="2:27" ht="21" customHeight="1">
      <c r="B243" s="67">
        <v>168</v>
      </c>
      <c r="C243" s="68" t="s">
        <v>659</v>
      </c>
      <c r="D243" s="69"/>
      <c r="E243" s="70">
        <v>1</v>
      </c>
      <c r="F243" s="71" t="s">
        <v>645</v>
      </c>
      <c r="G243" s="32"/>
      <c r="H243" s="32"/>
      <c r="I243" s="32"/>
      <c r="J243" s="32"/>
      <c r="K243" s="32"/>
      <c r="L243" s="32"/>
      <c r="M243" s="32"/>
      <c r="N243" s="73"/>
      <c r="O243" s="32"/>
      <c r="P243" s="64"/>
      <c r="Q243" s="64"/>
      <c r="R243" s="64"/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72" t="s">
        <v>395</v>
      </c>
      <c r="AA243" s="81" t="s">
        <v>307</v>
      </c>
    </row>
    <row r="244" spans="2:27" ht="21" customHeight="1">
      <c r="B244" s="67">
        <v>169</v>
      </c>
      <c r="C244" s="68" t="s">
        <v>660</v>
      </c>
      <c r="D244" s="69"/>
      <c r="E244" s="70">
        <v>1</v>
      </c>
      <c r="F244" s="71" t="s">
        <v>458</v>
      </c>
      <c r="G244" s="32"/>
      <c r="H244" s="32"/>
      <c r="I244" s="32"/>
      <c r="J244" s="32"/>
      <c r="K244" s="32"/>
      <c r="L244" s="32"/>
      <c r="M244" s="32"/>
      <c r="N244" s="73"/>
      <c r="O244" s="32"/>
      <c r="P244" s="64"/>
      <c r="Q244" s="64"/>
      <c r="R244" s="64"/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72" t="s">
        <v>395</v>
      </c>
      <c r="AA244" s="81" t="s">
        <v>307</v>
      </c>
    </row>
    <row r="245" spans="2:27" ht="21" customHeight="1">
      <c r="B245" s="67">
        <v>170</v>
      </c>
      <c r="C245" s="68" t="s">
        <v>661</v>
      </c>
      <c r="D245" s="69"/>
      <c r="E245" s="70">
        <v>1</v>
      </c>
      <c r="F245" s="74" t="s">
        <v>458</v>
      </c>
      <c r="G245" s="32"/>
      <c r="H245" s="32"/>
      <c r="I245" s="32"/>
      <c r="J245" s="32"/>
      <c r="K245" s="32"/>
      <c r="L245" s="32"/>
      <c r="M245" s="32"/>
      <c r="N245" s="73"/>
      <c r="O245" s="32"/>
      <c r="P245" s="64"/>
      <c r="Q245" s="64"/>
      <c r="R245" s="64"/>
      <c r="S245" s="65">
        <v>0</v>
      </c>
      <c r="T245" s="65">
        <v>0</v>
      </c>
      <c r="U245" s="65">
        <v>0</v>
      </c>
      <c r="V245" s="65">
        <v>0</v>
      </c>
      <c r="W245" s="65">
        <v>0</v>
      </c>
      <c r="X245" s="65">
        <v>0</v>
      </c>
      <c r="Y245" s="65">
        <v>0</v>
      </c>
      <c r="Z245" s="72" t="s">
        <v>395</v>
      </c>
      <c r="AA245" s="81" t="s">
        <v>307</v>
      </c>
    </row>
    <row r="246" spans="2:27" ht="21" customHeight="1">
      <c r="B246" s="67">
        <v>171</v>
      </c>
      <c r="C246" s="68" t="s">
        <v>662</v>
      </c>
      <c r="D246" s="69"/>
      <c r="E246" s="70">
        <v>1</v>
      </c>
      <c r="F246" s="74" t="s">
        <v>663</v>
      </c>
      <c r="G246" s="32"/>
      <c r="H246" s="32"/>
      <c r="I246" s="32"/>
      <c r="J246" s="32"/>
      <c r="K246" s="32"/>
      <c r="L246" s="32"/>
      <c r="M246" s="32"/>
      <c r="N246" s="73"/>
      <c r="O246" s="32"/>
      <c r="P246" s="64"/>
      <c r="Q246" s="64"/>
      <c r="R246" s="64"/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72" t="s">
        <v>395</v>
      </c>
      <c r="AA246" s="81" t="s">
        <v>307</v>
      </c>
    </row>
    <row r="247" spans="2:27" ht="21" customHeight="1">
      <c r="B247" s="67">
        <v>172</v>
      </c>
      <c r="C247" s="68" t="s">
        <v>664</v>
      </c>
      <c r="D247" s="69"/>
      <c r="E247" s="70">
        <v>1</v>
      </c>
      <c r="F247" s="74" t="s">
        <v>458</v>
      </c>
      <c r="G247" s="32"/>
      <c r="H247" s="32"/>
      <c r="I247" s="32"/>
      <c r="J247" s="32"/>
      <c r="K247" s="32"/>
      <c r="L247" s="32"/>
      <c r="M247" s="32"/>
      <c r="N247" s="73"/>
      <c r="O247" s="32"/>
      <c r="P247" s="64"/>
      <c r="Q247" s="64"/>
      <c r="R247" s="64"/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72" t="s">
        <v>395</v>
      </c>
      <c r="AA247" s="81" t="s">
        <v>307</v>
      </c>
    </row>
    <row r="248" spans="2:27" ht="21" customHeight="1">
      <c r="B248" s="67">
        <v>173</v>
      </c>
      <c r="C248" s="68" t="s">
        <v>665</v>
      </c>
      <c r="D248" s="69"/>
      <c r="E248" s="70">
        <v>1</v>
      </c>
      <c r="F248" s="71" t="s">
        <v>458</v>
      </c>
      <c r="G248" s="32"/>
      <c r="H248" s="32"/>
      <c r="I248" s="32"/>
      <c r="J248" s="32"/>
      <c r="K248" s="32"/>
      <c r="L248" s="32"/>
      <c r="M248" s="32"/>
      <c r="N248" s="73"/>
      <c r="O248" s="32"/>
      <c r="P248" s="64"/>
      <c r="Q248" s="64"/>
      <c r="R248" s="64"/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72" t="s">
        <v>395</v>
      </c>
      <c r="AA248" s="81" t="s">
        <v>307</v>
      </c>
    </row>
    <row r="249" spans="2:27" ht="21" customHeight="1">
      <c r="B249" s="67">
        <v>174</v>
      </c>
      <c r="C249" s="68" t="s">
        <v>666</v>
      </c>
      <c r="D249" s="69"/>
      <c r="E249" s="70">
        <v>1</v>
      </c>
      <c r="F249" s="71" t="s">
        <v>458</v>
      </c>
      <c r="G249" s="32"/>
      <c r="H249" s="32"/>
      <c r="I249" s="32"/>
      <c r="J249" s="32"/>
      <c r="K249" s="32"/>
      <c r="L249" s="32"/>
      <c r="M249" s="32"/>
      <c r="N249" s="73"/>
      <c r="O249" s="32"/>
      <c r="P249" s="64"/>
      <c r="Q249" s="64"/>
      <c r="R249" s="64"/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72" t="s">
        <v>395</v>
      </c>
      <c r="AA249" s="81" t="s">
        <v>307</v>
      </c>
    </row>
    <row r="250" spans="2:27" ht="21" customHeight="1">
      <c r="B250" s="67">
        <v>175</v>
      </c>
      <c r="C250" s="68" t="s">
        <v>667</v>
      </c>
      <c r="D250" s="69"/>
      <c r="E250" s="70">
        <v>1</v>
      </c>
      <c r="F250" s="74" t="s">
        <v>458</v>
      </c>
      <c r="G250" s="32"/>
      <c r="H250" s="32"/>
      <c r="I250" s="32"/>
      <c r="J250" s="32"/>
      <c r="K250" s="32"/>
      <c r="L250" s="32"/>
      <c r="M250" s="32"/>
      <c r="N250" s="73"/>
      <c r="O250" s="32"/>
      <c r="P250" s="64"/>
      <c r="Q250" s="64"/>
      <c r="R250" s="64"/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72" t="s">
        <v>395</v>
      </c>
      <c r="AA250" s="81" t="s">
        <v>307</v>
      </c>
    </row>
    <row r="251" spans="2:27" ht="21" customHeight="1">
      <c r="B251" s="67">
        <v>176</v>
      </c>
      <c r="C251" s="68" t="s">
        <v>668</v>
      </c>
      <c r="D251" s="69"/>
      <c r="E251" s="70">
        <v>1</v>
      </c>
      <c r="F251" s="74" t="s">
        <v>458</v>
      </c>
      <c r="G251" s="32"/>
      <c r="H251" s="32"/>
      <c r="I251" s="32"/>
      <c r="J251" s="32"/>
      <c r="K251" s="32"/>
      <c r="L251" s="32"/>
      <c r="M251" s="32"/>
      <c r="N251" s="73"/>
      <c r="O251" s="32"/>
      <c r="P251" s="64"/>
      <c r="Q251" s="64"/>
      <c r="R251" s="64"/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72" t="s">
        <v>395</v>
      </c>
      <c r="AA251" s="81" t="s">
        <v>307</v>
      </c>
    </row>
    <row r="252" spans="2:27" ht="21" customHeight="1">
      <c r="B252" s="67">
        <v>177</v>
      </c>
      <c r="C252" s="68" t="s">
        <v>669</v>
      </c>
      <c r="D252" s="69"/>
      <c r="E252" s="70">
        <v>1</v>
      </c>
      <c r="F252" s="74" t="s">
        <v>670</v>
      </c>
      <c r="G252" s="32"/>
      <c r="H252" s="32"/>
      <c r="I252" s="32"/>
      <c r="J252" s="32"/>
      <c r="K252" s="32"/>
      <c r="L252" s="32"/>
      <c r="M252" s="32"/>
      <c r="N252" s="73"/>
      <c r="O252" s="32"/>
      <c r="P252" s="64"/>
      <c r="Q252" s="64"/>
      <c r="R252" s="64"/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72" t="s">
        <v>395</v>
      </c>
      <c r="AA252" s="81" t="s">
        <v>307</v>
      </c>
    </row>
    <row r="253" spans="2:27" ht="21" customHeight="1">
      <c r="B253" s="67">
        <v>178</v>
      </c>
      <c r="C253" s="68" t="s">
        <v>671</v>
      </c>
      <c r="D253" s="69"/>
      <c r="E253" s="70">
        <v>1</v>
      </c>
      <c r="F253" s="74" t="s">
        <v>458</v>
      </c>
      <c r="G253" s="32"/>
      <c r="H253" s="32"/>
      <c r="I253" s="32"/>
      <c r="J253" s="32"/>
      <c r="K253" s="32"/>
      <c r="L253" s="32"/>
      <c r="M253" s="32"/>
      <c r="N253" s="73"/>
      <c r="O253" s="32"/>
      <c r="P253" s="64"/>
      <c r="Q253" s="64"/>
      <c r="R253" s="64"/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72" t="s">
        <v>395</v>
      </c>
      <c r="AA253" s="81" t="s">
        <v>307</v>
      </c>
    </row>
    <row r="254" spans="2:27" ht="21" customHeight="1">
      <c r="B254" s="67">
        <v>179</v>
      </c>
      <c r="C254" s="68" t="s">
        <v>672</v>
      </c>
      <c r="D254" s="69"/>
      <c r="E254" s="70">
        <v>1</v>
      </c>
      <c r="F254" s="74" t="s">
        <v>458</v>
      </c>
      <c r="G254" s="32"/>
      <c r="H254" s="32"/>
      <c r="I254" s="32"/>
      <c r="J254" s="32"/>
      <c r="K254" s="32"/>
      <c r="L254" s="32"/>
      <c r="M254" s="32"/>
      <c r="N254" s="73"/>
      <c r="O254" s="32"/>
      <c r="P254" s="64"/>
      <c r="Q254" s="64"/>
      <c r="R254" s="64"/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72" t="s">
        <v>395</v>
      </c>
      <c r="AA254" s="81" t="s">
        <v>307</v>
      </c>
    </row>
    <row r="255" spans="2:27" ht="21" customHeight="1">
      <c r="B255" s="67">
        <v>180</v>
      </c>
      <c r="C255" s="68" t="s">
        <v>673</v>
      </c>
      <c r="D255" s="69"/>
      <c r="E255" s="70">
        <v>1</v>
      </c>
      <c r="F255" s="74" t="s">
        <v>458</v>
      </c>
      <c r="G255" s="32"/>
      <c r="H255" s="32"/>
      <c r="I255" s="32"/>
      <c r="J255" s="32"/>
      <c r="K255" s="32"/>
      <c r="L255" s="32"/>
      <c r="M255" s="32"/>
      <c r="N255" s="73"/>
      <c r="O255" s="32"/>
      <c r="P255" s="64"/>
      <c r="Q255" s="64"/>
      <c r="R255" s="64"/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72" t="s">
        <v>395</v>
      </c>
      <c r="AA255" s="81" t="s">
        <v>307</v>
      </c>
    </row>
    <row r="256" spans="2:27" ht="21" customHeight="1">
      <c r="B256" s="67">
        <v>181</v>
      </c>
      <c r="C256" s="68" t="s">
        <v>674</v>
      </c>
      <c r="D256" s="69"/>
      <c r="E256" s="70">
        <v>1</v>
      </c>
      <c r="F256" s="71" t="s">
        <v>394</v>
      </c>
      <c r="G256" s="32"/>
      <c r="H256" s="32"/>
      <c r="I256" s="32"/>
      <c r="J256" s="32"/>
      <c r="K256" s="32"/>
      <c r="L256" s="32"/>
      <c r="M256" s="32"/>
      <c r="N256" s="73"/>
      <c r="O256" s="32"/>
      <c r="P256" s="64"/>
      <c r="Q256" s="64"/>
      <c r="R256" s="64"/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65">
        <v>0</v>
      </c>
      <c r="Z256" s="72" t="s">
        <v>395</v>
      </c>
      <c r="AA256" s="81" t="s">
        <v>307</v>
      </c>
    </row>
    <row r="257" spans="2:27" ht="21" customHeight="1">
      <c r="B257" s="67">
        <v>182</v>
      </c>
      <c r="C257" s="68" t="s">
        <v>675</v>
      </c>
      <c r="D257" s="69"/>
      <c r="E257" s="70">
        <v>1</v>
      </c>
      <c r="F257" s="71" t="s">
        <v>394</v>
      </c>
      <c r="G257" s="32"/>
      <c r="H257" s="32"/>
      <c r="I257" s="32"/>
      <c r="J257" s="32"/>
      <c r="K257" s="32"/>
      <c r="L257" s="32"/>
      <c r="M257" s="32"/>
      <c r="N257" s="73"/>
      <c r="O257" s="32"/>
      <c r="P257" s="64"/>
      <c r="Q257" s="64"/>
      <c r="R257" s="64"/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65">
        <v>0</v>
      </c>
      <c r="Z257" s="72" t="s">
        <v>395</v>
      </c>
      <c r="AA257" s="81" t="s">
        <v>307</v>
      </c>
    </row>
    <row r="258" spans="2:27" ht="21" customHeight="1">
      <c r="B258" s="67">
        <v>183</v>
      </c>
      <c r="C258" s="68" t="s">
        <v>676</v>
      </c>
      <c r="D258" s="69"/>
      <c r="E258" s="70">
        <v>1</v>
      </c>
      <c r="F258" s="71" t="s">
        <v>458</v>
      </c>
      <c r="G258" s="32"/>
      <c r="H258" s="32"/>
      <c r="I258" s="32"/>
      <c r="J258" s="32"/>
      <c r="K258" s="32"/>
      <c r="L258" s="32"/>
      <c r="M258" s="32"/>
      <c r="N258" s="73"/>
      <c r="O258" s="32"/>
      <c r="P258" s="64"/>
      <c r="Q258" s="64"/>
      <c r="R258" s="64"/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72" t="s">
        <v>395</v>
      </c>
      <c r="AA258" s="81" t="s">
        <v>307</v>
      </c>
    </row>
    <row r="259" spans="2:27" ht="21" customHeight="1">
      <c r="B259" s="67">
        <v>184</v>
      </c>
      <c r="C259" s="68" t="s">
        <v>677</v>
      </c>
      <c r="D259" s="69"/>
      <c r="E259" s="70">
        <v>1</v>
      </c>
      <c r="F259" s="71" t="s">
        <v>458</v>
      </c>
      <c r="G259" s="32"/>
      <c r="H259" s="32"/>
      <c r="I259" s="32"/>
      <c r="J259" s="32"/>
      <c r="K259" s="32"/>
      <c r="L259" s="32"/>
      <c r="M259" s="32"/>
      <c r="N259" s="73"/>
      <c r="O259" s="32"/>
      <c r="P259" s="64"/>
      <c r="Q259" s="64"/>
      <c r="R259" s="64"/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72" t="s">
        <v>395</v>
      </c>
      <c r="AA259" s="81" t="s">
        <v>307</v>
      </c>
    </row>
    <row r="260" spans="2:27" ht="21" customHeight="1">
      <c r="B260" s="67">
        <v>185</v>
      </c>
      <c r="C260" s="68" t="s">
        <v>678</v>
      </c>
      <c r="D260" s="69"/>
      <c r="E260" s="70">
        <v>1</v>
      </c>
      <c r="F260" s="71" t="s">
        <v>458</v>
      </c>
      <c r="G260" s="32"/>
      <c r="H260" s="32"/>
      <c r="I260" s="32"/>
      <c r="J260" s="32"/>
      <c r="K260" s="32"/>
      <c r="L260" s="32"/>
      <c r="M260" s="32"/>
      <c r="N260" s="73"/>
      <c r="O260" s="32"/>
      <c r="P260" s="64"/>
      <c r="Q260" s="64"/>
      <c r="R260" s="64"/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72" t="s">
        <v>395</v>
      </c>
      <c r="AA260" s="81" t="s">
        <v>307</v>
      </c>
    </row>
    <row r="261" spans="2:27" ht="21" customHeight="1">
      <c r="B261" s="67">
        <v>186</v>
      </c>
      <c r="C261" s="68" t="s">
        <v>679</v>
      </c>
      <c r="D261" s="69"/>
      <c r="E261" s="70">
        <v>1</v>
      </c>
      <c r="F261" s="71" t="s">
        <v>458</v>
      </c>
      <c r="G261" s="32"/>
      <c r="H261" s="32"/>
      <c r="I261" s="32"/>
      <c r="J261" s="32"/>
      <c r="K261" s="32"/>
      <c r="L261" s="32"/>
      <c r="M261" s="32"/>
      <c r="N261" s="73"/>
      <c r="O261" s="32"/>
      <c r="P261" s="64"/>
      <c r="Q261" s="64"/>
      <c r="R261" s="64"/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72" t="s">
        <v>395</v>
      </c>
      <c r="AA261" s="81" t="s">
        <v>307</v>
      </c>
    </row>
    <row r="262" spans="2:27" ht="21" customHeight="1">
      <c r="B262" s="67">
        <v>187</v>
      </c>
      <c r="C262" s="68" t="s">
        <v>680</v>
      </c>
      <c r="D262" s="69"/>
      <c r="E262" s="70">
        <v>1</v>
      </c>
      <c r="F262" s="74" t="s">
        <v>458</v>
      </c>
      <c r="G262" s="32"/>
      <c r="H262" s="32"/>
      <c r="I262" s="32"/>
      <c r="J262" s="32"/>
      <c r="K262" s="32"/>
      <c r="L262" s="32"/>
      <c r="M262" s="32"/>
      <c r="N262" s="73"/>
      <c r="O262" s="32"/>
      <c r="P262" s="64"/>
      <c r="Q262" s="64"/>
      <c r="R262" s="64"/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72" t="s">
        <v>395</v>
      </c>
      <c r="AA262" s="81" t="s">
        <v>307</v>
      </c>
    </row>
    <row r="263" spans="2:27" ht="21" customHeight="1">
      <c r="B263" s="67">
        <v>188</v>
      </c>
      <c r="C263" s="68" t="s">
        <v>681</v>
      </c>
      <c r="D263" s="69"/>
      <c r="E263" s="70">
        <v>1</v>
      </c>
      <c r="F263" s="74" t="s">
        <v>458</v>
      </c>
      <c r="G263" s="32"/>
      <c r="H263" s="32"/>
      <c r="I263" s="32"/>
      <c r="J263" s="32"/>
      <c r="K263" s="32"/>
      <c r="L263" s="32"/>
      <c r="M263" s="32"/>
      <c r="N263" s="73"/>
      <c r="O263" s="32"/>
      <c r="P263" s="64"/>
      <c r="Q263" s="64"/>
      <c r="R263" s="64"/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72" t="s">
        <v>395</v>
      </c>
      <c r="AA263" s="81" t="s">
        <v>307</v>
      </c>
    </row>
    <row r="264" spans="2:27" ht="21" customHeight="1">
      <c r="B264" s="67">
        <v>189</v>
      </c>
      <c r="C264" s="68" t="s">
        <v>682</v>
      </c>
      <c r="D264" s="69"/>
      <c r="E264" s="70">
        <v>1</v>
      </c>
      <c r="F264" s="74" t="s">
        <v>458</v>
      </c>
      <c r="G264" s="32"/>
      <c r="H264" s="32"/>
      <c r="I264" s="32"/>
      <c r="J264" s="32"/>
      <c r="K264" s="32"/>
      <c r="L264" s="32"/>
      <c r="M264" s="32"/>
      <c r="N264" s="73"/>
      <c r="O264" s="32"/>
      <c r="P264" s="64"/>
      <c r="Q264" s="64"/>
      <c r="R264" s="64"/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72" t="s">
        <v>395</v>
      </c>
      <c r="AA264" s="81" t="s">
        <v>307</v>
      </c>
    </row>
    <row r="265" spans="2:27" ht="21" customHeight="1">
      <c r="B265" s="67">
        <v>190</v>
      </c>
      <c r="C265" s="68" t="s">
        <v>683</v>
      </c>
      <c r="D265" s="69"/>
      <c r="E265" s="70">
        <v>1</v>
      </c>
      <c r="F265" s="74" t="s">
        <v>458</v>
      </c>
      <c r="G265" s="32"/>
      <c r="H265" s="32"/>
      <c r="I265" s="32"/>
      <c r="J265" s="32"/>
      <c r="K265" s="32"/>
      <c r="L265" s="32"/>
      <c r="M265" s="32"/>
      <c r="N265" s="73"/>
      <c r="O265" s="32"/>
      <c r="P265" s="64"/>
      <c r="Q265" s="64"/>
      <c r="R265" s="64"/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72" t="s">
        <v>395</v>
      </c>
      <c r="AA265" s="81" t="s">
        <v>307</v>
      </c>
    </row>
    <row r="266" spans="2:27" ht="21" customHeight="1">
      <c r="B266" s="67">
        <v>191</v>
      </c>
      <c r="C266" s="68" t="s">
        <v>684</v>
      </c>
      <c r="D266" s="69"/>
      <c r="E266" s="70">
        <v>1</v>
      </c>
      <c r="F266" s="74" t="s">
        <v>458</v>
      </c>
      <c r="G266" s="32"/>
      <c r="H266" s="32"/>
      <c r="I266" s="32"/>
      <c r="J266" s="32"/>
      <c r="K266" s="32"/>
      <c r="L266" s="32"/>
      <c r="M266" s="32"/>
      <c r="N266" s="73"/>
      <c r="O266" s="32"/>
      <c r="P266" s="64"/>
      <c r="Q266" s="64"/>
      <c r="R266" s="64"/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72" t="s">
        <v>395</v>
      </c>
      <c r="AA266" s="81" t="s">
        <v>307</v>
      </c>
    </row>
    <row r="267" spans="2:27" ht="21" customHeight="1">
      <c r="B267" s="92">
        <v>192</v>
      </c>
      <c r="C267" s="93" t="s">
        <v>685</v>
      </c>
      <c r="D267" s="94"/>
      <c r="E267" s="95">
        <v>1</v>
      </c>
      <c r="F267" s="96" t="s">
        <v>458</v>
      </c>
      <c r="G267" s="40"/>
      <c r="H267" s="40"/>
      <c r="I267" s="40"/>
      <c r="J267" s="40"/>
      <c r="K267" s="40"/>
      <c r="L267" s="40"/>
      <c r="M267" s="40"/>
      <c r="N267" s="78"/>
      <c r="O267" s="40"/>
      <c r="P267" s="97"/>
      <c r="Q267" s="97"/>
      <c r="R267" s="97"/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Z267" s="99" t="s">
        <v>395</v>
      </c>
      <c r="AA267" s="81" t="s">
        <v>307</v>
      </c>
    </row>
    <row r="268" spans="2:27" ht="21" customHeight="1">
      <c r="B268" s="100"/>
      <c r="C268" s="101"/>
      <c r="D268" s="102"/>
      <c r="E268" s="103"/>
      <c r="F268" s="104"/>
      <c r="G268" s="32"/>
      <c r="H268" s="32"/>
      <c r="I268" s="32"/>
      <c r="J268" s="32"/>
      <c r="K268" s="32"/>
      <c r="L268" s="32"/>
      <c r="M268" s="32"/>
      <c r="N268" s="32"/>
      <c r="O268" s="32"/>
      <c r="P268" s="64"/>
      <c r="Q268" s="64"/>
      <c r="R268" s="64"/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72"/>
      <c r="AA268" s="81" t="s">
        <v>307</v>
      </c>
    </row>
    <row r="269" spans="2:27" ht="21" customHeight="1">
      <c r="B269" s="106"/>
      <c r="C269" s="107"/>
      <c r="D269" s="3"/>
      <c r="E269" s="108"/>
      <c r="F269" s="109"/>
      <c r="G269" s="110"/>
      <c r="H269" s="110"/>
      <c r="I269" s="110"/>
      <c r="J269" s="110"/>
      <c r="K269" s="110"/>
      <c r="L269" s="110"/>
      <c r="M269" s="110"/>
      <c r="N269" s="110"/>
      <c r="O269" s="110"/>
      <c r="P269" s="105"/>
      <c r="Q269" s="105"/>
      <c r="R269" s="105"/>
      <c r="S269" s="111">
        <v>0</v>
      </c>
      <c r="T269" s="111">
        <v>0</v>
      </c>
      <c r="U269" s="111">
        <v>0</v>
      </c>
      <c r="V269" s="111">
        <v>0</v>
      </c>
      <c r="W269" s="111">
        <v>0</v>
      </c>
      <c r="X269" s="111">
        <v>0</v>
      </c>
      <c r="Y269" s="111">
        <v>0</v>
      </c>
      <c r="Z269" s="1"/>
      <c r="AA269" s="105"/>
    </row>
    <row r="270" spans="2:27" ht="21" customHeight="1">
      <c r="B270" s="106"/>
      <c r="C270" s="107"/>
      <c r="D270" s="3"/>
      <c r="E270" s="108"/>
      <c r="F270" s="109"/>
      <c r="G270" s="110"/>
      <c r="H270" s="110"/>
      <c r="I270" s="110"/>
      <c r="J270" s="110"/>
      <c r="K270" s="110"/>
      <c r="L270" s="110"/>
      <c r="M270" s="110"/>
      <c r="N270" s="110"/>
      <c r="O270" s="110"/>
      <c r="P270" s="105"/>
      <c r="Q270" s="105"/>
      <c r="R270" s="105"/>
      <c r="S270" s="111">
        <v>0</v>
      </c>
      <c r="T270" s="111">
        <v>0</v>
      </c>
      <c r="U270" s="111">
        <v>0</v>
      </c>
      <c r="V270" s="111">
        <v>0</v>
      </c>
      <c r="W270" s="111">
        <v>0</v>
      </c>
      <c r="X270" s="111">
        <v>0</v>
      </c>
      <c r="Y270" s="111">
        <v>0</v>
      </c>
      <c r="Z270" s="1"/>
      <c r="AA270" s="105"/>
    </row>
    <row r="271" spans="2:27" ht="21" customHeight="1">
      <c r="B271" s="106"/>
      <c r="C271" s="107"/>
      <c r="D271" s="3"/>
      <c r="E271" s="108"/>
      <c r="F271" s="109"/>
      <c r="G271" s="110"/>
      <c r="H271" s="110"/>
      <c r="I271" s="110"/>
      <c r="J271" s="110"/>
      <c r="K271" s="110"/>
      <c r="L271" s="110"/>
      <c r="M271" s="110"/>
      <c r="N271" s="110"/>
      <c r="O271" s="110"/>
      <c r="P271" s="105"/>
      <c r="Q271" s="105"/>
      <c r="R271" s="105"/>
      <c r="S271" s="111">
        <v>0</v>
      </c>
      <c r="T271" s="111">
        <v>0</v>
      </c>
      <c r="U271" s="111">
        <v>0</v>
      </c>
      <c r="V271" s="111">
        <v>0</v>
      </c>
      <c r="W271" s="111">
        <v>0</v>
      </c>
      <c r="X271" s="111">
        <v>0</v>
      </c>
      <c r="Y271" s="111">
        <v>0</v>
      </c>
      <c r="Z271" s="1"/>
      <c r="AA271" s="105"/>
    </row>
    <row r="272" spans="2:27" ht="21" customHeight="1">
      <c r="B272" s="106"/>
      <c r="C272" s="107"/>
      <c r="D272" s="3"/>
      <c r="E272" s="108"/>
      <c r="F272" s="109"/>
      <c r="G272" s="110"/>
      <c r="H272" s="110"/>
      <c r="I272" s="110"/>
      <c r="J272" s="110"/>
      <c r="K272" s="110"/>
      <c r="L272" s="110"/>
      <c r="M272" s="110"/>
      <c r="N272" s="110"/>
      <c r="O272" s="110"/>
      <c r="P272" s="105"/>
      <c r="Q272" s="105"/>
      <c r="R272" s="105"/>
      <c r="S272" s="111">
        <v>0</v>
      </c>
      <c r="T272" s="111">
        <v>0</v>
      </c>
      <c r="U272" s="111">
        <v>0</v>
      </c>
      <c r="V272" s="111">
        <v>0</v>
      </c>
      <c r="W272" s="111">
        <v>0</v>
      </c>
      <c r="X272" s="111">
        <v>0</v>
      </c>
      <c r="Y272" s="111">
        <v>0</v>
      </c>
      <c r="Z272" s="1"/>
      <c r="AA272" s="105"/>
    </row>
    <row r="273" spans="2:28" ht="21" customHeight="1">
      <c r="B273" s="106"/>
      <c r="C273" s="107"/>
      <c r="D273" s="3"/>
      <c r="E273" s="108"/>
      <c r="F273" s="109"/>
      <c r="G273" s="110"/>
      <c r="H273" s="110"/>
      <c r="I273" s="110"/>
      <c r="J273" s="110"/>
      <c r="K273" s="110"/>
      <c r="L273" s="110"/>
      <c r="M273" s="110"/>
      <c r="N273" s="110"/>
      <c r="O273" s="110"/>
      <c r="P273" s="105"/>
      <c r="Q273" s="105"/>
      <c r="R273" s="105"/>
      <c r="S273" s="111">
        <v>0</v>
      </c>
      <c r="T273" s="111">
        <v>0</v>
      </c>
      <c r="U273" s="111">
        <v>0</v>
      </c>
      <c r="V273" s="111">
        <v>0</v>
      </c>
      <c r="W273" s="111">
        <v>0</v>
      </c>
      <c r="X273" s="111">
        <v>0</v>
      </c>
      <c r="Y273" s="111">
        <v>0</v>
      </c>
      <c r="Z273" s="1"/>
      <c r="AA273" s="105"/>
    </row>
    <row r="274" spans="2:28" ht="21" customHeight="1">
      <c r="B274" s="106"/>
      <c r="C274" s="112"/>
      <c r="D274" s="3"/>
      <c r="E274" s="108"/>
      <c r="F274" s="109"/>
      <c r="G274" s="110"/>
      <c r="H274" s="110"/>
      <c r="I274" s="110"/>
      <c r="J274" s="110"/>
      <c r="K274" s="110"/>
      <c r="L274" s="110"/>
      <c r="M274" s="110"/>
      <c r="N274" s="110"/>
      <c r="O274" s="110"/>
      <c r="P274" s="105"/>
      <c r="Q274" s="105"/>
      <c r="R274" s="105"/>
      <c r="S274" s="111">
        <v>0</v>
      </c>
      <c r="T274" s="111">
        <v>0</v>
      </c>
      <c r="U274" s="111">
        <v>0</v>
      </c>
      <c r="V274" s="111">
        <v>0</v>
      </c>
      <c r="W274" s="111">
        <v>0</v>
      </c>
      <c r="X274" s="111">
        <v>0</v>
      </c>
      <c r="Y274" s="111">
        <v>0</v>
      </c>
      <c r="Z274" s="1"/>
      <c r="AA274" s="105"/>
    </row>
    <row r="275" spans="2:28" ht="21" customHeight="1">
      <c r="B275" s="106"/>
      <c r="C275" s="112"/>
      <c r="D275" s="3"/>
      <c r="E275" s="108"/>
      <c r="F275" s="109"/>
      <c r="G275" s="110"/>
      <c r="H275" s="110"/>
      <c r="I275" s="110"/>
      <c r="J275" s="110"/>
      <c r="K275" s="110"/>
      <c r="L275" s="110"/>
      <c r="M275" s="110"/>
      <c r="N275" s="110"/>
      <c r="O275" s="110"/>
      <c r="P275" s="105"/>
      <c r="Q275" s="105"/>
      <c r="R275" s="105"/>
      <c r="S275" s="111">
        <v>0</v>
      </c>
      <c r="T275" s="111">
        <v>0</v>
      </c>
      <c r="U275" s="111">
        <v>0</v>
      </c>
      <c r="V275" s="111">
        <v>0</v>
      </c>
      <c r="W275" s="111">
        <v>0</v>
      </c>
      <c r="X275" s="111">
        <v>0</v>
      </c>
      <c r="Y275" s="111">
        <v>0</v>
      </c>
      <c r="Z275" s="1"/>
      <c r="AA275" s="105"/>
    </row>
    <row r="276" spans="2:28" ht="21" customHeight="1">
      <c r="B276" s="106"/>
      <c r="C276" s="112"/>
      <c r="D276" s="3"/>
      <c r="E276" s="108"/>
      <c r="F276" s="109"/>
      <c r="G276" s="110"/>
      <c r="H276" s="110"/>
      <c r="I276" s="110"/>
      <c r="J276" s="110"/>
      <c r="K276" s="110"/>
      <c r="L276" s="110"/>
      <c r="M276" s="110"/>
      <c r="N276" s="110"/>
      <c r="O276" s="110"/>
      <c r="P276" s="105"/>
      <c r="Q276" s="105"/>
      <c r="R276" s="105"/>
      <c r="S276" s="111">
        <v>0</v>
      </c>
      <c r="T276" s="111">
        <v>0</v>
      </c>
      <c r="U276" s="111">
        <v>0</v>
      </c>
      <c r="V276" s="111">
        <v>0</v>
      </c>
      <c r="W276" s="111">
        <v>0</v>
      </c>
      <c r="X276" s="111">
        <v>0</v>
      </c>
      <c r="Y276" s="111">
        <v>0</v>
      </c>
      <c r="Z276" s="1"/>
      <c r="AA276" s="105"/>
    </row>
    <row r="277" spans="2:28" ht="21" customHeight="1">
      <c r="B277" s="105"/>
      <c r="C277" s="105"/>
      <c r="D277" s="105"/>
      <c r="E277" s="105"/>
      <c r="F277" s="113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11"/>
      <c r="T277" s="111"/>
      <c r="U277" s="111"/>
      <c r="V277" s="111"/>
      <c r="W277" s="111"/>
      <c r="X277" s="111"/>
      <c r="Y277" s="111"/>
      <c r="Z277" s="105"/>
      <c r="AA277" s="105"/>
    </row>
    <row r="278" spans="2:28" ht="21" customHeight="1">
      <c r="B278" s="105"/>
      <c r="C278" s="105"/>
      <c r="D278" s="105"/>
      <c r="E278" s="105"/>
      <c r="F278" s="113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11"/>
      <c r="T278" s="111"/>
      <c r="U278" s="111"/>
      <c r="V278" s="111"/>
      <c r="W278" s="111"/>
      <c r="X278" s="111"/>
      <c r="Y278" s="111"/>
      <c r="Z278" s="105"/>
      <c r="AA278" s="105"/>
    </row>
    <row r="279" spans="2:28" ht="21" customHeight="1">
      <c r="B279" s="105"/>
      <c r="C279" s="105"/>
      <c r="D279" s="105"/>
      <c r="E279" s="105"/>
      <c r="F279" s="113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11"/>
      <c r="T279" s="111"/>
      <c r="U279" s="111"/>
      <c r="V279" s="111"/>
      <c r="W279" s="111"/>
      <c r="X279" s="111"/>
      <c r="Y279" s="111"/>
      <c r="Z279" s="105"/>
      <c r="AA279" s="105"/>
      <c r="AB279" s="105"/>
    </row>
    <row r="280" spans="2:28" ht="21" customHeight="1">
      <c r="B280" s="105"/>
      <c r="C280" s="105"/>
      <c r="D280" s="105"/>
      <c r="E280" s="105"/>
      <c r="F280" s="114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11"/>
      <c r="T280" s="111"/>
      <c r="U280" s="111"/>
      <c r="V280" s="111"/>
      <c r="W280" s="111"/>
      <c r="X280" s="111"/>
      <c r="Y280" s="111"/>
      <c r="Z280" s="105"/>
      <c r="AA280" s="105"/>
      <c r="AB280" s="105"/>
    </row>
    <row r="281" spans="2:28" ht="21" customHeight="1">
      <c r="B281" s="105"/>
      <c r="C281" s="105"/>
      <c r="D281" s="105"/>
      <c r="E281" s="105"/>
      <c r="F281" s="114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11"/>
      <c r="T281" s="111"/>
      <c r="U281" s="111"/>
      <c r="V281" s="111"/>
      <c r="W281" s="111"/>
      <c r="X281" s="111"/>
      <c r="Y281" s="111"/>
      <c r="Z281" s="105"/>
      <c r="AA281" s="105"/>
      <c r="AB281" s="105"/>
    </row>
    <row r="282" spans="2:28" ht="21" customHeight="1">
      <c r="B282" s="105"/>
      <c r="C282" s="105"/>
      <c r="D282" s="105"/>
      <c r="E282" s="105"/>
      <c r="F282" s="114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11"/>
      <c r="T282" s="111"/>
      <c r="U282" s="111"/>
      <c r="V282" s="111"/>
      <c r="W282" s="111"/>
      <c r="X282" s="111"/>
      <c r="Y282" s="111"/>
      <c r="Z282" s="105"/>
      <c r="AA282" s="105"/>
      <c r="AB282" s="105"/>
    </row>
    <row r="283" spans="2:28" ht="21" customHeight="1">
      <c r="B283" s="105"/>
      <c r="C283" s="105"/>
      <c r="D283" s="105"/>
      <c r="E283" s="105"/>
      <c r="F283" s="114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11"/>
      <c r="T283" s="111"/>
      <c r="U283" s="111"/>
      <c r="V283" s="111"/>
      <c r="W283" s="111"/>
      <c r="X283" s="111"/>
      <c r="Y283" s="111"/>
      <c r="Z283" s="105"/>
      <c r="AA283" s="105"/>
      <c r="AB283" s="105"/>
    </row>
    <row r="284" spans="2:28" ht="21" customHeight="1">
      <c r="B284" s="105"/>
      <c r="C284" s="105"/>
      <c r="D284" s="105"/>
      <c r="E284" s="105"/>
      <c r="F284" s="114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11"/>
      <c r="T284" s="111"/>
      <c r="U284" s="111"/>
      <c r="V284" s="111"/>
      <c r="W284" s="111"/>
      <c r="X284" s="111"/>
      <c r="Y284" s="111"/>
      <c r="Z284" s="105"/>
      <c r="AA284" s="105"/>
      <c r="AB284" s="105"/>
    </row>
    <row r="285" spans="2:28" ht="21" customHeight="1">
      <c r="B285" s="105"/>
      <c r="C285" s="105"/>
      <c r="D285" s="105"/>
      <c r="E285" s="105"/>
      <c r="F285" s="114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11"/>
      <c r="T285" s="111"/>
      <c r="U285" s="111"/>
      <c r="V285" s="111"/>
      <c r="W285" s="111"/>
      <c r="X285" s="111"/>
      <c r="Y285" s="111"/>
      <c r="Z285" s="105"/>
      <c r="AA285" s="105"/>
      <c r="AB285" s="105"/>
    </row>
    <row r="286" spans="2:28" ht="21" customHeight="1">
      <c r="B286" s="105"/>
      <c r="C286" s="105"/>
      <c r="D286" s="105"/>
      <c r="E286" s="105"/>
      <c r="F286" s="114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11"/>
      <c r="T286" s="111"/>
      <c r="U286" s="111"/>
      <c r="V286" s="111"/>
      <c r="W286" s="111"/>
      <c r="X286" s="111"/>
      <c r="Y286" s="111"/>
      <c r="Z286" s="105"/>
      <c r="AA286" s="105"/>
      <c r="AB286" s="105"/>
    </row>
    <row r="287" spans="2:28" ht="21" customHeight="1">
      <c r="B287" s="105"/>
      <c r="C287" s="105"/>
      <c r="D287" s="105"/>
      <c r="E287" s="105"/>
      <c r="F287" s="114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11"/>
      <c r="T287" s="111"/>
      <c r="U287" s="111"/>
      <c r="V287" s="111"/>
      <c r="W287" s="111"/>
      <c r="X287" s="111"/>
      <c r="Y287" s="111"/>
      <c r="Z287" s="105"/>
      <c r="AA287" s="105"/>
      <c r="AB287" s="105"/>
    </row>
    <row r="288" spans="2:28" ht="21" customHeight="1">
      <c r="B288" s="105"/>
      <c r="C288" s="105"/>
      <c r="D288" s="105"/>
      <c r="E288" s="105"/>
      <c r="F288" s="114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11"/>
      <c r="T288" s="111"/>
      <c r="U288" s="111"/>
      <c r="V288" s="111"/>
      <c r="W288" s="111"/>
      <c r="X288" s="111"/>
      <c r="Y288" s="111"/>
      <c r="Z288" s="105"/>
      <c r="AA288" s="105"/>
      <c r="AB288" s="105"/>
    </row>
    <row r="289" spans="2:28" ht="21" customHeight="1">
      <c r="B289" s="105"/>
      <c r="C289" s="105"/>
      <c r="D289" s="105"/>
      <c r="E289" s="105"/>
      <c r="F289" s="114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11"/>
      <c r="T289" s="111"/>
      <c r="U289" s="111"/>
      <c r="V289" s="111"/>
      <c r="W289" s="111"/>
      <c r="X289" s="111"/>
      <c r="Y289" s="111"/>
      <c r="Z289" s="105"/>
      <c r="AA289" s="105"/>
      <c r="AB289" s="105"/>
    </row>
    <row r="290" spans="2:28" ht="21" customHeight="1">
      <c r="B290" s="105"/>
      <c r="C290" s="105"/>
      <c r="D290" s="105"/>
      <c r="E290" s="105"/>
      <c r="F290" s="114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11"/>
      <c r="T290" s="111"/>
      <c r="U290" s="111"/>
      <c r="V290" s="111"/>
      <c r="W290" s="111"/>
      <c r="X290" s="111"/>
      <c r="Y290" s="111"/>
      <c r="Z290" s="105"/>
      <c r="AA290" s="105"/>
      <c r="AB290" s="105"/>
    </row>
    <row r="291" spans="2:28" ht="21" customHeight="1">
      <c r="B291" s="105"/>
      <c r="C291" s="105"/>
      <c r="D291" s="105"/>
      <c r="E291" s="105"/>
      <c r="F291" s="114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11"/>
      <c r="T291" s="111"/>
      <c r="U291" s="111"/>
      <c r="V291" s="111"/>
      <c r="W291" s="111"/>
      <c r="X291" s="111"/>
      <c r="Y291" s="111"/>
      <c r="Z291" s="105"/>
      <c r="AA291" s="105"/>
      <c r="AB291" s="105"/>
    </row>
    <row r="292" spans="2:28" ht="21" customHeight="1">
      <c r="B292" s="105"/>
      <c r="C292" s="105"/>
      <c r="D292" s="105"/>
      <c r="E292" s="105"/>
      <c r="F292" s="114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11"/>
      <c r="T292" s="111"/>
      <c r="U292" s="111"/>
      <c r="V292" s="111"/>
      <c r="W292" s="111"/>
      <c r="X292" s="111"/>
      <c r="Y292" s="111"/>
      <c r="Z292" s="105"/>
      <c r="AA292" s="105"/>
      <c r="AB292" s="105"/>
    </row>
    <row r="293" spans="2:28" ht="21" customHeight="1">
      <c r="B293" s="105"/>
      <c r="C293" s="105"/>
      <c r="D293" s="105"/>
      <c r="E293" s="105"/>
      <c r="F293" s="114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11"/>
      <c r="T293" s="111"/>
      <c r="U293" s="111"/>
      <c r="V293" s="111"/>
      <c r="W293" s="111"/>
      <c r="X293" s="111"/>
      <c r="Y293" s="111"/>
      <c r="Z293" s="105"/>
      <c r="AA293" s="105"/>
      <c r="AB293" s="105"/>
    </row>
    <row r="294" spans="2:28" ht="21" customHeight="1">
      <c r="B294" s="105"/>
      <c r="C294" s="105"/>
      <c r="D294" s="105"/>
      <c r="E294" s="105"/>
      <c r="F294" s="114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11"/>
      <c r="T294" s="111"/>
      <c r="U294" s="111"/>
      <c r="V294" s="111"/>
      <c r="W294" s="111"/>
      <c r="X294" s="111"/>
      <c r="Y294" s="111"/>
      <c r="Z294" s="105"/>
      <c r="AA294" s="105"/>
      <c r="AB294" s="105"/>
    </row>
    <row r="295" spans="2:28" ht="21" customHeight="1">
      <c r="B295" s="105"/>
      <c r="C295" s="105"/>
      <c r="D295" s="105"/>
      <c r="E295" s="105"/>
      <c r="F295" s="114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11"/>
      <c r="T295" s="111"/>
      <c r="U295" s="111"/>
      <c r="V295" s="111"/>
      <c r="W295" s="111"/>
      <c r="X295" s="111"/>
      <c r="Y295" s="111"/>
      <c r="Z295" s="105"/>
      <c r="AA295" s="105"/>
      <c r="AB295" s="105"/>
    </row>
    <row r="296" spans="2:28" ht="21" customHeight="1">
      <c r="B296" s="105"/>
      <c r="C296" s="105"/>
      <c r="D296" s="105"/>
      <c r="E296" s="105"/>
      <c r="F296" s="114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11"/>
      <c r="T296" s="111"/>
      <c r="U296" s="111"/>
      <c r="V296" s="111"/>
      <c r="W296" s="111"/>
      <c r="X296" s="111"/>
      <c r="Y296" s="111"/>
      <c r="Z296" s="105"/>
      <c r="AA296" s="105"/>
      <c r="AB296" s="105"/>
    </row>
    <row r="297" spans="2:28" ht="21" customHeight="1">
      <c r="B297" s="105"/>
      <c r="C297" s="105"/>
      <c r="D297" s="105"/>
      <c r="E297" s="105"/>
      <c r="F297" s="114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11"/>
      <c r="T297" s="111"/>
      <c r="U297" s="111"/>
      <c r="V297" s="111"/>
      <c r="W297" s="111"/>
      <c r="X297" s="111"/>
      <c r="Y297" s="111"/>
      <c r="Z297" s="105"/>
      <c r="AA297" s="105"/>
      <c r="AB297" s="105"/>
    </row>
    <row r="298" spans="2:28" ht="21" customHeight="1">
      <c r="B298" s="105"/>
      <c r="C298" s="105"/>
      <c r="D298" s="105"/>
      <c r="E298" s="105"/>
      <c r="F298" s="114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11"/>
      <c r="T298" s="111"/>
      <c r="U298" s="111"/>
      <c r="V298" s="111"/>
      <c r="W298" s="111"/>
      <c r="X298" s="111"/>
      <c r="Y298" s="111"/>
      <c r="Z298" s="105"/>
      <c r="AA298" s="105"/>
      <c r="AB298" s="105"/>
    </row>
    <row r="299" spans="2:28" ht="21" customHeight="1">
      <c r="B299" s="105"/>
      <c r="C299" s="105"/>
      <c r="D299" s="105"/>
      <c r="E299" s="105"/>
      <c r="F299" s="114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11"/>
      <c r="T299" s="111"/>
      <c r="U299" s="111"/>
      <c r="V299" s="111"/>
      <c r="W299" s="111"/>
      <c r="X299" s="111"/>
      <c r="Y299" s="111"/>
      <c r="Z299" s="105"/>
      <c r="AA299" s="105"/>
      <c r="AB299" s="105"/>
    </row>
    <row r="300" spans="2:28" ht="21" customHeight="1">
      <c r="B300" s="105"/>
      <c r="C300" s="105"/>
      <c r="D300" s="105"/>
      <c r="E300" s="105"/>
      <c r="F300" s="114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11"/>
      <c r="T300" s="111"/>
      <c r="U300" s="111"/>
      <c r="V300" s="111"/>
      <c r="W300" s="111"/>
      <c r="X300" s="111"/>
      <c r="Y300" s="111"/>
      <c r="Z300" s="105"/>
      <c r="AA300" s="105"/>
      <c r="AB300" s="105"/>
    </row>
    <row r="301" spans="2:28" ht="21" customHeight="1">
      <c r="B301" s="105"/>
      <c r="C301" s="105"/>
      <c r="D301" s="105"/>
      <c r="E301" s="105"/>
      <c r="F301" s="114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11"/>
      <c r="T301" s="111"/>
      <c r="U301" s="111"/>
      <c r="V301" s="111"/>
      <c r="W301" s="111"/>
      <c r="X301" s="111"/>
      <c r="Y301" s="111"/>
      <c r="Z301" s="105"/>
      <c r="AA301" s="105"/>
      <c r="AB301" s="105"/>
    </row>
    <row r="302" spans="2:28" ht="21" customHeight="1">
      <c r="B302" s="105"/>
      <c r="C302" s="105"/>
      <c r="D302" s="105"/>
      <c r="E302" s="105"/>
      <c r="F302" s="114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11"/>
      <c r="T302" s="111"/>
      <c r="U302" s="111"/>
      <c r="V302" s="111"/>
      <c r="W302" s="111"/>
      <c r="X302" s="111"/>
      <c r="Y302" s="111"/>
      <c r="Z302" s="105"/>
      <c r="AA302" s="105"/>
      <c r="AB302" s="105"/>
    </row>
    <row r="303" spans="2:28" ht="21" customHeight="1">
      <c r="B303" s="105"/>
      <c r="C303" s="105"/>
      <c r="D303" s="105"/>
      <c r="E303" s="105"/>
      <c r="F303" s="114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11"/>
      <c r="T303" s="111"/>
      <c r="U303" s="111"/>
      <c r="V303" s="111"/>
      <c r="W303" s="111"/>
      <c r="X303" s="111"/>
      <c r="Y303" s="111"/>
      <c r="Z303" s="105"/>
      <c r="AA303" s="105"/>
      <c r="AB303" s="105"/>
    </row>
    <row r="304" spans="2:28" ht="21" customHeight="1">
      <c r="B304" s="105"/>
      <c r="C304" s="105"/>
      <c r="D304" s="105"/>
      <c r="E304" s="105"/>
      <c r="F304" s="114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11"/>
      <c r="T304" s="111"/>
      <c r="U304" s="111"/>
      <c r="V304" s="111"/>
      <c r="W304" s="111"/>
      <c r="X304" s="111"/>
      <c r="Y304" s="111"/>
      <c r="Z304" s="105"/>
      <c r="AA304" s="105"/>
      <c r="AB304" s="105"/>
    </row>
    <row r="305" spans="2:28" ht="21" customHeight="1">
      <c r="B305" s="105"/>
      <c r="C305" s="105"/>
      <c r="D305" s="105"/>
      <c r="E305" s="105"/>
      <c r="F305" s="114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11"/>
      <c r="T305" s="111"/>
      <c r="U305" s="111"/>
      <c r="V305" s="111"/>
      <c r="W305" s="111"/>
      <c r="X305" s="111"/>
      <c r="Y305" s="111"/>
      <c r="Z305" s="105"/>
      <c r="AA305" s="105"/>
      <c r="AB305" s="105"/>
    </row>
    <row r="306" spans="2:28" ht="21" customHeight="1">
      <c r="B306" s="105"/>
      <c r="C306" s="105"/>
      <c r="D306" s="105"/>
      <c r="E306" s="105"/>
      <c r="F306" s="114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11"/>
      <c r="T306" s="111"/>
      <c r="U306" s="111"/>
      <c r="V306" s="111"/>
      <c r="W306" s="111"/>
      <c r="X306" s="111"/>
      <c r="Y306" s="111"/>
      <c r="Z306" s="105"/>
      <c r="AA306" s="105"/>
      <c r="AB306" s="105"/>
    </row>
    <row r="307" spans="2:28" ht="21" customHeight="1">
      <c r="B307" s="105"/>
      <c r="C307" s="105"/>
      <c r="D307" s="105"/>
      <c r="E307" s="105"/>
      <c r="F307" s="114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11"/>
      <c r="T307" s="111"/>
      <c r="U307" s="111"/>
      <c r="V307" s="111"/>
      <c r="W307" s="111"/>
      <c r="X307" s="111"/>
      <c r="Y307" s="111"/>
      <c r="Z307" s="105"/>
      <c r="AA307" s="105"/>
      <c r="AB307" s="105"/>
    </row>
    <row r="308" spans="2:28" ht="21" customHeight="1">
      <c r="B308" s="105"/>
      <c r="C308" s="105"/>
      <c r="D308" s="105"/>
      <c r="E308" s="105"/>
      <c r="F308" s="114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11"/>
      <c r="T308" s="111"/>
      <c r="U308" s="111"/>
      <c r="V308" s="111"/>
      <c r="W308" s="111"/>
      <c r="X308" s="111"/>
      <c r="Y308" s="111"/>
      <c r="Z308" s="105"/>
      <c r="AA308" s="105"/>
      <c r="AB308" s="105"/>
    </row>
    <row r="309" spans="2:28" ht="21" customHeight="1">
      <c r="B309" s="105"/>
      <c r="C309" s="105"/>
      <c r="D309" s="105"/>
      <c r="E309" s="105"/>
      <c r="F309" s="114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11"/>
      <c r="T309" s="111"/>
      <c r="U309" s="111"/>
      <c r="V309" s="111"/>
      <c r="W309" s="111"/>
      <c r="X309" s="111"/>
      <c r="Y309" s="111"/>
      <c r="Z309" s="105"/>
      <c r="AA309" s="105"/>
      <c r="AB309" s="105"/>
    </row>
    <row r="310" spans="2:28" ht="21" customHeight="1">
      <c r="B310" s="105"/>
      <c r="C310" s="105"/>
      <c r="D310" s="105"/>
      <c r="E310" s="105"/>
      <c r="F310" s="114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11"/>
      <c r="T310" s="111"/>
      <c r="U310" s="111"/>
      <c r="V310" s="111"/>
      <c r="W310" s="111"/>
      <c r="X310" s="111"/>
      <c r="Y310" s="111"/>
      <c r="Z310" s="105"/>
      <c r="AA310" s="105"/>
      <c r="AB310" s="105"/>
    </row>
    <row r="311" spans="2:28" ht="21" customHeight="1">
      <c r="B311" s="105"/>
      <c r="C311" s="105"/>
      <c r="D311" s="105"/>
      <c r="E311" s="105"/>
      <c r="F311" s="114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11"/>
      <c r="T311" s="111"/>
      <c r="U311" s="111"/>
      <c r="V311" s="111"/>
      <c r="W311" s="111"/>
      <c r="X311" s="111"/>
      <c r="Y311" s="111"/>
      <c r="Z311" s="105"/>
      <c r="AA311" s="105"/>
      <c r="AB311" s="105"/>
    </row>
    <row r="312" spans="2:28" ht="21" customHeight="1">
      <c r="B312" s="105"/>
      <c r="C312" s="105"/>
      <c r="D312" s="105"/>
      <c r="E312" s="105"/>
      <c r="F312" s="114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11"/>
      <c r="T312" s="111"/>
      <c r="U312" s="111"/>
      <c r="V312" s="111"/>
      <c r="W312" s="111"/>
      <c r="X312" s="111"/>
      <c r="Y312" s="111"/>
      <c r="Z312" s="105"/>
      <c r="AA312" s="105"/>
      <c r="AB312" s="105"/>
    </row>
    <row r="313" spans="2:28" ht="21" customHeight="1">
      <c r="B313" s="105"/>
      <c r="C313" s="105"/>
      <c r="D313" s="105"/>
      <c r="E313" s="105"/>
      <c r="F313" s="114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11"/>
      <c r="T313" s="111"/>
      <c r="U313" s="111"/>
      <c r="V313" s="111"/>
      <c r="W313" s="111"/>
      <c r="X313" s="111"/>
      <c r="Y313" s="111"/>
      <c r="Z313" s="105"/>
      <c r="AA313" s="105"/>
      <c r="AB313" s="105"/>
    </row>
    <row r="314" spans="2:28" ht="21" customHeight="1">
      <c r="B314" s="105"/>
      <c r="C314" s="105"/>
      <c r="D314" s="105"/>
      <c r="E314" s="105"/>
      <c r="F314" s="114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11"/>
      <c r="T314" s="111"/>
      <c r="U314" s="111"/>
      <c r="V314" s="111"/>
      <c r="W314" s="111"/>
      <c r="X314" s="111"/>
      <c r="Y314" s="111"/>
      <c r="Z314" s="105"/>
      <c r="AA314" s="105"/>
      <c r="AB314" s="105"/>
    </row>
    <row r="315" spans="2:28" ht="21" customHeight="1">
      <c r="B315" s="105"/>
      <c r="C315" s="105"/>
      <c r="D315" s="105"/>
      <c r="E315" s="105"/>
      <c r="F315" s="114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11"/>
      <c r="T315" s="111"/>
      <c r="U315" s="111"/>
      <c r="V315" s="111"/>
      <c r="W315" s="111"/>
      <c r="X315" s="111"/>
      <c r="Y315" s="111"/>
      <c r="Z315" s="105"/>
      <c r="AA315" s="105"/>
      <c r="AB315" s="105"/>
    </row>
    <row r="316" spans="2:28" ht="21" customHeight="1">
      <c r="B316" s="105"/>
      <c r="C316" s="105"/>
      <c r="D316" s="105"/>
      <c r="E316" s="105"/>
      <c r="F316" s="114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11"/>
      <c r="T316" s="111"/>
      <c r="U316" s="111"/>
      <c r="V316" s="111"/>
      <c r="W316" s="111"/>
      <c r="X316" s="111"/>
      <c r="Y316" s="111"/>
      <c r="Z316" s="105"/>
      <c r="AA316" s="105"/>
      <c r="AB316" s="105"/>
    </row>
    <row r="317" spans="2:28" ht="21" customHeight="1">
      <c r="B317" s="105"/>
      <c r="C317" s="105"/>
      <c r="D317" s="105"/>
      <c r="E317" s="105"/>
      <c r="F317" s="114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11"/>
      <c r="T317" s="111"/>
      <c r="U317" s="111"/>
      <c r="V317" s="111"/>
      <c r="W317" s="111"/>
      <c r="X317" s="111"/>
      <c r="Y317" s="111"/>
      <c r="Z317" s="105"/>
      <c r="AA317" s="105"/>
      <c r="AB317" s="105"/>
    </row>
    <row r="318" spans="2:28" ht="21" customHeight="1">
      <c r="B318" s="105"/>
      <c r="C318" s="105"/>
      <c r="D318" s="105"/>
      <c r="E318" s="105"/>
      <c r="F318" s="114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11"/>
      <c r="T318" s="111"/>
      <c r="U318" s="111"/>
      <c r="V318" s="111"/>
      <c r="W318" s="111"/>
      <c r="X318" s="111"/>
      <c r="Y318" s="111"/>
      <c r="Z318" s="105"/>
      <c r="AA318" s="105"/>
      <c r="AB318" s="105"/>
    </row>
    <row r="319" spans="2:28" ht="21" customHeight="1">
      <c r="B319" s="105"/>
      <c r="C319" s="105"/>
      <c r="D319" s="105"/>
      <c r="E319" s="105"/>
      <c r="F319" s="114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11"/>
      <c r="T319" s="111"/>
      <c r="U319" s="111"/>
      <c r="V319" s="111"/>
      <c r="W319" s="111"/>
      <c r="X319" s="111"/>
      <c r="Y319" s="111"/>
      <c r="Z319" s="105"/>
      <c r="AA319" s="105"/>
      <c r="AB319" s="105"/>
    </row>
    <row r="320" spans="2:28" ht="21" customHeight="1">
      <c r="B320" s="105"/>
      <c r="C320" s="105"/>
      <c r="D320" s="105"/>
      <c r="E320" s="105"/>
      <c r="F320" s="114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11"/>
      <c r="T320" s="111"/>
      <c r="U320" s="111"/>
      <c r="V320" s="111"/>
      <c r="W320" s="111"/>
      <c r="X320" s="111"/>
      <c r="Y320" s="111"/>
      <c r="Z320" s="105"/>
      <c r="AA320" s="105"/>
      <c r="AB320" s="105"/>
    </row>
    <row r="321" spans="2:28" ht="21" customHeight="1">
      <c r="B321" s="105"/>
      <c r="C321" s="105"/>
      <c r="D321" s="105"/>
      <c r="E321" s="105"/>
      <c r="F321" s="114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11"/>
      <c r="T321" s="111"/>
      <c r="U321" s="111"/>
      <c r="V321" s="111"/>
      <c r="W321" s="111"/>
      <c r="X321" s="111"/>
      <c r="Y321" s="111"/>
      <c r="Z321" s="105"/>
      <c r="AA321" s="105"/>
      <c r="AB321" s="105"/>
    </row>
    <row r="322" spans="2:28" ht="21" customHeight="1">
      <c r="B322" s="105"/>
      <c r="C322" s="105"/>
      <c r="D322" s="105"/>
      <c r="E322" s="105"/>
      <c r="F322" s="114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11"/>
      <c r="T322" s="111"/>
      <c r="U322" s="111"/>
      <c r="V322" s="111"/>
      <c r="W322" s="111"/>
      <c r="X322" s="111"/>
      <c r="Y322" s="111"/>
      <c r="Z322" s="105"/>
      <c r="AA322" s="105"/>
      <c r="AB322" s="105"/>
    </row>
    <row r="323" spans="2:28" ht="21" customHeight="1">
      <c r="B323" s="105"/>
      <c r="C323" s="105"/>
      <c r="D323" s="105"/>
      <c r="E323" s="105"/>
      <c r="F323" s="114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11"/>
      <c r="T323" s="111"/>
      <c r="U323" s="111"/>
      <c r="V323" s="111"/>
      <c r="W323" s="111"/>
      <c r="X323" s="111"/>
      <c r="Y323" s="111"/>
      <c r="Z323" s="105"/>
      <c r="AA323" s="105"/>
      <c r="AB323" s="105"/>
    </row>
    <row r="324" spans="2:28" ht="21" customHeight="1">
      <c r="B324" s="105"/>
      <c r="C324" s="105"/>
      <c r="D324" s="105"/>
      <c r="E324" s="105"/>
      <c r="F324" s="114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11"/>
      <c r="T324" s="111"/>
      <c r="U324" s="111"/>
      <c r="V324" s="111"/>
      <c r="W324" s="111"/>
      <c r="X324" s="111"/>
      <c r="Y324" s="111"/>
      <c r="Z324" s="105"/>
      <c r="AA324" s="105"/>
      <c r="AB324" s="105"/>
    </row>
    <row r="325" spans="2:28" ht="21" customHeight="1">
      <c r="B325" s="105"/>
      <c r="C325" s="105"/>
      <c r="D325" s="105"/>
      <c r="E325" s="105"/>
      <c r="F325" s="114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11"/>
      <c r="T325" s="111"/>
      <c r="U325" s="111"/>
      <c r="V325" s="111"/>
      <c r="W325" s="111"/>
      <c r="X325" s="111"/>
      <c r="Y325" s="111"/>
      <c r="Z325" s="105"/>
      <c r="AA325" s="105"/>
      <c r="AB325" s="105"/>
    </row>
    <row r="326" spans="2:28" ht="21" customHeight="1">
      <c r="B326" s="105"/>
      <c r="C326" s="105"/>
      <c r="D326" s="105"/>
      <c r="E326" s="105"/>
      <c r="F326" s="114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11"/>
      <c r="T326" s="111"/>
      <c r="U326" s="111"/>
      <c r="V326" s="111"/>
      <c r="W326" s="111"/>
      <c r="X326" s="111"/>
      <c r="Y326" s="111"/>
      <c r="Z326" s="105"/>
      <c r="AA326" s="105"/>
      <c r="AB326" s="105"/>
    </row>
    <row r="327" spans="2:28" ht="21" customHeight="1">
      <c r="B327" s="105"/>
      <c r="C327" s="105"/>
      <c r="D327" s="105"/>
      <c r="E327" s="105"/>
      <c r="F327" s="114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11"/>
      <c r="T327" s="111"/>
      <c r="U327" s="111"/>
      <c r="V327" s="111"/>
      <c r="W327" s="111"/>
      <c r="X327" s="111"/>
      <c r="Y327" s="111"/>
      <c r="Z327" s="105"/>
      <c r="AA327" s="105"/>
      <c r="AB327" s="105"/>
    </row>
    <row r="328" spans="2:28" ht="21" customHeight="1">
      <c r="B328" s="105"/>
      <c r="C328" s="105"/>
      <c r="D328" s="105"/>
      <c r="E328" s="105"/>
      <c r="F328" s="114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11"/>
      <c r="T328" s="111"/>
      <c r="U328" s="111"/>
      <c r="V328" s="111"/>
      <c r="W328" s="111"/>
      <c r="X328" s="111"/>
      <c r="Y328" s="111"/>
      <c r="Z328" s="105"/>
      <c r="AA328" s="105"/>
      <c r="AB328" s="105"/>
    </row>
    <row r="329" spans="2:28" ht="21" customHeight="1">
      <c r="B329" s="105"/>
      <c r="C329" s="105"/>
      <c r="D329" s="105"/>
      <c r="E329" s="105"/>
      <c r="F329" s="114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11"/>
      <c r="T329" s="111"/>
      <c r="U329" s="111"/>
      <c r="V329" s="111"/>
      <c r="W329" s="111"/>
      <c r="X329" s="111"/>
      <c r="Y329" s="111"/>
      <c r="Z329" s="105"/>
      <c r="AA329" s="105"/>
      <c r="AB329" s="105"/>
    </row>
    <row r="330" spans="2:28" ht="21" customHeight="1">
      <c r="B330" s="105"/>
      <c r="C330" s="105"/>
      <c r="D330" s="105"/>
      <c r="E330" s="105"/>
      <c r="F330" s="114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11"/>
      <c r="T330" s="111"/>
      <c r="U330" s="111"/>
      <c r="V330" s="111"/>
      <c r="W330" s="111"/>
      <c r="X330" s="111"/>
      <c r="Y330" s="111"/>
      <c r="Z330" s="105"/>
      <c r="AA330" s="105"/>
      <c r="AB330" s="105"/>
    </row>
    <row r="331" spans="2:28" ht="21" customHeight="1">
      <c r="B331" s="105"/>
      <c r="C331" s="105"/>
      <c r="D331" s="105"/>
      <c r="E331" s="105"/>
      <c r="F331" s="114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11"/>
      <c r="T331" s="111"/>
      <c r="U331" s="111"/>
      <c r="V331" s="111"/>
      <c r="W331" s="111"/>
      <c r="X331" s="111"/>
      <c r="Y331" s="111"/>
      <c r="Z331" s="105"/>
      <c r="AA331" s="105"/>
      <c r="AB331" s="105"/>
    </row>
    <row r="332" spans="2:28" ht="21" customHeight="1">
      <c r="B332" s="105"/>
      <c r="C332" s="105"/>
      <c r="D332" s="105"/>
      <c r="E332" s="105"/>
      <c r="F332" s="114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11"/>
      <c r="T332" s="111"/>
      <c r="U332" s="111"/>
      <c r="V332" s="111"/>
      <c r="W332" s="111"/>
      <c r="X332" s="111"/>
      <c r="Y332" s="111"/>
      <c r="Z332" s="105"/>
      <c r="AA332" s="105"/>
      <c r="AB332" s="105"/>
    </row>
    <row r="333" spans="2:28" ht="21" customHeight="1">
      <c r="B333" s="105"/>
      <c r="C333" s="105"/>
      <c r="D333" s="105"/>
      <c r="E333" s="105"/>
      <c r="F333" s="114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11"/>
      <c r="T333" s="111"/>
      <c r="U333" s="111"/>
      <c r="V333" s="111"/>
      <c r="W333" s="111"/>
      <c r="X333" s="111"/>
      <c r="Y333" s="111"/>
      <c r="Z333" s="105"/>
      <c r="AA333" s="105"/>
      <c r="AB333" s="105"/>
    </row>
    <row r="334" spans="2:28" ht="21" customHeight="1">
      <c r="B334" s="105"/>
      <c r="C334" s="105"/>
      <c r="D334" s="105"/>
      <c r="E334" s="105"/>
      <c r="F334" s="114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11"/>
      <c r="T334" s="111"/>
      <c r="U334" s="111"/>
      <c r="V334" s="111"/>
      <c r="W334" s="111"/>
      <c r="X334" s="111"/>
      <c r="Y334" s="111"/>
      <c r="Z334" s="105"/>
      <c r="AA334" s="105"/>
      <c r="AB334" s="105"/>
    </row>
    <row r="335" spans="2:28" ht="21" customHeight="1">
      <c r="B335" s="105"/>
      <c r="C335" s="105"/>
      <c r="D335" s="105"/>
      <c r="E335" s="105"/>
      <c r="F335" s="114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11"/>
      <c r="T335" s="111"/>
      <c r="U335" s="111"/>
      <c r="V335" s="111"/>
      <c r="W335" s="111"/>
      <c r="X335" s="111"/>
      <c r="Y335" s="111"/>
      <c r="Z335" s="105"/>
      <c r="AA335" s="105"/>
      <c r="AB335" s="105"/>
    </row>
    <row r="336" spans="2:28" ht="21" customHeight="1">
      <c r="B336" s="105"/>
      <c r="C336" s="105"/>
      <c r="D336" s="105"/>
      <c r="E336" s="105"/>
      <c r="F336" s="114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11"/>
      <c r="T336" s="111"/>
      <c r="U336" s="111"/>
      <c r="V336" s="111"/>
      <c r="W336" s="111"/>
      <c r="X336" s="111"/>
      <c r="Y336" s="111"/>
      <c r="Z336" s="105"/>
      <c r="AA336" s="105"/>
      <c r="AB336" s="105"/>
    </row>
    <row r="337" spans="2:28" ht="21" customHeight="1">
      <c r="B337" s="105"/>
      <c r="C337" s="105"/>
      <c r="D337" s="105"/>
      <c r="E337" s="105"/>
      <c r="F337" s="114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11"/>
      <c r="T337" s="111"/>
      <c r="U337" s="111"/>
      <c r="V337" s="111"/>
      <c r="W337" s="111"/>
      <c r="X337" s="111"/>
      <c r="Y337" s="111"/>
      <c r="Z337" s="105"/>
      <c r="AA337" s="105"/>
      <c r="AB337" s="105"/>
    </row>
    <row r="338" spans="2:28" ht="21" customHeight="1">
      <c r="B338" s="105"/>
      <c r="C338" s="105"/>
      <c r="D338" s="105"/>
      <c r="E338" s="105"/>
      <c r="F338" s="114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11"/>
      <c r="T338" s="111"/>
      <c r="U338" s="111"/>
      <c r="V338" s="111"/>
      <c r="W338" s="111"/>
      <c r="X338" s="111"/>
      <c r="Y338" s="111"/>
      <c r="Z338" s="105"/>
      <c r="AA338" s="105"/>
      <c r="AB338" s="105"/>
    </row>
    <row r="339" spans="2:28" ht="21" customHeight="1">
      <c r="B339" s="105"/>
      <c r="C339" s="105"/>
      <c r="D339" s="105"/>
      <c r="E339" s="105"/>
      <c r="F339" s="114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11"/>
      <c r="T339" s="111"/>
      <c r="U339" s="111"/>
      <c r="V339" s="111"/>
      <c r="W339" s="111"/>
      <c r="X339" s="111"/>
      <c r="Y339" s="111"/>
      <c r="Z339" s="105"/>
      <c r="AA339" s="105"/>
      <c r="AB339" s="105"/>
    </row>
    <row r="340" spans="2:28" ht="21" customHeight="1">
      <c r="B340" s="105"/>
      <c r="C340" s="105"/>
      <c r="D340" s="105"/>
      <c r="E340" s="105"/>
      <c r="F340" s="114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11"/>
      <c r="T340" s="111"/>
      <c r="U340" s="111"/>
      <c r="V340" s="111"/>
      <c r="W340" s="111"/>
      <c r="X340" s="111"/>
      <c r="Y340" s="111"/>
      <c r="Z340" s="105"/>
      <c r="AA340" s="105"/>
      <c r="AB340" s="105"/>
    </row>
    <row r="341" spans="2:28" ht="21" customHeight="1">
      <c r="B341" s="105"/>
      <c r="C341" s="105"/>
      <c r="D341" s="105"/>
      <c r="E341" s="105"/>
      <c r="F341" s="114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11"/>
      <c r="T341" s="111"/>
      <c r="U341" s="111"/>
      <c r="V341" s="111"/>
      <c r="W341" s="111"/>
      <c r="X341" s="111"/>
      <c r="Y341" s="111"/>
      <c r="Z341" s="105"/>
      <c r="AA341" s="105"/>
      <c r="AB341" s="105"/>
    </row>
    <row r="342" spans="2:28" ht="21" customHeight="1">
      <c r="B342" s="105"/>
      <c r="C342" s="105"/>
      <c r="D342" s="105"/>
      <c r="E342" s="105"/>
      <c r="F342" s="114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11"/>
      <c r="T342" s="111"/>
      <c r="U342" s="111"/>
      <c r="V342" s="111"/>
      <c r="W342" s="111"/>
      <c r="X342" s="111"/>
      <c r="Y342" s="111"/>
      <c r="Z342" s="105"/>
      <c r="AA342" s="105"/>
      <c r="AB342" s="105"/>
    </row>
    <row r="343" spans="2:28" ht="21" customHeight="1">
      <c r="B343" s="105"/>
      <c r="C343" s="105"/>
      <c r="D343" s="105"/>
      <c r="E343" s="105"/>
      <c r="F343" s="114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11"/>
      <c r="T343" s="111"/>
      <c r="U343" s="111"/>
      <c r="V343" s="111"/>
      <c r="W343" s="111"/>
      <c r="X343" s="111"/>
      <c r="Y343" s="111"/>
      <c r="Z343" s="105"/>
      <c r="AA343" s="105"/>
      <c r="AB343" s="105"/>
    </row>
    <row r="344" spans="2:28" ht="21" customHeight="1">
      <c r="B344" s="105"/>
      <c r="C344" s="105"/>
      <c r="D344" s="105"/>
      <c r="E344" s="105"/>
      <c r="F344" s="114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11"/>
      <c r="T344" s="111"/>
      <c r="U344" s="111"/>
      <c r="V344" s="111"/>
      <c r="W344" s="111"/>
      <c r="X344" s="111"/>
      <c r="Y344" s="111"/>
      <c r="Z344" s="105"/>
      <c r="AA344" s="105"/>
      <c r="AB344" s="105"/>
    </row>
    <row r="345" spans="2:28" ht="21" customHeight="1">
      <c r="B345" s="105"/>
      <c r="C345" s="105"/>
      <c r="D345" s="105"/>
      <c r="E345" s="105"/>
      <c r="F345" s="114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11"/>
      <c r="T345" s="111"/>
      <c r="U345" s="111"/>
      <c r="V345" s="111"/>
      <c r="W345" s="111"/>
      <c r="X345" s="111"/>
      <c r="Y345" s="111"/>
      <c r="Z345" s="105"/>
      <c r="AA345" s="105"/>
      <c r="AB345" s="105"/>
    </row>
    <row r="346" spans="2:28" ht="21" customHeight="1">
      <c r="B346" s="105"/>
      <c r="C346" s="105"/>
      <c r="D346" s="105"/>
      <c r="E346" s="105"/>
      <c r="F346" s="114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11"/>
      <c r="T346" s="111"/>
      <c r="U346" s="111"/>
      <c r="V346" s="111"/>
      <c r="W346" s="111"/>
      <c r="X346" s="111"/>
      <c r="Y346" s="111"/>
      <c r="Z346" s="105"/>
      <c r="AA346" s="105"/>
      <c r="AB346" s="105"/>
    </row>
    <row r="347" spans="2:28" ht="21" customHeight="1">
      <c r="B347" s="105"/>
      <c r="C347" s="105"/>
      <c r="D347" s="105"/>
      <c r="E347" s="105"/>
      <c r="F347" s="114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11"/>
      <c r="T347" s="111"/>
      <c r="U347" s="111"/>
      <c r="V347" s="111"/>
      <c r="W347" s="111"/>
      <c r="X347" s="111"/>
      <c r="Y347" s="111"/>
      <c r="Z347" s="105"/>
      <c r="AA347" s="105"/>
      <c r="AB347" s="105"/>
    </row>
    <row r="348" spans="2:28" ht="21" customHeight="1">
      <c r="B348" s="105"/>
      <c r="C348" s="105"/>
      <c r="D348" s="105"/>
      <c r="E348" s="105"/>
      <c r="F348" s="114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11"/>
      <c r="T348" s="111"/>
      <c r="U348" s="111"/>
      <c r="V348" s="111"/>
      <c r="W348" s="111"/>
      <c r="X348" s="111"/>
      <c r="Y348" s="111"/>
      <c r="Z348" s="105"/>
      <c r="AA348" s="105"/>
      <c r="AB348" s="105"/>
    </row>
    <row r="349" spans="2:28" ht="21" customHeight="1">
      <c r="B349" s="105"/>
      <c r="C349" s="105"/>
      <c r="D349" s="105"/>
      <c r="E349" s="105"/>
      <c r="F349" s="114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11"/>
      <c r="T349" s="111"/>
      <c r="U349" s="111"/>
      <c r="V349" s="111"/>
      <c r="W349" s="111"/>
      <c r="X349" s="111"/>
      <c r="Y349" s="111"/>
      <c r="Z349" s="105"/>
      <c r="AA349" s="105"/>
      <c r="AB349" s="105"/>
    </row>
    <row r="350" spans="2:28" ht="21" customHeight="1">
      <c r="B350" s="105"/>
      <c r="C350" s="105"/>
      <c r="D350" s="105"/>
      <c r="E350" s="105"/>
      <c r="F350" s="114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11"/>
      <c r="T350" s="111"/>
      <c r="U350" s="111"/>
      <c r="V350" s="111"/>
      <c r="W350" s="111"/>
      <c r="X350" s="111"/>
      <c r="Y350" s="111"/>
      <c r="Z350" s="105"/>
      <c r="AA350" s="105"/>
      <c r="AB350" s="105"/>
    </row>
    <row r="351" spans="2:28" ht="21" customHeight="1">
      <c r="B351" s="105"/>
      <c r="C351" s="105"/>
      <c r="D351" s="105"/>
      <c r="E351" s="105"/>
      <c r="F351" s="114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11"/>
      <c r="T351" s="111"/>
      <c r="U351" s="111"/>
      <c r="V351" s="111"/>
      <c r="W351" s="111"/>
      <c r="X351" s="111"/>
      <c r="Y351" s="111"/>
      <c r="Z351" s="105"/>
      <c r="AA351" s="105"/>
      <c r="AB351" s="105"/>
    </row>
    <row r="352" spans="2:28" ht="21" customHeight="1">
      <c r="B352" s="105"/>
      <c r="C352" s="105"/>
      <c r="D352" s="105"/>
      <c r="E352" s="105"/>
      <c r="F352" s="114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11"/>
      <c r="T352" s="111"/>
      <c r="U352" s="111"/>
      <c r="V352" s="111"/>
      <c r="W352" s="111"/>
      <c r="X352" s="111"/>
      <c r="Y352" s="111"/>
      <c r="Z352" s="105"/>
      <c r="AA352" s="105"/>
      <c r="AB352" s="105"/>
    </row>
    <row r="353" spans="2:28" ht="21" customHeight="1">
      <c r="B353" s="105"/>
      <c r="C353" s="105"/>
      <c r="D353" s="105"/>
      <c r="E353" s="105"/>
      <c r="F353" s="114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11"/>
      <c r="T353" s="111"/>
      <c r="U353" s="111"/>
      <c r="V353" s="111"/>
      <c r="W353" s="111"/>
      <c r="X353" s="111"/>
      <c r="Y353" s="111"/>
      <c r="Z353" s="105"/>
      <c r="AA353" s="105"/>
      <c r="AB353" s="105"/>
    </row>
    <row r="354" spans="2:28" ht="21" customHeight="1">
      <c r="B354" s="105"/>
      <c r="C354" s="105"/>
      <c r="D354" s="105"/>
      <c r="E354" s="105"/>
      <c r="F354" s="114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11"/>
      <c r="T354" s="111"/>
      <c r="U354" s="111"/>
      <c r="V354" s="111"/>
      <c r="W354" s="111"/>
      <c r="X354" s="111"/>
      <c r="Y354" s="111"/>
      <c r="Z354" s="105"/>
      <c r="AA354" s="105"/>
      <c r="AB354" s="105"/>
    </row>
    <row r="355" spans="2:28" ht="21" customHeight="1">
      <c r="B355" s="105"/>
      <c r="C355" s="105"/>
      <c r="D355" s="105"/>
      <c r="E355" s="105"/>
      <c r="F355" s="114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11"/>
      <c r="T355" s="111"/>
      <c r="U355" s="111"/>
      <c r="V355" s="111"/>
      <c r="W355" s="111"/>
      <c r="X355" s="111"/>
      <c r="Y355" s="111"/>
      <c r="Z355" s="105"/>
      <c r="AA355" s="105"/>
      <c r="AB355" s="105"/>
    </row>
    <row r="356" spans="2:28" ht="21" customHeight="1">
      <c r="B356" s="105"/>
      <c r="C356" s="105"/>
      <c r="D356" s="105"/>
      <c r="E356" s="105"/>
      <c r="F356" s="114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11"/>
      <c r="T356" s="111"/>
      <c r="U356" s="111"/>
      <c r="V356" s="111"/>
      <c r="W356" s="111"/>
      <c r="X356" s="111"/>
      <c r="Y356" s="111"/>
      <c r="Z356" s="105"/>
      <c r="AA356" s="105"/>
      <c r="AB356" s="105"/>
    </row>
    <row r="357" spans="2:28" ht="21" customHeight="1">
      <c r="B357" s="105"/>
      <c r="C357" s="105"/>
      <c r="D357" s="105"/>
      <c r="E357" s="105"/>
      <c r="F357" s="114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11"/>
      <c r="T357" s="111"/>
      <c r="U357" s="111"/>
      <c r="V357" s="111"/>
      <c r="W357" s="111"/>
      <c r="X357" s="111"/>
      <c r="Y357" s="111"/>
      <c r="Z357" s="105"/>
      <c r="AA357" s="105"/>
      <c r="AB357" s="105"/>
    </row>
    <row r="358" spans="2:28" ht="21" customHeight="1">
      <c r="B358" s="105"/>
      <c r="C358" s="105"/>
      <c r="D358" s="105"/>
      <c r="E358" s="105"/>
      <c r="F358" s="114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11"/>
      <c r="T358" s="111"/>
      <c r="U358" s="111"/>
      <c r="V358" s="111"/>
      <c r="W358" s="111"/>
      <c r="X358" s="111"/>
      <c r="Y358" s="111"/>
      <c r="Z358" s="105"/>
      <c r="AA358" s="105"/>
      <c r="AB358" s="105"/>
    </row>
    <row r="359" spans="2:28" ht="21" customHeight="1">
      <c r="B359" s="105"/>
      <c r="C359" s="105"/>
      <c r="D359" s="105"/>
      <c r="E359" s="105"/>
      <c r="F359" s="114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11"/>
      <c r="T359" s="111"/>
      <c r="U359" s="111"/>
      <c r="V359" s="111"/>
      <c r="W359" s="111"/>
      <c r="X359" s="111"/>
      <c r="Y359" s="111"/>
      <c r="Z359" s="105"/>
      <c r="AA359" s="105"/>
      <c r="AB359" s="105"/>
    </row>
    <row r="360" spans="2:28" ht="21" customHeight="1">
      <c r="B360" s="105"/>
      <c r="C360" s="105"/>
      <c r="D360" s="105"/>
      <c r="E360" s="105"/>
      <c r="F360" s="114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11"/>
      <c r="T360" s="111"/>
      <c r="U360" s="111"/>
      <c r="V360" s="111"/>
      <c r="W360" s="111"/>
      <c r="X360" s="111"/>
      <c r="Y360" s="111"/>
      <c r="Z360" s="105"/>
      <c r="AA360" s="105"/>
      <c r="AB360" s="105"/>
    </row>
    <row r="361" spans="2:28" ht="21" customHeight="1">
      <c r="B361" s="105"/>
      <c r="C361" s="105"/>
      <c r="D361" s="105"/>
      <c r="E361" s="105"/>
      <c r="F361" s="114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11"/>
      <c r="T361" s="111"/>
      <c r="U361" s="111"/>
      <c r="V361" s="111"/>
      <c r="W361" s="111"/>
      <c r="X361" s="111"/>
      <c r="Y361" s="111"/>
      <c r="Z361" s="105"/>
      <c r="AA361" s="105"/>
      <c r="AB361" s="105"/>
    </row>
    <row r="362" spans="2:28" ht="21" customHeight="1">
      <c r="B362" s="105"/>
      <c r="C362" s="105"/>
      <c r="D362" s="105"/>
      <c r="E362" s="105"/>
      <c r="F362" s="114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11"/>
      <c r="T362" s="111"/>
      <c r="U362" s="111"/>
      <c r="V362" s="111"/>
      <c r="W362" s="111"/>
      <c r="X362" s="111"/>
      <c r="Y362" s="111"/>
      <c r="Z362" s="105"/>
      <c r="AA362" s="105"/>
      <c r="AB362" s="105"/>
    </row>
    <row r="363" spans="2:28" ht="21" customHeight="1">
      <c r="B363" s="105"/>
      <c r="C363" s="105"/>
      <c r="D363" s="105"/>
      <c r="E363" s="105"/>
      <c r="F363" s="114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11"/>
      <c r="T363" s="111"/>
      <c r="U363" s="111"/>
      <c r="V363" s="111"/>
      <c r="W363" s="111"/>
      <c r="X363" s="111"/>
      <c r="Y363" s="111"/>
      <c r="Z363" s="105"/>
      <c r="AA363" s="105"/>
      <c r="AB363" s="105"/>
    </row>
    <row r="364" spans="2:28" ht="21" customHeight="1">
      <c r="B364" s="105"/>
      <c r="C364" s="105"/>
      <c r="D364" s="105"/>
      <c r="E364" s="105"/>
      <c r="F364" s="114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11"/>
      <c r="T364" s="111"/>
      <c r="U364" s="111"/>
      <c r="V364" s="111"/>
      <c r="W364" s="111"/>
      <c r="X364" s="111"/>
      <c r="Y364" s="111"/>
      <c r="Z364" s="105"/>
      <c r="AA364" s="105"/>
      <c r="AB364" s="105"/>
    </row>
    <row r="365" spans="2:28" ht="21" customHeight="1">
      <c r="B365" s="105"/>
      <c r="C365" s="105"/>
      <c r="D365" s="105"/>
      <c r="E365" s="105"/>
      <c r="F365" s="114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11"/>
      <c r="T365" s="111"/>
      <c r="U365" s="111"/>
      <c r="V365" s="111"/>
      <c r="W365" s="111"/>
      <c r="X365" s="111"/>
      <c r="Y365" s="111"/>
      <c r="Z365" s="105"/>
      <c r="AA365" s="105"/>
      <c r="AB365" s="105"/>
    </row>
    <row r="366" spans="2:28" ht="21" customHeight="1">
      <c r="B366" s="105"/>
      <c r="C366" s="105"/>
      <c r="D366" s="105"/>
      <c r="E366" s="105"/>
      <c r="F366" s="114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11"/>
      <c r="T366" s="111"/>
      <c r="U366" s="111"/>
      <c r="V366" s="111"/>
      <c r="W366" s="111"/>
      <c r="X366" s="111"/>
      <c r="Y366" s="111"/>
      <c r="Z366" s="105"/>
      <c r="AA366" s="105"/>
      <c r="AB366" s="105"/>
    </row>
    <row r="367" spans="2:28" ht="21" customHeight="1">
      <c r="B367" s="105"/>
      <c r="C367" s="105"/>
      <c r="D367" s="105"/>
      <c r="E367" s="105"/>
      <c r="F367" s="114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11"/>
      <c r="T367" s="111"/>
      <c r="U367" s="111"/>
      <c r="V367" s="111"/>
      <c r="W367" s="111"/>
      <c r="X367" s="111"/>
      <c r="Y367" s="111"/>
      <c r="Z367" s="105"/>
      <c r="AA367" s="105"/>
      <c r="AB367" s="105"/>
    </row>
    <row r="368" spans="2:28" ht="21" customHeight="1">
      <c r="B368" s="105"/>
      <c r="C368" s="105"/>
      <c r="D368" s="105"/>
      <c r="E368" s="105"/>
      <c r="F368" s="114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11"/>
      <c r="T368" s="111"/>
      <c r="U368" s="111"/>
      <c r="V368" s="111"/>
      <c r="W368" s="111"/>
      <c r="X368" s="111"/>
      <c r="Y368" s="111"/>
      <c r="Z368" s="105"/>
      <c r="AA368" s="105"/>
      <c r="AB368" s="105"/>
    </row>
    <row r="369" spans="2:28" ht="21" customHeight="1">
      <c r="B369" s="105"/>
      <c r="C369" s="105"/>
      <c r="D369" s="105"/>
      <c r="E369" s="105"/>
      <c r="F369" s="114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11"/>
      <c r="T369" s="111"/>
      <c r="U369" s="111"/>
      <c r="V369" s="111"/>
      <c r="W369" s="111"/>
      <c r="X369" s="111"/>
      <c r="Y369" s="111"/>
      <c r="Z369" s="105"/>
      <c r="AA369" s="105"/>
      <c r="AB369" s="105"/>
    </row>
    <row r="370" spans="2:28" ht="21" customHeight="1">
      <c r="B370" s="105"/>
      <c r="C370" s="105"/>
      <c r="D370" s="105"/>
      <c r="E370" s="105"/>
      <c r="F370" s="114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11"/>
      <c r="T370" s="111"/>
      <c r="U370" s="111"/>
      <c r="V370" s="111"/>
      <c r="W370" s="111"/>
      <c r="X370" s="111"/>
      <c r="Y370" s="111"/>
      <c r="Z370" s="105"/>
      <c r="AA370" s="105"/>
      <c r="AB370" s="105"/>
    </row>
    <row r="371" spans="2:28" ht="21" customHeight="1">
      <c r="B371" s="105"/>
      <c r="C371" s="105"/>
      <c r="D371" s="105"/>
      <c r="E371" s="105"/>
      <c r="F371" s="114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11"/>
      <c r="T371" s="111"/>
      <c r="U371" s="111"/>
      <c r="V371" s="111"/>
      <c r="W371" s="111"/>
      <c r="X371" s="111"/>
      <c r="Y371" s="111"/>
      <c r="Z371" s="105"/>
      <c r="AA371" s="105"/>
      <c r="AB371" s="105"/>
    </row>
    <row r="372" spans="2:28" ht="21" customHeight="1">
      <c r="B372" s="105"/>
      <c r="C372" s="105"/>
      <c r="D372" s="105"/>
      <c r="E372" s="105"/>
      <c r="F372" s="114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11"/>
      <c r="T372" s="111"/>
      <c r="U372" s="111"/>
      <c r="V372" s="111"/>
      <c r="W372" s="111"/>
      <c r="X372" s="111"/>
      <c r="Y372" s="111"/>
      <c r="Z372" s="105"/>
      <c r="AA372" s="105"/>
      <c r="AB372" s="105"/>
    </row>
    <row r="373" spans="2:28" ht="21" customHeight="1">
      <c r="B373" s="105"/>
      <c r="C373" s="105"/>
      <c r="D373" s="105"/>
      <c r="E373" s="105"/>
      <c r="F373" s="114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11"/>
      <c r="T373" s="111"/>
      <c r="U373" s="111"/>
      <c r="V373" s="111"/>
      <c r="W373" s="111"/>
      <c r="X373" s="111"/>
      <c r="Y373" s="111"/>
      <c r="Z373" s="105"/>
      <c r="AA373" s="105"/>
      <c r="AB373" s="105"/>
    </row>
    <row r="374" spans="2:28" ht="21" customHeight="1">
      <c r="B374" s="105"/>
      <c r="C374" s="105"/>
      <c r="D374" s="105"/>
      <c r="E374" s="105"/>
      <c r="F374" s="114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11"/>
      <c r="T374" s="111"/>
      <c r="U374" s="111"/>
      <c r="V374" s="111"/>
      <c r="W374" s="111"/>
      <c r="X374" s="111"/>
      <c r="Y374" s="111"/>
      <c r="Z374" s="105"/>
      <c r="AA374" s="105"/>
      <c r="AB374" s="105"/>
    </row>
    <row r="375" spans="2:28" ht="21" customHeight="1">
      <c r="B375" s="105"/>
      <c r="C375" s="105"/>
      <c r="D375" s="105"/>
      <c r="E375" s="105"/>
      <c r="F375" s="114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11"/>
      <c r="T375" s="111"/>
      <c r="U375" s="111"/>
      <c r="V375" s="111"/>
      <c r="W375" s="111"/>
      <c r="X375" s="111"/>
      <c r="Y375" s="111"/>
      <c r="Z375" s="105"/>
      <c r="AA375" s="105"/>
      <c r="AB375" s="105"/>
    </row>
    <row r="376" spans="2:28" ht="21" customHeight="1">
      <c r="B376" s="105"/>
      <c r="C376" s="105"/>
      <c r="D376" s="105"/>
      <c r="E376" s="105"/>
      <c r="F376" s="114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11"/>
      <c r="T376" s="111"/>
      <c r="U376" s="111"/>
      <c r="V376" s="111"/>
      <c r="W376" s="111"/>
      <c r="X376" s="111"/>
      <c r="Y376" s="111"/>
      <c r="Z376" s="105"/>
      <c r="AA376" s="105"/>
      <c r="AB376" s="105"/>
    </row>
    <row r="377" spans="2:28" ht="21" customHeight="1">
      <c r="B377" s="105"/>
      <c r="C377" s="105"/>
      <c r="D377" s="105"/>
      <c r="E377" s="105"/>
      <c r="F377" s="114"/>
      <c r="G377" s="105"/>
      <c r="H377" s="105">
        <f>295000*1.18</f>
        <v>348100</v>
      </c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11"/>
      <c r="T377" s="111"/>
      <c r="U377" s="111"/>
      <c r="V377" s="111"/>
      <c r="W377" s="111"/>
      <c r="X377" s="111"/>
      <c r="Y377" s="111"/>
      <c r="Z377" s="105"/>
      <c r="AA377" s="105"/>
      <c r="AB377" s="105"/>
    </row>
    <row r="378" spans="2:28" ht="21" customHeight="1">
      <c r="B378" s="105"/>
      <c r="C378" s="105"/>
      <c r="D378" s="105"/>
      <c r="E378" s="105"/>
      <c r="F378" s="114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11"/>
      <c r="T378" s="111"/>
      <c r="U378" s="111"/>
      <c r="V378" s="111"/>
      <c r="W378" s="111"/>
      <c r="X378" s="111"/>
      <c r="Y378" s="111"/>
      <c r="Z378" s="105"/>
      <c r="AA378" s="105"/>
      <c r="AB378" s="105"/>
    </row>
    <row r="379" spans="2:28" ht="21" customHeight="1">
      <c r="B379" s="105"/>
      <c r="C379" s="105"/>
      <c r="D379" s="105"/>
      <c r="E379" s="105"/>
      <c r="F379" s="114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11"/>
      <c r="T379" s="111"/>
      <c r="U379" s="111"/>
      <c r="V379" s="111"/>
      <c r="W379" s="111"/>
      <c r="X379" s="111"/>
      <c r="Y379" s="111"/>
      <c r="Z379" s="105"/>
      <c r="AA379" s="105"/>
      <c r="AB379" s="105"/>
    </row>
    <row r="380" spans="2:28" ht="21" customHeight="1">
      <c r="B380" s="105"/>
      <c r="C380" s="105"/>
      <c r="D380" s="105"/>
      <c r="E380" s="105"/>
      <c r="F380" s="114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11"/>
      <c r="T380" s="111"/>
      <c r="U380" s="111"/>
      <c r="V380" s="111"/>
      <c r="W380" s="111"/>
      <c r="X380" s="111"/>
      <c r="Y380" s="111"/>
      <c r="Z380" s="105"/>
      <c r="AA380" s="105"/>
      <c r="AB380" s="105"/>
    </row>
    <row r="381" spans="2:28" ht="21" customHeight="1">
      <c r="B381" s="105"/>
      <c r="C381" s="105"/>
      <c r="D381" s="105"/>
      <c r="E381" s="105"/>
      <c r="F381" s="114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11"/>
      <c r="T381" s="111"/>
      <c r="U381" s="111"/>
      <c r="V381" s="111"/>
      <c r="W381" s="111"/>
      <c r="X381" s="111"/>
      <c r="Y381" s="111"/>
      <c r="Z381" s="105"/>
      <c r="AA381" s="105"/>
      <c r="AB381" s="105"/>
    </row>
    <row r="382" spans="2:28" ht="21" customHeight="1">
      <c r="B382" s="105"/>
      <c r="C382" s="105"/>
      <c r="D382" s="105"/>
      <c r="E382" s="105"/>
      <c r="F382" s="114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11"/>
      <c r="T382" s="111"/>
      <c r="U382" s="111"/>
      <c r="V382" s="111"/>
      <c r="W382" s="111"/>
      <c r="X382" s="111"/>
      <c r="Y382" s="111"/>
      <c r="Z382" s="105"/>
      <c r="AA382" s="105"/>
      <c r="AB382" s="105"/>
    </row>
    <row r="383" spans="2:28" ht="21" customHeight="1">
      <c r="B383" s="105"/>
      <c r="C383" s="105"/>
      <c r="D383" s="105"/>
      <c r="E383" s="105"/>
      <c r="F383" s="114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11"/>
      <c r="T383" s="111"/>
      <c r="U383" s="111"/>
      <c r="V383" s="111"/>
      <c r="W383" s="111"/>
      <c r="X383" s="111"/>
      <c r="Y383" s="111"/>
      <c r="Z383" s="105"/>
      <c r="AA383" s="105"/>
      <c r="AB383" s="105"/>
    </row>
    <row r="384" spans="2:28" ht="21" customHeight="1">
      <c r="B384" s="105"/>
      <c r="C384" s="105"/>
      <c r="D384" s="105"/>
      <c r="E384" s="105"/>
      <c r="F384" s="114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11"/>
      <c r="T384" s="111"/>
      <c r="U384" s="111"/>
      <c r="V384" s="111"/>
      <c r="W384" s="111"/>
      <c r="X384" s="111"/>
      <c r="Y384" s="111"/>
      <c r="Z384" s="105"/>
      <c r="AA384" s="105"/>
      <c r="AB384" s="105"/>
    </row>
    <row r="385" spans="2:28" ht="21" customHeight="1">
      <c r="B385" s="105"/>
      <c r="C385" s="105"/>
      <c r="D385" s="105"/>
      <c r="E385" s="105"/>
      <c r="F385" s="114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11"/>
      <c r="T385" s="111"/>
      <c r="U385" s="111"/>
      <c r="V385" s="111"/>
      <c r="W385" s="111"/>
      <c r="X385" s="111"/>
      <c r="Y385" s="111"/>
      <c r="Z385" s="105"/>
      <c r="AA385" s="105"/>
      <c r="AB385" s="105"/>
    </row>
    <row r="386" spans="2:28" ht="21" customHeight="1">
      <c r="B386" s="105"/>
      <c r="C386" s="105"/>
      <c r="D386" s="105"/>
      <c r="E386" s="105"/>
      <c r="F386" s="114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11"/>
      <c r="T386" s="111"/>
      <c r="U386" s="111"/>
      <c r="V386" s="111"/>
      <c r="W386" s="111"/>
      <c r="X386" s="111"/>
      <c r="Y386" s="111"/>
      <c r="Z386" s="105"/>
      <c r="AA386" s="105"/>
      <c r="AB386" s="105"/>
    </row>
    <row r="387" spans="2:28" ht="21" customHeight="1">
      <c r="B387" s="105"/>
      <c r="C387" s="105"/>
      <c r="D387" s="105"/>
      <c r="E387" s="105"/>
      <c r="F387" s="114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11"/>
      <c r="T387" s="111"/>
      <c r="U387" s="111"/>
      <c r="V387" s="111"/>
      <c r="W387" s="111"/>
      <c r="X387" s="111"/>
      <c r="Y387" s="111"/>
      <c r="Z387" s="105"/>
      <c r="AA387" s="105"/>
      <c r="AB387" s="105"/>
    </row>
    <row r="388" spans="2:28" ht="21" customHeight="1">
      <c r="B388" s="105"/>
      <c r="C388" s="105"/>
      <c r="D388" s="105"/>
      <c r="E388" s="105"/>
      <c r="F388" s="114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11"/>
      <c r="T388" s="111"/>
      <c r="U388" s="111"/>
      <c r="V388" s="111"/>
      <c r="W388" s="111"/>
      <c r="X388" s="111"/>
      <c r="Y388" s="111"/>
      <c r="Z388" s="105"/>
      <c r="AA388" s="105"/>
      <c r="AB388" s="105"/>
    </row>
    <row r="389" spans="2:28" ht="21" customHeight="1">
      <c r="B389" s="105"/>
      <c r="C389" s="105"/>
      <c r="D389" s="105"/>
      <c r="E389" s="105"/>
      <c r="F389" s="114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11"/>
      <c r="T389" s="111"/>
      <c r="U389" s="111"/>
      <c r="V389" s="111"/>
      <c r="W389" s="111"/>
      <c r="X389" s="111"/>
      <c r="Y389" s="111"/>
      <c r="Z389" s="105"/>
      <c r="AA389" s="105"/>
      <c r="AB389" s="105"/>
    </row>
    <row r="390" spans="2:28" ht="21" customHeight="1">
      <c r="B390" s="105"/>
      <c r="C390" s="105"/>
      <c r="D390" s="105"/>
      <c r="E390" s="105"/>
      <c r="F390" s="114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11"/>
      <c r="T390" s="111"/>
      <c r="U390" s="111"/>
      <c r="V390" s="111"/>
      <c r="W390" s="111"/>
      <c r="X390" s="111"/>
      <c r="Y390" s="111"/>
      <c r="Z390" s="105"/>
      <c r="AA390" s="105"/>
      <c r="AB390" s="105"/>
    </row>
    <row r="391" spans="2:28" ht="21" customHeight="1">
      <c r="B391" s="105"/>
      <c r="C391" s="105"/>
      <c r="D391" s="105"/>
      <c r="E391" s="105"/>
      <c r="F391" s="114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11"/>
      <c r="T391" s="111"/>
      <c r="U391" s="111"/>
      <c r="V391" s="111"/>
      <c r="W391" s="111"/>
      <c r="X391" s="111"/>
      <c r="Y391" s="111"/>
      <c r="Z391" s="105"/>
      <c r="AA391" s="105"/>
      <c r="AB391" s="105"/>
    </row>
    <row r="392" spans="2:28" ht="21" customHeight="1">
      <c r="B392" s="105"/>
      <c r="C392" s="105"/>
      <c r="D392" s="105"/>
      <c r="E392" s="105"/>
      <c r="F392" s="114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11"/>
      <c r="T392" s="111"/>
      <c r="U392" s="111"/>
      <c r="V392" s="111"/>
      <c r="W392" s="111"/>
      <c r="X392" s="111"/>
      <c r="Y392" s="111"/>
      <c r="Z392" s="105"/>
      <c r="AA392" s="105"/>
      <c r="AB392" s="105"/>
    </row>
    <row r="393" spans="2:28" ht="21" customHeight="1">
      <c r="B393" s="105"/>
      <c r="C393" s="105"/>
      <c r="D393" s="105"/>
      <c r="E393" s="105"/>
      <c r="F393" s="114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11"/>
      <c r="T393" s="111"/>
      <c r="U393" s="111"/>
      <c r="V393" s="111"/>
      <c r="W393" s="111"/>
      <c r="X393" s="111"/>
      <c r="Y393" s="111"/>
      <c r="Z393" s="105"/>
      <c r="AA393" s="105"/>
      <c r="AB393" s="105"/>
    </row>
    <row r="394" spans="2:28" ht="21" customHeight="1">
      <c r="B394" s="105"/>
      <c r="C394" s="105"/>
      <c r="D394" s="105"/>
      <c r="E394" s="105"/>
      <c r="F394" s="114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11"/>
      <c r="T394" s="111"/>
      <c r="U394" s="111"/>
      <c r="V394" s="111"/>
      <c r="W394" s="111"/>
      <c r="X394" s="111"/>
      <c r="Y394" s="111"/>
      <c r="Z394" s="105"/>
      <c r="AA394" s="105"/>
      <c r="AB394" s="105"/>
    </row>
    <row r="395" spans="2:28" ht="21" customHeight="1">
      <c r="B395" s="105"/>
      <c r="C395" s="105"/>
      <c r="D395" s="105"/>
      <c r="E395" s="105"/>
      <c r="F395" s="114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11"/>
      <c r="T395" s="111"/>
      <c r="U395" s="111"/>
      <c r="V395" s="111"/>
      <c r="W395" s="111"/>
      <c r="X395" s="111"/>
      <c r="Y395" s="111"/>
      <c r="Z395" s="105"/>
      <c r="AA395" s="105"/>
      <c r="AB395" s="105"/>
    </row>
    <row r="396" spans="2:28" ht="21" customHeight="1">
      <c r="B396" s="105"/>
      <c r="C396" s="105"/>
      <c r="D396" s="105"/>
      <c r="E396" s="105"/>
      <c r="F396" s="114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11"/>
      <c r="T396" s="111"/>
      <c r="U396" s="111"/>
      <c r="V396" s="111"/>
      <c r="W396" s="111"/>
      <c r="X396" s="111"/>
      <c r="Y396" s="111"/>
      <c r="Z396" s="105"/>
      <c r="AA396" s="105"/>
      <c r="AB396" s="105"/>
    </row>
    <row r="397" spans="2:28" ht="21" customHeight="1">
      <c r="B397" s="105"/>
      <c r="C397" s="105"/>
      <c r="D397" s="105"/>
      <c r="E397" s="105"/>
      <c r="F397" s="114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11"/>
      <c r="T397" s="111"/>
      <c r="U397" s="111"/>
      <c r="V397" s="111"/>
      <c r="W397" s="111"/>
      <c r="X397" s="111"/>
      <c r="Y397" s="111"/>
      <c r="Z397" s="105"/>
      <c r="AA397" s="105"/>
      <c r="AB397" s="105"/>
    </row>
    <row r="398" spans="2:28" ht="21" customHeight="1">
      <c r="B398" s="105"/>
      <c r="C398" s="105"/>
      <c r="D398" s="105"/>
      <c r="E398" s="105"/>
      <c r="F398" s="114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11"/>
      <c r="T398" s="111"/>
      <c r="U398" s="111"/>
      <c r="V398" s="111"/>
      <c r="W398" s="111"/>
      <c r="X398" s="111"/>
      <c r="Y398" s="111"/>
      <c r="Z398" s="105"/>
      <c r="AA398" s="105"/>
      <c r="AB398" s="105"/>
    </row>
    <row r="399" spans="2:28" ht="21" customHeight="1">
      <c r="B399" s="105"/>
      <c r="C399" s="105"/>
      <c r="D399" s="105"/>
      <c r="E399" s="105"/>
      <c r="F399" s="114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11"/>
      <c r="T399" s="111"/>
      <c r="U399" s="111"/>
      <c r="V399" s="111"/>
      <c r="W399" s="111"/>
      <c r="X399" s="111"/>
      <c r="Y399" s="111"/>
      <c r="Z399" s="105"/>
      <c r="AA399" s="105"/>
      <c r="AB399" s="105"/>
    </row>
    <row r="400" spans="2:28" ht="21" customHeight="1">
      <c r="B400" s="105"/>
      <c r="C400" s="105"/>
      <c r="D400" s="105"/>
      <c r="E400" s="105"/>
      <c r="F400" s="114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11"/>
      <c r="T400" s="111"/>
      <c r="U400" s="111"/>
      <c r="V400" s="111"/>
      <c r="W400" s="111"/>
      <c r="X400" s="111"/>
      <c r="Y400" s="111"/>
      <c r="Z400" s="105"/>
      <c r="AA400" s="105"/>
      <c r="AB400" s="105"/>
    </row>
    <row r="401" spans="2:28" ht="21" customHeight="1">
      <c r="B401" s="105"/>
      <c r="C401" s="105"/>
      <c r="D401" s="105"/>
      <c r="E401" s="105"/>
      <c r="F401" s="114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11"/>
      <c r="T401" s="111"/>
      <c r="U401" s="111"/>
      <c r="V401" s="111"/>
      <c r="W401" s="111"/>
      <c r="X401" s="111"/>
      <c r="Y401" s="111"/>
      <c r="Z401" s="105"/>
      <c r="AA401" s="105"/>
      <c r="AB401" s="105"/>
    </row>
    <row r="402" spans="2:28" ht="21" customHeight="1">
      <c r="B402" s="105"/>
      <c r="C402" s="105"/>
      <c r="D402" s="105"/>
      <c r="E402" s="105"/>
      <c r="F402" s="114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11"/>
      <c r="T402" s="111"/>
      <c r="U402" s="111"/>
      <c r="V402" s="111"/>
      <c r="W402" s="111"/>
      <c r="X402" s="111"/>
      <c r="Y402" s="111"/>
      <c r="Z402" s="105"/>
      <c r="AA402" s="105"/>
      <c r="AB402" s="105"/>
    </row>
    <row r="403" spans="2:28" ht="21" customHeight="1">
      <c r="B403" s="105"/>
      <c r="C403" s="105"/>
      <c r="D403" s="105"/>
      <c r="E403" s="105"/>
      <c r="F403" s="114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11"/>
      <c r="T403" s="111"/>
      <c r="U403" s="111"/>
      <c r="V403" s="111"/>
      <c r="W403" s="111"/>
      <c r="X403" s="111"/>
      <c r="Y403" s="111"/>
      <c r="Z403" s="105"/>
      <c r="AA403" s="105"/>
      <c r="AB403" s="105"/>
    </row>
    <row r="404" spans="2:28" ht="21" customHeight="1">
      <c r="B404" s="105"/>
      <c r="C404" s="105"/>
      <c r="D404" s="105"/>
      <c r="E404" s="105"/>
      <c r="F404" s="114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11"/>
      <c r="T404" s="111"/>
      <c r="U404" s="111"/>
      <c r="V404" s="111"/>
      <c r="W404" s="111"/>
      <c r="X404" s="111"/>
      <c r="Y404" s="111"/>
      <c r="Z404" s="105"/>
      <c r="AA404" s="105"/>
      <c r="AB404" s="105"/>
    </row>
    <row r="405" spans="2:28" ht="21" customHeight="1">
      <c r="B405" s="105"/>
      <c r="C405" s="105"/>
      <c r="D405" s="105"/>
      <c r="E405" s="105"/>
      <c r="F405" s="114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11"/>
      <c r="T405" s="111"/>
      <c r="U405" s="111"/>
      <c r="V405" s="111"/>
      <c r="W405" s="111"/>
      <c r="X405" s="111"/>
      <c r="Y405" s="111"/>
      <c r="Z405" s="105"/>
      <c r="AA405" s="105"/>
      <c r="AB405" s="105"/>
    </row>
    <row r="406" spans="2:28" ht="21" customHeight="1">
      <c r="B406" s="105"/>
      <c r="C406" s="105"/>
      <c r="D406" s="105"/>
      <c r="E406" s="105"/>
      <c r="F406" s="114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11"/>
      <c r="T406" s="111"/>
      <c r="U406" s="111"/>
      <c r="V406" s="111"/>
      <c r="W406" s="111"/>
      <c r="X406" s="111"/>
      <c r="Y406" s="111"/>
      <c r="Z406" s="105"/>
      <c r="AA406" s="105"/>
      <c r="AB406" s="105"/>
    </row>
    <row r="407" spans="2:28" ht="21" customHeight="1">
      <c r="B407" s="105"/>
      <c r="C407" s="105"/>
      <c r="D407" s="105"/>
      <c r="E407" s="105"/>
      <c r="F407" s="114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11"/>
      <c r="T407" s="111"/>
      <c r="U407" s="111"/>
      <c r="V407" s="111"/>
      <c r="W407" s="111"/>
      <c r="X407" s="111"/>
      <c r="Y407" s="111"/>
      <c r="Z407" s="105"/>
      <c r="AA407" s="105"/>
      <c r="AB407" s="105"/>
    </row>
    <row r="408" spans="2:28" ht="21" customHeight="1">
      <c r="B408" s="105"/>
      <c r="C408" s="105"/>
      <c r="D408" s="105"/>
      <c r="E408" s="105"/>
      <c r="F408" s="114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11"/>
      <c r="T408" s="111"/>
      <c r="U408" s="111"/>
      <c r="V408" s="111"/>
      <c r="W408" s="111"/>
      <c r="X408" s="111"/>
      <c r="Y408" s="111"/>
      <c r="Z408" s="105"/>
      <c r="AA408" s="105"/>
      <c r="AB408" s="105"/>
    </row>
    <row r="409" spans="2:28" ht="21" customHeight="1">
      <c r="B409" s="105"/>
      <c r="C409" s="105"/>
      <c r="D409" s="105"/>
      <c r="E409" s="105"/>
      <c r="F409" s="114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11"/>
      <c r="T409" s="111"/>
      <c r="U409" s="111"/>
      <c r="V409" s="111"/>
      <c r="W409" s="111"/>
      <c r="X409" s="111"/>
      <c r="Y409" s="111"/>
      <c r="Z409" s="105"/>
      <c r="AA409" s="105"/>
      <c r="AB409" s="105"/>
    </row>
    <row r="410" spans="2:28" ht="21" customHeight="1">
      <c r="B410" s="105"/>
      <c r="C410" s="105"/>
      <c r="D410" s="105"/>
      <c r="E410" s="105"/>
      <c r="F410" s="114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11"/>
      <c r="T410" s="111"/>
      <c r="U410" s="111"/>
      <c r="V410" s="111"/>
      <c r="W410" s="111"/>
      <c r="X410" s="111"/>
      <c r="Y410" s="111"/>
      <c r="Z410" s="105"/>
      <c r="AA410" s="105"/>
      <c r="AB410" s="105"/>
    </row>
    <row r="411" spans="2:28" ht="21" customHeight="1">
      <c r="B411" s="105"/>
      <c r="C411" s="105"/>
      <c r="D411" s="105"/>
      <c r="E411" s="105"/>
      <c r="F411" s="114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11"/>
      <c r="T411" s="111"/>
      <c r="U411" s="111"/>
      <c r="V411" s="111"/>
      <c r="W411" s="111"/>
      <c r="X411" s="111"/>
      <c r="Y411" s="111"/>
      <c r="Z411" s="105"/>
      <c r="AA411" s="105"/>
      <c r="AB411" s="105"/>
    </row>
    <row r="412" spans="2:28" ht="21" customHeight="1">
      <c r="B412" s="105"/>
      <c r="C412" s="105"/>
      <c r="D412" s="105"/>
      <c r="E412" s="105"/>
      <c r="F412" s="114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11"/>
      <c r="T412" s="111"/>
      <c r="U412" s="111"/>
      <c r="V412" s="111"/>
      <c r="W412" s="111"/>
      <c r="X412" s="111"/>
      <c r="Y412" s="111"/>
      <c r="Z412" s="105"/>
      <c r="AA412" s="105"/>
      <c r="AB412" s="105"/>
    </row>
    <row r="413" spans="2:28" ht="21" customHeight="1">
      <c r="B413" s="105"/>
      <c r="C413" s="105"/>
      <c r="D413" s="105"/>
      <c r="E413" s="105"/>
      <c r="F413" s="114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11"/>
      <c r="T413" s="111"/>
      <c r="U413" s="111"/>
      <c r="V413" s="111"/>
      <c r="W413" s="111"/>
      <c r="X413" s="111"/>
      <c r="Y413" s="111"/>
      <c r="Z413" s="105"/>
      <c r="AA413" s="105"/>
      <c r="AB413" s="105"/>
    </row>
    <row r="414" spans="2:28" ht="21" customHeight="1">
      <c r="B414" s="105"/>
      <c r="C414" s="105"/>
      <c r="D414" s="105"/>
      <c r="E414" s="105"/>
      <c r="F414" s="114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11"/>
      <c r="T414" s="111"/>
      <c r="U414" s="111"/>
      <c r="V414" s="111"/>
      <c r="W414" s="111"/>
      <c r="X414" s="111"/>
      <c r="Y414" s="111"/>
      <c r="Z414" s="105"/>
      <c r="AA414" s="105"/>
      <c r="AB414" s="105"/>
    </row>
    <row r="415" spans="2:28" ht="21" customHeight="1">
      <c r="B415" s="105"/>
      <c r="C415" s="105"/>
      <c r="D415" s="105"/>
      <c r="E415" s="105"/>
      <c r="F415" s="114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11"/>
      <c r="T415" s="111"/>
      <c r="U415" s="111"/>
      <c r="V415" s="111"/>
      <c r="W415" s="111"/>
      <c r="X415" s="111"/>
      <c r="Y415" s="111"/>
      <c r="Z415" s="105"/>
      <c r="AA415" s="105"/>
      <c r="AB415" s="105"/>
    </row>
    <row r="416" spans="2:28" ht="21" customHeight="1">
      <c r="B416" s="105"/>
      <c r="C416" s="105"/>
      <c r="D416" s="105"/>
      <c r="E416" s="105"/>
      <c r="F416" s="114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11"/>
      <c r="T416" s="111"/>
      <c r="U416" s="111"/>
      <c r="V416" s="111"/>
      <c r="W416" s="111"/>
      <c r="X416" s="111"/>
      <c r="Y416" s="111"/>
      <c r="Z416" s="105"/>
      <c r="AA416" s="105"/>
      <c r="AB416" s="105"/>
    </row>
    <row r="417" spans="2:28" ht="21" customHeight="1">
      <c r="B417" s="105"/>
      <c r="C417" s="105"/>
      <c r="D417" s="105"/>
      <c r="E417" s="105"/>
      <c r="F417" s="114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11"/>
      <c r="T417" s="111"/>
      <c r="U417" s="111"/>
      <c r="V417" s="111"/>
      <c r="W417" s="111"/>
      <c r="X417" s="111"/>
      <c r="Y417" s="111"/>
      <c r="Z417" s="105"/>
      <c r="AA417" s="105"/>
      <c r="AB417" s="105"/>
    </row>
    <row r="418" spans="2:28" ht="21" customHeight="1">
      <c r="B418" s="105"/>
      <c r="C418" s="105"/>
      <c r="D418" s="105"/>
      <c r="E418" s="105"/>
      <c r="F418" s="114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11"/>
      <c r="T418" s="111"/>
      <c r="U418" s="111"/>
      <c r="V418" s="111"/>
      <c r="W418" s="111"/>
      <c r="X418" s="111"/>
      <c r="Y418" s="111"/>
      <c r="Z418" s="105"/>
      <c r="AA418" s="105"/>
      <c r="AB418" s="105"/>
    </row>
    <row r="419" spans="2:28" ht="21" customHeight="1">
      <c r="B419" s="105"/>
      <c r="C419" s="105"/>
      <c r="D419" s="105"/>
      <c r="E419" s="105"/>
      <c r="F419" s="114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11"/>
      <c r="T419" s="111"/>
      <c r="U419" s="111"/>
      <c r="V419" s="111"/>
      <c r="W419" s="111"/>
      <c r="X419" s="111"/>
      <c r="Y419" s="111"/>
      <c r="Z419" s="105"/>
      <c r="AA419" s="105"/>
      <c r="AB419" s="105"/>
    </row>
    <row r="420" spans="2:28" ht="21" customHeight="1">
      <c r="B420" s="105"/>
      <c r="C420" s="105"/>
      <c r="D420" s="105"/>
      <c r="E420" s="105"/>
      <c r="F420" s="114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11"/>
      <c r="T420" s="111"/>
      <c r="U420" s="111"/>
      <c r="V420" s="111"/>
      <c r="W420" s="111"/>
      <c r="X420" s="111"/>
      <c r="Y420" s="111"/>
      <c r="Z420" s="105"/>
      <c r="AA420" s="105"/>
      <c r="AB420" s="105"/>
    </row>
    <row r="421" spans="2:28" ht="21" customHeight="1">
      <c r="B421" s="105"/>
      <c r="C421" s="105"/>
      <c r="D421" s="105"/>
      <c r="E421" s="105"/>
      <c r="F421" s="114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11"/>
      <c r="T421" s="111"/>
      <c r="U421" s="111"/>
      <c r="V421" s="111"/>
      <c r="W421" s="111"/>
      <c r="X421" s="111"/>
      <c r="Y421" s="111"/>
      <c r="Z421" s="105"/>
      <c r="AA421" s="105"/>
      <c r="AB421" s="105"/>
    </row>
    <row r="422" spans="2:28" ht="21" customHeight="1">
      <c r="B422" s="105"/>
      <c r="C422" s="105"/>
      <c r="D422" s="105"/>
      <c r="E422" s="105"/>
      <c r="F422" s="114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11"/>
      <c r="T422" s="111"/>
      <c r="U422" s="111"/>
      <c r="V422" s="111"/>
      <c r="W422" s="111"/>
      <c r="X422" s="111"/>
      <c r="Y422" s="111"/>
      <c r="Z422" s="105"/>
      <c r="AA422" s="105"/>
      <c r="AB422" s="105"/>
    </row>
    <row r="423" spans="2:28" ht="21" customHeight="1">
      <c r="B423" s="105"/>
      <c r="C423" s="105"/>
      <c r="D423" s="105"/>
      <c r="E423" s="105"/>
      <c r="F423" s="114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11"/>
      <c r="T423" s="111"/>
      <c r="U423" s="111"/>
      <c r="V423" s="111"/>
      <c r="W423" s="111"/>
      <c r="X423" s="111"/>
      <c r="Y423" s="111"/>
      <c r="Z423" s="105"/>
      <c r="AA423" s="105"/>
      <c r="AB423" s="105"/>
    </row>
    <row r="424" spans="2:28" ht="21" customHeight="1">
      <c r="B424" s="105"/>
      <c r="C424" s="105"/>
      <c r="D424" s="105"/>
      <c r="E424" s="105"/>
      <c r="F424" s="114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11"/>
      <c r="T424" s="111"/>
      <c r="U424" s="111"/>
      <c r="V424" s="111"/>
      <c r="W424" s="111"/>
      <c r="X424" s="111"/>
      <c r="Y424" s="111"/>
      <c r="Z424" s="105"/>
      <c r="AA424" s="105"/>
      <c r="AB424" s="105"/>
    </row>
    <row r="425" spans="2:28" ht="21" customHeight="1">
      <c r="B425" s="105"/>
      <c r="C425" s="105"/>
      <c r="D425" s="105"/>
      <c r="E425" s="105"/>
      <c r="F425" s="114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11"/>
      <c r="T425" s="111"/>
      <c r="U425" s="111"/>
      <c r="V425" s="111"/>
      <c r="W425" s="111"/>
      <c r="X425" s="111"/>
      <c r="Y425" s="111"/>
      <c r="Z425" s="105"/>
      <c r="AA425" s="105"/>
      <c r="AB425" s="105"/>
    </row>
    <row r="426" spans="2:28" ht="21" customHeight="1">
      <c r="B426" s="105"/>
      <c r="C426" s="105"/>
      <c r="D426" s="105"/>
      <c r="E426" s="105"/>
      <c r="F426" s="114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11"/>
      <c r="T426" s="111"/>
      <c r="U426" s="111"/>
      <c r="V426" s="111"/>
      <c r="W426" s="111"/>
      <c r="X426" s="111"/>
      <c r="Y426" s="111"/>
      <c r="Z426" s="105"/>
      <c r="AA426" s="105"/>
      <c r="AB426" s="105"/>
    </row>
    <row r="427" spans="2:28" ht="21" customHeight="1">
      <c r="B427" s="105"/>
      <c r="C427" s="105"/>
      <c r="D427" s="105"/>
      <c r="E427" s="105"/>
      <c r="F427" s="114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11"/>
      <c r="T427" s="111"/>
      <c r="U427" s="111"/>
      <c r="V427" s="111"/>
      <c r="W427" s="111"/>
      <c r="X427" s="111"/>
      <c r="Y427" s="111"/>
      <c r="Z427" s="105"/>
      <c r="AA427" s="105"/>
      <c r="AB427" s="105"/>
    </row>
    <row r="428" spans="2:28" ht="21" customHeight="1">
      <c r="B428" s="105"/>
      <c r="C428" s="105"/>
      <c r="D428" s="105"/>
      <c r="E428" s="105"/>
      <c r="F428" s="114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11"/>
      <c r="T428" s="111"/>
      <c r="U428" s="111"/>
      <c r="V428" s="111"/>
      <c r="W428" s="111"/>
      <c r="X428" s="111"/>
      <c r="Y428" s="111"/>
      <c r="Z428" s="105"/>
      <c r="AA428" s="105"/>
      <c r="AB428" s="105"/>
    </row>
    <row r="429" spans="2:28" ht="21" customHeight="1">
      <c r="B429" s="105"/>
      <c r="C429" s="105"/>
      <c r="D429" s="105"/>
      <c r="E429" s="105"/>
      <c r="F429" s="114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11"/>
      <c r="T429" s="111"/>
      <c r="U429" s="111"/>
      <c r="V429" s="111"/>
      <c r="W429" s="111"/>
      <c r="X429" s="111"/>
      <c r="Y429" s="111"/>
      <c r="Z429" s="105"/>
      <c r="AA429" s="105"/>
      <c r="AB429" s="105"/>
    </row>
    <row r="430" spans="2:28" ht="21" customHeight="1">
      <c r="B430" s="105"/>
      <c r="C430" s="105"/>
      <c r="D430" s="105"/>
      <c r="E430" s="105"/>
      <c r="F430" s="114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11"/>
      <c r="T430" s="111"/>
      <c r="U430" s="111"/>
      <c r="V430" s="111"/>
      <c r="W430" s="111"/>
      <c r="X430" s="111"/>
      <c r="Y430" s="111"/>
      <c r="Z430" s="105"/>
      <c r="AA430" s="105"/>
      <c r="AB430" s="105"/>
    </row>
    <row r="431" spans="2:28" ht="21" customHeight="1">
      <c r="B431" s="105"/>
      <c r="C431" s="105"/>
      <c r="D431" s="105"/>
      <c r="E431" s="105"/>
      <c r="F431" s="114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11"/>
      <c r="T431" s="111"/>
      <c r="U431" s="111"/>
      <c r="V431" s="111"/>
      <c r="W431" s="111"/>
      <c r="X431" s="111"/>
      <c r="Y431" s="111"/>
      <c r="Z431" s="105"/>
      <c r="AA431" s="105"/>
      <c r="AB431" s="105"/>
    </row>
    <row r="432" spans="2:28" ht="21" customHeight="1">
      <c r="B432" s="105"/>
      <c r="C432" s="105"/>
      <c r="D432" s="105"/>
      <c r="E432" s="105"/>
      <c r="F432" s="114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11"/>
      <c r="T432" s="111"/>
      <c r="U432" s="111"/>
      <c r="V432" s="111"/>
      <c r="W432" s="111"/>
      <c r="X432" s="111"/>
      <c r="Y432" s="111"/>
      <c r="Z432" s="105"/>
      <c r="AA432" s="105"/>
      <c r="AB432" s="105"/>
    </row>
    <row r="433" spans="2:28" ht="21" customHeight="1">
      <c r="B433" s="105"/>
      <c r="C433" s="105"/>
      <c r="D433" s="105"/>
      <c r="E433" s="105"/>
      <c r="F433" s="114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11"/>
      <c r="T433" s="111"/>
      <c r="U433" s="111"/>
      <c r="V433" s="111"/>
      <c r="W433" s="111"/>
      <c r="X433" s="111"/>
      <c r="Y433" s="111"/>
      <c r="Z433" s="105"/>
      <c r="AA433" s="105"/>
      <c r="AB433" s="105"/>
    </row>
    <row r="434" spans="2:28" ht="21" customHeight="1">
      <c r="B434" s="105"/>
      <c r="C434" s="105"/>
      <c r="D434" s="105"/>
      <c r="E434" s="105"/>
      <c r="F434" s="114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11"/>
      <c r="T434" s="111"/>
      <c r="U434" s="111"/>
      <c r="V434" s="111"/>
      <c r="W434" s="111"/>
      <c r="X434" s="111"/>
      <c r="Y434" s="111"/>
      <c r="Z434" s="105"/>
      <c r="AA434" s="105"/>
      <c r="AB434" s="105"/>
    </row>
    <row r="435" spans="2:28" ht="21" customHeight="1">
      <c r="B435" s="105"/>
      <c r="C435" s="105"/>
      <c r="D435" s="105"/>
      <c r="E435" s="105"/>
      <c r="F435" s="114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11"/>
      <c r="T435" s="111"/>
      <c r="U435" s="111"/>
      <c r="V435" s="111"/>
      <c r="W435" s="111"/>
      <c r="X435" s="111"/>
      <c r="Y435" s="111"/>
      <c r="Z435" s="105"/>
      <c r="AA435" s="105"/>
      <c r="AB435" s="105"/>
    </row>
    <row r="436" spans="2:28" ht="21" customHeight="1">
      <c r="B436" s="105"/>
      <c r="C436" s="105"/>
      <c r="D436" s="105"/>
      <c r="E436" s="105"/>
      <c r="F436" s="114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11"/>
      <c r="T436" s="111"/>
      <c r="U436" s="111"/>
      <c r="V436" s="111"/>
      <c r="W436" s="111"/>
      <c r="X436" s="111"/>
      <c r="Y436" s="111"/>
      <c r="Z436" s="105"/>
      <c r="AA436" s="105"/>
      <c r="AB436" s="105"/>
    </row>
    <row r="437" spans="2:28" ht="21" customHeight="1">
      <c r="B437" s="105"/>
      <c r="C437" s="105"/>
      <c r="D437" s="105"/>
      <c r="E437" s="105"/>
      <c r="F437" s="114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11"/>
      <c r="T437" s="111"/>
      <c r="U437" s="111"/>
      <c r="V437" s="111"/>
      <c r="W437" s="111"/>
      <c r="X437" s="111"/>
      <c r="Y437" s="111"/>
      <c r="Z437" s="105"/>
      <c r="AA437" s="105"/>
      <c r="AB437" s="105"/>
    </row>
    <row r="438" spans="2:28" ht="21" customHeight="1">
      <c r="B438" s="105"/>
      <c r="C438" s="105"/>
      <c r="D438" s="105"/>
      <c r="E438" s="105"/>
      <c r="F438" s="114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11"/>
      <c r="T438" s="111"/>
      <c r="U438" s="111"/>
      <c r="V438" s="111"/>
      <c r="W438" s="111"/>
      <c r="X438" s="111"/>
      <c r="Y438" s="111"/>
      <c r="Z438" s="105"/>
      <c r="AA438" s="105"/>
      <c r="AB438" s="105"/>
    </row>
    <row r="439" spans="2:28" ht="21" customHeight="1">
      <c r="B439" s="105"/>
      <c r="C439" s="105"/>
      <c r="D439" s="105"/>
      <c r="E439" s="105"/>
      <c r="F439" s="114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11"/>
      <c r="T439" s="111"/>
      <c r="U439" s="111"/>
      <c r="V439" s="111"/>
      <c r="W439" s="111"/>
      <c r="X439" s="111"/>
      <c r="Y439" s="111"/>
      <c r="Z439" s="105"/>
      <c r="AA439" s="105"/>
      <c r="AB439" s="105"/>
    </row>
    <row r="440" spans="2:28" ht="21" customHeight="1">
      <c r="B440" s="105"/>
      <c r="C440" s="105"/>
      <c r="D440" s="105"/>
      <c r="E440" s="105"/>
      <c r="F440" s="114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11"/>
      <c r="T440" s="111"/>
      <c r="U440" s="111"/>
      <c r="V440" s="111"/>
      <c r="W440" s="111"/>
      <c r="X440" s="111"/>
      <c r="Y440" s="111"/>
      <c r="Z440" s="105"/>
      <c r="AA440" s="105"/>
      <c r="AB440" s="105"/>
    </row>
    <row r="441" spans="2:28" ht="21" customHeight="1">
      <c r="B441" s="105"/>
      <c r="C441" s="105"/>
      <c r="D441" s="105"/>
      <c r="E441" s="105"/>
      <c r="F441" s="114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11"/>
      <c r="T441" s="111"/>
      <c r="U441" s="111"/>
      <c r="V441" s="111"/>
      <c r="W441" s="111"/>
      <c r="X441" s="111"/>
      <c r="Y441" s="111"/>
      <c r="Z441" s="105"/>
      <c r="AA441" s="105"/>
      <c r="AB441" s="105"/>
    </row>
    <row r="442" spans="2:28" ht="21" customHeight="1">
      <c r="B442" s="105"/>
      <c r="C442" s="105"/>
      <c r="D442" s="105"/>
      <c r="E442" s="105"/>
      <c r="F442" s="114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11"/>
      <c r="T442" s="111"/>
      <c r="U442" s="111"/>
      <c r="V442" s="111"/>
      <c r="W442" s="111"/>
      <c r="X442" s="111"/>
      <c r="Y442" s="111"/>
      <c r="Z442" s="105"/>
      <c r="AA442" s="105"/>
      <c r="AB442" s="105"/>
    </row>
    <row r="443" spans="2:28" ht="21" customHeight="1">
      <c r="B443" s="105"/>
      <c r="C443" s="105"/>
      <c r="D443" s="105"/>
      <c r="E443" s="105"/>
      <c r="F443" s="114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11"/>
      <c r="T443" s="111"/>
      <c r="U443" s="111"/>
      <c r="V443" s="111"/>
      <c r="W443" s="111"/>
      <c r="X443" s="111"/>
      <c r="Y443" s="111"/>
      <c r="Z443" s="105"/>
      <c r="AA443" s="105"/>
      <c r="AB443" s="105"/>
    </row>
    <row r="444" spans="2:28" ht="21" customHeight="1">
      <c r="B444" s="105"/>
      <c r="C444" s="105"/>
      <c r="D444" s="105"/>
      <c r="E444" s="105"/>
      <c r="F444" s="114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11"/>
      <c r="T444" s="111"/>
      <c r="U444" s="111"/>
      <c r="V444" s="111"/>
      <c r="W444" s="111"/>
      <c r="X444" s="111"/>
      <c r="Y444" s="111"/>
      <c r="Z444" s="105"/>
      <c r="AA444" s="105"/>
      <c r="AB444" s="105"/>
    </row>
    <row r="445" spans="2:28" ht="21" customHeight="1">
      <c r="B445" s="105"/>
      <c r="C445" s="105"/>
      <c r="D445" s="105"/>
      <c r="E445" s="105"/>
      <c r="F445" s="114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11"/>
      <c r="T445" s="111"/>
      <c r="U445" s="111"/>
      <c r="V445" s="111"/>
      <c r="W445" s="111"/>
      <c r="X445" s="111"/>
      <c r="Y445" s="111"/>
      <c r="Z445" s="105"/>
      <c r="AA445" s="105"/>
      <c r="AB445" s="105"/>
    </row>
    <row r="446" spans="2:28" ht="21" customHeight="1">
      <c r="B446" s="105"/>
      <c r="C446" s="105"/>
      <c r="D446" s="105"/>
      <c r="E446" s="105"/>
      <c r="F446" s="114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11"/>
      <c r="T446" s="111"/>
      <c r="U446" s="111"/>
      <c r="V446" s="111"/>
      <c r="W446" s="111"/>
      <c r="X446" s="111"/>
      <c r="Y446" s="111"/>
      <c r="Z446" s="105"/>
      <c r="AA446" s="105"/>
      <c r="AB446" s="105"/>
    </row>
    <row r="447" spans="2:28" ht="21" customHeight="1">
      <c r="B447" s="105"/>
      <c r="C447" s="105"/>
      <c r="D447" s="105"/>
      <c r="E447" s="105"/>
      <c r="F447" s="114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11"/>
      <c r="T447" s="111"/>
      <c r="U447" s="111"/>
      <c r="V447" s="111"/>
      <c r="W447" s="111"/>
      <c r="X447" s="111"/>
      <c r="Y447" s="111"/>
      <c r="Z447" s="105"/>
      <c r="AA447" s="105"/>
      <c r="AB447" s="105"/>
    </row>
    <row r="448" spans="2:28" ht="21" customHeight="1">
      <c r="B448" s="105"/>
      <c r="C448" s="105"/>
      <c r="D448" s="105"/>
      <c r="E448" s="105"/>
      <c r="F448" s="114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11"/>
      <c r="T448" s="111"/>
      <c r="U448" s="111"/>
      <c r="V448" s="111"/>
      <c r="W448" s="111"/>
      <c r="X448" s="111"/>
      <c r="Y448" s="111"/>
      <c r="Z448" s="105"/>
      <c r="AA448" s="105"/>
      <c r="AB448" s="105"/>
    </row>
    <row r="449" spans="2:28" ht="21" customHeight="1">
      <c r="B449" s="105"/>
      <c r="C449" s="105"/>
      <c r="D449" s="105"/>
      <c r="E449" s="105"/>
      <c r="F449" s="114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11"/>
      <c r="T449" s="111"/>
      <c r="U449" s="111"/>
      <c r="V449" s="111"/>
      <c r="W449" s="111"/>
      <c r="X449" s="111"/>
      <c r="Y449" s="111"/>
      <c r="Z449" s="105"/>
      <c r="AA449" s="105"/>
      <c r="AB449" s="105"/>
    </row>
    <row r="450" spans="2:28" ht="21" customHeight="1">
      <c r="B450" s="105"/>
      <c r="C450" s="105"/>
      <c r="D450" s="105"/>
      <c r="E450" s="105"/>
      <c r="F450" s="114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11"/>
      <c r="T450" s="111"/>
      <c r="U450" s="111"/>
      <c r="V450" s="111"/>
      <c r="W450" s="111"/>
      <c r="X450" s="111"/>
      <c r="Y450" s="111"/>
      <c r="Z450" s="105"/>
      <c r="AA450" s="105"/>
      <c r="AB450" s="105"/>
    </row>
    <row r="451" spans="2:28" ht="21" customHeight="1">
      <c r="B451" s="105"/>
      <c r="C451" s="105"/>
      <c r="D451" s="105"/>
      <c r="E451" s="105"/>
      <c r="F451" s="114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11"/>
      <c r="T451" s="111"/>
      <c r="U451" s="111"/>
      <c r="V451" s="111"/>
      <c r="W451" s="111"/>
      <c r="X451" s="111"/>
      <c r="Y451" s="111"/>
      <c r="Z451" s="105"/>
      <c r="AA451" s="105"/>
      <c r="AB451" s="105"/>
    </row>
    <row r="452" spans="2:28" ht="21" customHeight="1">
      <c r="B452" s="105"/>
      <c r="C452" s="105"/>
      <c r="D452" s="105"/>
      <c r="E452" s="105"/>
      <c r="F452" s="114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11"/>
      <c r="T452" s="111"/>
      <c r="U452" s="111"/>
      <c r="V452" s="111"/>
      <c r="W452" s="111"/>
      <c r="X452" s="111"/>
      <c r="Y452" s="111"/>
      <c r="Z452" s="105"/>
      <c r="AA452" s="105"/>
      <c r="AB452" s="105"/>
    </row>
    <row r="453" spans="2:28" ht="21" customHeight="1">
      <c r="B453" s="105"/>
      <c r="C453" s="105"/>
      <c r="D453" s="105"/>
      <c r="E453" s="105"/>
      <c r="F453" s="114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11"/>
      <c r="T453" s="111"/>
      <c r="U453" s="111"/>
      <c r="V453" s="111"/>
      <c r="W453" s="111"/>
      <c r="X453" s="111"/>
      <c r="Y453" s="111"/>
      <c r="Z453" s="105"/>
      <c r="AA453" s="105"/>
      <c r="AB453" s="105"/>
    </row>
    <row r="454" spans="2:28" ht="21" customHeight="1">
      <c r="B454" s="105"/>
      <c r="C454" s="105"/>
      <c r="D454" s="105"/>
      <c r="E454" s="105"/>
      <c r="F454" s="114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11"/>
      <c r="T454" s="111"/>
      <c r="U454" s="111"/>
      <c r="V454" s="111"/>
      <c r="W454" s="111"/>
      <c r="X454" s="111"/>
      <c r="Y454" s="111"/>
      <c r="Z454" s="105"/>
      <c r="AA454" s="105"/>
      <c r="AB454" s="105"/>
    </row>
    <row r="455" spans="2:28" ht="21" customHeight="1">
      <c r="B455" s="105"/>
      <c r="C455" s="105"/>
      <c r="D455" s="105"/>
      <c r="E455" s="105"/>
      <c r="F455" s="114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11"/>
      <c r="T455" s="111"/>
      <c r="U455" s="111"/>
      <c r="V455" s="111"/>
      <c r="W455" s="111"/>
      <c r="X455" s="111"/>
      <c r="Y455" s="111"/>
      <c r="Z455" s="105"/>
      <c r="AA455" s="105"/>
      <c r="AB455" s="105"/>
    </row>
    <row r="456" spans="2:28" ht="21" customHeight="1">
      <c r="B456" s="105"/>
      <c r="C456" s="105"/>
      <c r="D456" s="105"/>
      <c r="E456" s="105"/>
      <c r="F456" s="114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11"/>
      <c r="T456" s="111"/>
      <c r="U456" s="111"/>
      <c r="V456" s="111"/>
      <c r="W456" s="111"/>
      <c r="X456" s="111"/>
      <c r="Y456" s="111"/>
      <c r="Z456" s="105"/>
      <c r="AA456" s="105"/>
      <c r="AB456" s="105"/>
    </row>
    <row r="457" spans="2:28" ht="21" customHeight="1">
      <c r="B457" s="105"/>
      <c r="C457" s="105"/>
      <c r="D457" s="105"/>
      <c r="E457" s="105"/>
      <c r="F457" s="114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11"/>
      <c r="T457" s="111"/>
      <c r="U457" s="111"/>
      <c r="V457" s="111"/>
      <c r="W457" s="111"/>
      <c r="X457" s="111"/>
      <c r="Y457" s="111"/>
      <c r="Z457" s="105"/>
      <c r="AA457" s="105"/>
      <c r="AB457" s="105"/>
    </row>
    <row r="458" spans="2:28" ht="21" customHeight="1">
      <c r="B458" s="105"/>
      <c r="C458" s="105"/>
      <c r="D458" s="105"/>
      <c r="E458" s="105"/>
      <c r="F458" s="114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11"/>
      <c r="T458" s="111"/>
      <c r="U458" s="111"/>
      <c r="V458" s="111"/>
      <c r="W458" s="111"/>
      <c r="X458" s="111"/>
      <c r="Y458" s="111"/>
      <c r="Z458" s="105"/>
      <c r="AA458" s="105"/>
      <c r="AB458" s="105"/>
    </row>
    <row r="459" spans="2:28" ht="21" customHeight="1">
      <c r="B459" s="105"/>
      <c r="C459" s="105"/>
      <c r="D459" s="105"/>
      <c r="E459" s="105"/>
      <c r="F459" s="114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11"/>
      <c r="T459" s="111"/>
      <c r="U459" s="111"/>
      <c r="V459" s="111"/>
      <c r="W459" s="111"/>
      <c r="X459" s="111"/>
      <c r="Y459" s="111"/>
      <c r="Z459" s="105"/>
      <c r="AA459" s="105"/>
      <c r="AB459" s="105"/>
    </row>
    <row r="460" spans="2:28" ht="21" customHeight="1">
      <c r="B460" s="105"/>
      <c r="C460" s="105"/>
      <c r="D460" s="105"/>
      <c r="E460" s="105"/>
      <c r="F460" s="114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11"/>
      <c r="T460" s="111"/>
      <c r="U460" s="111"/>
      <c r="V460" s="111"/>
      <c r="W460" s="111"/>
      <c r="X460" s="111"/>
      <c r="Y460" s="111"/>
      <c r="Z460" s="105"/>
      <c r="AA460" s="105"/>
      <c r="AB460" s="105"/>
    </row>
    <row r="461" spans="2:28" ht="21" customHeight="1">
      <c r="B461" s="105"/>
      <c r="C461" s="105"/>
      <c r="D461" s="105"/>
      <c r="E461" s="105"/>
      <c r="F461" s="114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11"/>
      <c r="T461" s="111"/>
      <c r="U461" s="111"/>
      <c r="V461" s="111"/>
      <c r="W461" s="111"/>
      <c r="X461" s="111"/>
      <c r="Y461" s="111"/>
      <c r="Z461" s="105"/>
      <c r="AA461" s="105"/>
      <c r="AB461" s="105"/>
    </row>
    <row r="462" spans="2:28" ht="21" customHeight="1">
      <c r="B462" s="105"/>
      <c r="C462" s="105"/>
      <c r="D462" s="105"/>
      <c r="E462" s="105"/>
      <c r="F462" s="114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11"/>
      <c r="T462" s="111"/>
      <c r="U462" s="111"/>
      <c r="V462" s="111"/>
      <c r="W462" s="111"/>
      <c r="X462" s="111"/>
      <c r="Y462" s="111"/>
      <c r="Z462" s="105"/>
      <c r="AA462" s="105"/>
      <c r="AB462" s="105"/>
    </row>
    <row r="463" spans="2:28" ht="21" customHeight="1">
      <c r="B463" s="105"/>
      <c r="C463" s="105"/>
      <c r="D463" s="105"/>
      <c r="E463" s="105"/>
      <c r="F463" s="114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11"/>
      <c r="T463" s="111"/>
      <c r="U463" s="111"/>
      <c r="V463" s="111"/>
      <c r="W463" s="111"/>
      <c r="X463" s="111"/>
      <c r="Y463" s="111"/>
      <c r="Z463" s="105"/>
      <c r="AA463" s="105"/>
      <c r="AB463" s="105"/>
    </row>
    <row r="464" spans="2:28" ht="21" customHeight="1">
      <c r="B464" s="105"/>
      <c r="C464" s="105"/>
      <c r="D464" s="105"/>
      <c r="E464" s="105"/>
      <c r="F464" s="114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11"/>
      <c r="T464" s="111"/>
      <c r="U464" s="111"/>
      <c r="V464" s="111"/>
      <c r="W464" s="111"/>
      <c r="X464" s="111"/>
      <c r="Y464" s="111"/>
      <c r="Z464" s="105"/>
      <c r="AA464" s="105"/>
      <c r="AB464" s="105"/>
    </row>
    <row r="465" spans="2:28" ht="21" customHeight="1">
      <c r="B465" s="105"/>
      <c r="C465" s="105"/>
      <c r="D465" s="105"/>
      <c r="E465" s="105"/>
      <c r="F465" s="114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11"/>
      <c r="T465" s="111"/>
      <c r="U465" s="111"/>
      <c r="V465" s="111"/>
      <c r="W465" s="111"/>
      <c r="X465" s="111"/>
      <c r="Y465" s="111"/>
      <c r="Z465" s="105"/>
      <c r="AA465" s="105"/>
      <c r="AB465" s="105"/>
    </row>
    <row r="466" spans="2:28" ht="21" customHeight="1">
      <c r="B466" s="105"/>
      <c r="C466" s="105"/>
      <c r="D466" s="105"/>
      <c r="E466" s="105"/>
      <c r="F466" s="114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11"/>
      <c r="T466" s="111"/>
      <c r="U466" s="111"/>
      <c r="V466" s="111"/>
      <c r="W466" s="111"/>
      <c r="X466" s="111"/>
      <c r="Y466" s="111"/>
      <c r="Z466" s="105"/>
      <c r="AA466" s="105"/>
      <c r="AB466" s="105"/>
    </row>
    <row r="467" spans="2:28" ht="21" customHeight="1">
      <c r="B467" s="105"/>
      <c r="C467" s="105"/>
      <c r="D467" s="105"/>
      <c r="E467" s="105"/>
      <c r="F467" s="114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11"/>
      <c r="T467" s="111"/>
      <c r="U467" s="111"/>
      <c r="V467" s="111"/>
      <c r="W467" s="111"/>
      <c r="X467" s="111"/>
      <c r="Y467" s="111"/>
      <c r="Z467" s="105"/>
      <c r="AA467" s="105"/>
      <c r="AB467" s="105"/>
    </row>
    <row r="468" spans="2:28" ht="21" customHeight="1">
      <c r="B468" s="105"/>
      <c r="C468" s="105"/>
      <c r="D468" s="105"/>
      <c r="E468" s="105"/>
      <c r="F468" s="114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11"/>
      <c r="T468" s="111"/>
      <c r="U468" s="111"/>
      <c r="V468" s="111"/>
      <c r="W468" s="111"/>
      <c r="X468" s="111"/>
      <c r="Y468" s="111"/>
      <c r="Z468" s="105"/>
      <c r="AA468" s="105"/>
      <c r="AB468" s="105"/>
    </row>
    <row r="469" spans="2:28" ht="21" customHeight="1">
      <c r="B469" s="105"/>
      <c r="C469" s="105"/>
      <c r="D469" s="105"/>
      <c r="E469" s="105"/>
      <c r="F469" s="114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11"/>
      <c r="T469" s="111"/>
      <c r="U469" s="111"/>
      <c r="V469" s="111"/>
      <c r="W469" s="111"/>
      <c r="X469" s="111"/>
      <c r="Y469" s="111"/>
      <c r="Z469" s="105"/>
      <c r="AA469" s="105"/>
      <c r="AB469" s="105"/>
    </row>
    <row r="470" spans="2:28" ht="21" customHeight="1">
      <c r="B470" s="105"/>
      <c r="C470" s="105"/>
      <c r="D470" s="105"/>
      <c r="E470" s="105"/>
      <c r="F470" s="114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11"/>
      <c r="T470" s="111"/>
      <c r="U470" s="111"/>
      <c r="V470" s="111"/>
      <c r="W470" s="111"/>
      <c r="X470" s="111"/>
      <c r="Y470" s="111"/>
      <c r="Z470" s="105"/>
      <c r="AA470" s="105"/>
      <c r="AB470" s="105"/>
    </row>
    <row r="471" spans="2:28" ht="21" customHeight="1">
      <c r="B471" s="105"/>
      <c r="C471" s="105"/>
      <c r="D471" s="105"/>
      <c r="E471" s="105"/>
      <c r="F471" s="114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11"/>
      <c r="T471" s="111"/>
      <c r="U471" s="111"/>
      <c r="V471" s="111"/>
      <c r="W471" s="111"/>
      <c r="X471" s="111"/>
      <c r="Y471" s="111"/>
      <c r="Z471" s="105"/>
      <c r="AA471" s="105"/>
      <c r="AB471" s="105"/>
    </row>
    <row r="472" spans="2:28" ht="21" customHeight="1">
      <c r="B472" s="105"/>
      <c r="C472" s="105"/>
      <c r="D472" s="105"/>
      <c r="E472" s="105"/>
      <c r="F472" s="114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11"/>
      <c r="T472" s="111"/>
      <c r="U472" s="111"/>
      <c r="V472" s="111"/>
      <c r="W472" s="111"/>
      <c r="X472" s="111"/>
      <c r="Y472" s="111"/>
      <c r="Z472" s="105"/>
      <c r="AA472" s="105"/>
      <c r="AB472" s="105"/>
    </row>
    <row r="473" spans="2:28" ht="21" customHeight="1">
      <c r="B473" s="105"/>
      <c r="C473" s="105"/>
      <c r="D473" s="105"/>
      <c r="E473" s="105"/>
      <c r="F473" s="114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11"/>
      <c r="T473" s="111"/>
      <c r="U473" s="111"/>
      <c r="V473" s="111"/>
      <c r="W473" s="111"/>
      <c r="X473" s="111"/>
      <c r="Y473" s="111"/>
      <c r="Z473" s="105"/>
      <c r="AA473" s="105"/>
      <c r="AB473" s="105"/>
    </row>
    <row r="474" spans="2:28" ht="21" customHeight="1">
      <c r="B474" s="105"/>
      <c r="C474" s="105"/>
      <c r="D474" s="105"/>
      <c r="E474" s="105"/>
      <c r="F474" s="114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11"/>
      <c r="T474" s="111"/>
      <c r="U474" s="111"/>
      <c r="V474" s="111"/>
      <c r="W474" s="111"/>
      <c r="X474" s="111"/>
      <c r="Y474" s="111"/>
      <c r="Z474" s="105"/>
      <c r="AA474" s="105"/>
      <c r="AB474" s="105"/>
    </row>
    <row r="475" spans="2:28" ht="21" customHeight="1">
      <c r="B475" s="105"/>
      <c r="C475" s="105"/>
      <c r="D475" s="105"/>
      <c r="E475" s="105"/>
      <c r="F475" s="114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11"/>
      <c r="T475" s="111"/>
      <c r="U475" s="111"/>
      <c r="V475" s="111"/>
      <c r="W475" s="111"/>
      <c r="X475" s="111"/>
      <c r="Y475" s="111"/>
      <c r="Z475" s="105"/>
      <c r="AA475" s="105"/>
      <c r="AB475" s="105"/>
    </row>
    <row r="476" spans="2:28" ht="21" customHeight="1">
      <c r="B476" s="105"/>
      <c r="C476" s="105"/>
      <c r="D476" s="105"/>
      <c r="E476" s="105"/>
      <c r="F476" s="114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11"/>
      <c r="T476" s="111"/>
      <c r="U476" s="111"/>
      <c r="V476" s="111"/>
      <c r="W476" s="111"/>
      <c r="X476" s="111"/>
      <c r="Y476" s="111"/>
      <c r="Z476" s="105"/>
      <c r="AA476" s="105"/>
      <c r="AB476" s="105"/>
    </row>
    <row r="477" spans="2:28" ht="21" customHeight="1">
      <c r="B477" s="105"/>
      <c r="C477" s="105"/>
      <c r="D477" s="105"/>
      <c r="E477" s="105"/>
      <c r="F477" s="114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11"/>
      <c r="T477" s="111"/>
      <c r="U477" s="111"/>
      <c r="V477" s="111"/>
      <c r="W477" s="111"/>
      <c r="X477" s="111"/>
      <c r="Y477" s="111"/>
      <c r="Z477" s="105"/>
      <c r="AA477" s="105"/>
      <c r="AB477" s="105"/>
    </row>
    <row r="478" spans="2:28" ht="21" customHeight="1">
      <c r="B478" s="105"/>
      <c r="C478" s="105"/>
      <c r="D478" s="105"/>
      <c r="E478" s="105"/>
      <c r="F478" s="114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11"/>
      <c r="T478" s="111"/>
      <c r="U478" s="111"/>
      <c r="V478" s="111"/>
      <c r="W478" s="111"/>
      <c r="X478" s="111"/>
      <c r="Y478" s="111"/>
      <c r="Z478" s="105"/>
      <c r="AA478" s="105"/>
      <c r="AB478" s="105"/>
    </row>
    <row r="479" spans="2:28" ht="21" customHeight="1">
      <c r="B479" s="105"/>
      <c r="C479" s="105"/>
      <c r="D479" s="105"/>
      <c r="E479" s="105"/>
      <c r="F479" s="114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11"/>
      <c r="T479" s="111"/>
      <c r="U479" s="111"/>
      <c r="V479" s="111"/>
      <c r="W479" s="111"/>
      <c r="X479" s="111"/>
      <c r="Y479" s="111"/>
      <c r="Z479" s="105"/>
      <c r="AA479" s="105"/>
      <c r="AB479" s="105"/>
    </row>
    <row r="480" spans="2:28" ht="21" customHeight="1">
      <c r="B480" s="105"/>
      <c r="C480" s="105"/>
      <c r="D480" s="105"/>
      <c r="E480" s="105"/>
      <c r="F480" s="114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11"/>
      <c r="T480" s="111"/>
      <c r="U480" s="111"/>
      <c r="V480" s="111"/>
      <c r="W480" s="111"/>
      <c r="X480" s="111"/>
      <c r="Y480" s="111"/>
      <c r="Z480" s="105"/>
      <c r="AA480" s="105"/>
      <c r="AB480" s="105"/>
    </row>
    <row r="481" spans="2:28" ht="21" customHeight="1">
      <c r="B481" s="105"/>
      <c r="C481" s="105"/>
      <c r="D481" s="105"/>
      <c r="E481" s="105"/>
      <c r="F481" s="114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11"/>
      <c r="T481" s="111"/>
      <c r="U481" s="111"/>
      <c r="V481" s="111"/>
      <c r="W481" s="111"/>
      <c r="X481" s="111"/>
      <c r="Y481" s="111"/>
      <c r="Z481" s="105"/>
      <c r="AA481" s="105"/>
      <c r="AB481" s="105"/>
    </row>
    <row r="482" spans="2:28" ht="21" customHeight="1">
      <c r="B482" s="105"/>
      <c r="C482" s="105"/>
      <c r="D482" s="105"/>
      <c r="E482" s="105"/>
      <c r="F482" s="114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11"/>
      <c r="T482" s="111"/>
      <c r="U482" s="111"/>
      <c r="V482" s="111"/>
      <c r="W482" s="111"/>
      <c r="X482" s="111"/>
      <c r="Y482" s="111"/>
      <c r="Z482" s="105"/>
      <c r="AA482" s="105"/>
      <c r="AB482" s="105"/>
    </row>
    <row r="483" spans="2:28" ht="21" customHeight="1">
      <c r="B483" s="105"/>
      <c r="C483" s="105"/>
      <c r="D483" s="105"/>
      <c r="E483" s="105"/>
      <c r="F483" s="114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11"/>
      <c r="T483" s="111"/>
      <c r="U483" s="111"/>
      <c r="V483" s="111"/>
      <c r="W483" s="111"/>
      <c r="X483" s="111"/>
      <c r="Y483" s="111"/>
      <c r="Z483" s="105"/>
      <c r="AA483" s="105"/>
      <c r="AB483" s="105"/>
    </row>
    <row r="484" spans="2:28" ht="21" customHeight="1">
      <c r="B484" s="105"/>
      <c r="C484" s="105"/>
      <c r="D484" s="105"/>
      <c r="E484" s="105"/>
      <c r="F484" s="114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11"/>
      <c r="T484" s="111"/>
      <c r="U484" s="111"/>
      <c r="V484" s="111"/>
      <c r="W484" s="111"/>
      <c r="X484" s="111"/>
      <c r="Y484" s="111"/>
      <c r="Z484" s="105"/>
      <c r="AA484" s="105"/>
      <c r="AB484" s="105"/>
    </row>
    <row r="485" spans="2:28" ht="21" customHeight="1">
      <c r="B485" s="105"/>
      <c r="C485" s="105"/>
      <c r="D485" s="105"/>
      <c r="E485" s="105"/>
      <c r="F485" s="114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11"/>
      <c r="T485" s="111"/>
      <c r="U485" s="111"/>
      <c r="V485" s="111"/>
      <c r="W485" s="111"/>
      <c r="X485" s="111"/>
      <c r="Y485" s="111"/>
      <c r="Z485" s="105"/>
      <c r="AA485" s="105"/>
      <c r="AB485" s="105"/>
    </row>
    <row r="486" spans="2:28" ht="21" customHeight="1">
      <c r="B486" s="105"/>
      <c r="C486" s="105"/>
      <c r="D486" s="105"/>
      <c r="E486" s="105"/>
      <c r="F486" s="114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11"/>
      <c r="T486" s="111"/>
      <c r="U486" s="111"/>
      <c r="V486" s="111"/>
      <c r="W486" s="111"/>
      <c r="X486" s="111"/>
      <c r="Y486" s="111"/>
      <c r="Z486" s="105"/>
      <c r="AA486" s="105"/>
      <c r="AB486" s="105"/>
    </row>
    <row r="487" spans="2:28" ht="21" customHeight="1">
      <c r="B487" s="105"/>
      <c r="C487" s="105"/>
      <c r="D487" s="105"/>
      <c r="E487" s="105"/>
      <c r="F487" s="114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11"/>
      <c r="T487" s="111"/>
      <c r="U487" s="111"/>
      <c r="V487" s="111"/>
      <c r="W487" s="111"/>
      <c r="X487" s="111"/>
      <c r="Y487" s="111"/>
      <c r="Z487" s="105"/>
      <c r="AA487" s="105"/>
      <c r="AB487" s="105"/>
    </row>
    <row r="488" spans="2:28" ht="21" customHeight="1">
      <c r="B488" s="105"/>
      <c r="C488" s="105"/>
      <c r="D488" s="105"/>
      <c r="E488" s="105"/>
      <c r="F488" s="114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11"/>
      <c r="T488" s="111"/>
      <c r="U488" s="111"/>
      <c r="V488" s="111"/>
      <c r="W488" s="111"/>
      <c r="X488" s="111"/>
      <c r="Y488" s="111"/>
      <c r="Z488" s="105"/>
      <c r="AA488" s="105"/>
      <c r="AB488" s="105"/>
    </row>
    <row r="489" spans="2:28" ht="21" customHeight="1">
      <c r="B489" s="105"/>
      <c r="C489" s="105"/>
      <c r="D489" s="105"/>
      <c r="E489" s="105"/>
      <c r="F489" s="114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11"/>
      <c r="T489" s="111"/>
      <c r="U489" s="111"/>
      <c r="V489" s="111"/>
      <c r="W489" s="111"/>
      <c r="X489" s="111"/>
      <c r="Y489" s="111"/>
      <c r="Z489" s="105"/>
      <c r="AA489" s="105"/>
      <c r="AB489" s="105"/>
    </row>
    <row r="490" spans="2:28" ht="21" customHeight="1">
      <c r="B490" s="105"/>
      <c r="C490" s="105"/>
      <c r="D490" s="105"/>
      <c r="E490" s="105"/>
      <c r="F490" s="114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11"/>
      <c r="T490" s="111"/>
      <c r="U490" s="111"/>
      <c r="V490" s="111"/>
      <c r="W490" s="111"/>
      <c r="X490" s="111"/>
      <c r="Y490" s="111"/>
      <c r="Z490" s="105"/>
      <c r="AA490" s="105"/>
      <c r="AB490" s="105"/>
    </row>
    <row r="491" spans="2:28" ht="21" customHeight="1">
      <c r="B491" s="105"/>
      <c r="C491" s="105"/>
      <c r="D491" s="105"/>
      <c r="E491" s="105"/>
      <c r="F491" s="114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11"/>
      <c r="T491" s="111"/>
      <c r="U491" s="111"/>
      <c r="V491" s="111"/>
      <c r="W491" s="111"/>
      <c r="X491" s="111"/>
      <c r="Y491" s="111"/>
      <c r="Z491" s="105"/>
      <c r="AA491" s="105"/>
      <c r="AB491" s="105"/>
    </row>
    <row r="492" spans="2:28" ht="21" customHeight="1">
      <c r="B492" s="105"/>
      <c r="C492" s="105"/>
      <c r="D492" s="105"/>
      <c r="E492" s="105"/>
      <c r="F492" s="114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11"/>
      <c r="T492" s="111"/>
      <c r="U492" s="111"/>
      <c r="V492" s="111"/>
      <c r="W492" s="111"/>
      <c r="X492" s="111"/>
      <c r="Y492" s="111"/>
      <c r="Z492" s="105"/>
      <c r="AA492" s="105"/>
      <c r="AB492" s="105"/>
    </row>
    <row r="493" spans="2:28" ht="21" customHeight="1">
      <c r="B493" s="105"/>
      <c r="C493" s="105"/>
      <c r="D493" s="105"/>
      <c r="E493" s="105"/>
      <c r="F493" s="114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11"/>
      <c r="T493" s="111"/>
      <c r="U493" s="111"/>
      <c r="V493" s="111"/>
      <c r="W493" s="111"/>
      <c r="X493" s="111"/>
      <c r="Y493" s="111"/>
      <c r="Z493" s="105"/>
      <c r="AA493" s="105"/>
      <c r="AB493" s="105"/>
    </row>
    <row r="494" spans="2:28" ht="21" customHeight="1">
      <c r="B494" s="105"/>
      <c r="C494" s="105"/>
      <c r="D494" s="105"/>
      <c r="E494" s="105"/>
      <c r="F494" s="114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11"/>
      <c r="T494" s="111"/>
      <c r="U494" s="111"/>
      <c r="V494" s="111"/>
      <c r="W494" s="111"/>
      <c r="X494" s="111"/>
      <c r="Y494" s="111"/>
      <c r="Z494" s="105"/>
      <c r="AA494" s="105"/>
      <c r="AB494" s="105"/>
    </row>
    <row r="495" spans="2:28" ht="21" customHeight="1">
      <c r="B495" s="105"/>
      <c r="C495" s="105"/>
      <c r="D495" s="105"/>
      <c r="E495" s="105"/>
      <c r="F495" s="114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11"/>
      <c r="T495" s="111"/>
      <c r="U495" s="111"/>
      <c r="V495" s="111"/>
      <c r="W495" s="111"/>
      <c r="X495" s="111"/>
      <c r="Y495" s="111"/>
      <c r="Z495" s="105"/>
      <c r="AA495" s="105"/>
      <c r="AB495" s="105"/>
    </row>
    <row r="496" spans="2:28" ht="21" customHeight="1">
      <c r="B496" s="105"/>
      <c r="C496" s="105"/>
      <c r="D496" s="105"/>
      <c r="E496" s="105"/>
      <c r="F496" s="114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11"/>
      <c r="T496" s="111"/>
      <c r="U496" s="111"/>
      <c r="V496" s="111"/>
      <c r="W496" s="111"/>
      <c r="X496" s="111"/>
      <c r="Y496" s="111"/>
      <c r="Z496" s="105"/>
      <c r="AA496" s="105"/>
      <c r="AB496" s="105"/>
    </row>
    <row r="497" spans="2:28" ht="21" customHeight="1">
      <c r="B497" s="105"/>
      <c r="C497" s="105"/>
      <c r="D497" s="105"/>
      <c r="E497" s="105"/>
      <c r="F497" s="114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11"/>
      <c r="T497" s="111"/>
      <c r="U497" s="111"/>
      <c r="V497" s="111"/>
      <c r="W497" s="111"/>
      <c r="X497" s="111"/>
      <c r="Y497" s="111"/>
      <c r="Z497" s="105"/>
      <c r="AA497" s="105"/>
      <c r="AB497" s="105"/>
    </row>
    <row r="498" spans="2:28" ht="21" customHeight="1">
      <c r="B498" s="105"/>
      <c r="C498" s="105"/>
      <c r="D498" s="105"/>
      <c r="E498" s="105"/>
      <c r="F498" s="114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11"/>
      <c r="T498" s="111"/>
      <c r="U498" s="111"/>
      <c r="V498" s="111"/>
      <c r="W498" s="111"/>
      <c r="X498" s="111"/>
      <c r="Y498" s="111"/>
      <c r="Z498" s="105"/>
      <c r="AA498" s="105"/>
      <c r="AB498" s="105"/>
    </row>
    <row r="499" spans="2:28" ht="21" customHeight="1">
      <c r="B499" s="105"/>
      <c r="C499" s="105"/>
      <c r="D499" s="105"/>
      <c r="E499" s="105"/>
      <c r="F499" s="114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11"/>
      <c r="T499" s="111"/>
      <c r="U499" s="111"/>
      <c r="V499" s="111"/>
      <c r="W499" s="111"/>
      <c r="X499" s="111"/>
      <c r="Y499" s="111"/>
      <c r="Z499" s="105"/>
      <c r="AA499" s="105"/>
      <c r="AB499" s="105"/>
    </row>
    <row r="500" spans="2:28" ht="21" customHeight="1">
      <c r="B500" s="105"/>
      <c r="C500" s="105"/>
      <c r="D500" s="105"/>
      <c r="E500" s="105"/>
      <c r="F500" s="114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11"/>
      <c r="T500" s="111"/>
      <c r="U500" s="111"/>
      <c r="V500" s="111"/>
      <c r="W500" s="111"/>
      <c r="X500" s="111"/>
      <c r="Y500" s="111"/>
      <c r="Z500" s="105"/>
      <c r="AA500" s="105"/>
      <c r="AB500" s="105"/>
    </row>
    <row r="501" spans="2:28" ht="21" customHeight="1">
      <c r="B501" s="105"/>
      <c r="C501" s="105"/>
      <c r="D501" s="105"/>
      <c r="E501" s="105"/>
      <c r="F501" s="114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11"/>
      <c r="T501" s="111"/>
      <c r="U501" s="111"/>
      <c r="V501" s="111"/>
      <c r="W501" s="111"/>
      <c r="X501" s="111"/>
      <c r="Y501" s="111"/>
      <c r="Z501" s="105"/>
      <c r="AA501" s="105"/>
      <c r="AB501" s="105"/>
    </row>
    <row r="502" spans="2:28" ht="21" customHeight="1">
      <c r="B502" s="105"/>
      <c r="C502" s="105"/>
      <c r="D502" s="105"/>
      <c r="E502" s="105"/>
      <c r="F502" s="114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11"/>
      <c r="T502" s="111"/>
      <c r="U502" s="111"/>
      <c r="V502" s="111"/>
      <c r="W502" s="111"/>
      <c r="X502" s="111"/>
      <c r="Y502" s="111"/>
      <c r="Z502" s="105"/>
      <c r="AA502" s="105"/>
      <c r="AB502" s="105"/>
    </row>
    <row r="503" spans="2:28" ht="21" customHeight="1">
      <c r="B503" s="105"/>
      <c r="C503" s="105"/>
      <c r="D503" s="105"/>
      <c r="E503" s="105"/>
      <c r="F503" s="114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11"/>
      <c r="T503" s="111"/>
      <c r="U503" s="111"/>
      <c r="V503" s="111"/>
      <c r="W503" s="111"/>
      <c r="X503" s="111"/>
      <c r="Y503" s="111"/>
      <c r="Z503" s="105"/>
      <c r="AA503" s="105"/>
      <c r="AB503" s="105"/>
    </row>
    <row r="504" spans="2:28" ht="21" customHeight="1">
      <c r="B504" s="105"/>
      <c r="C504" s="105"/>
      <c r="D504" s="105"/>
      <c r="E504" s="105"/>
      <c r="F504" s="114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11"/>
      <c r="T504" s="111"/>
      <c r="U504" s="111"/>
      <c r="V504" s="111"/>
      <c r="W504" s="111"/>
      <c r="X504" s="111"/>
      <c r="Y504" s="111"/>
      <c r="Z504" s="105"/>
      <c r="AA504" s="105"/>
      <c r="AB504" s="105"/>
    </row>
    <row r="505" spans="2:28" ht="21" customHeight="1">
      <c r="B505" s="105"/>
      <c r="C505" s="105"/>
      <c r="D505" s="105"/>
      <c r="E505" s="105"/>
      <c r="F505" s="114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11"/>
      <c r="T505" s="111"/>
      <c r="U505" s="111"/>
      <c r="V505" s="111"/>
      <c r="W505" s="111"/>
      <c r="X505" s="111"/>
      <c r="Y505" s="111"/>
      <c r="Z505" s="105"/>
      <c r="AA505" s="105"/>
      <c r="AB505" s="105"/>
    </row>
    <row r="506" spans="2:28" ht="21" customHeight="1">
      <c r="B506" s="105"/>
      <c r="C506" s="105"/>
      <c r="D506" s="105"/>
      <c r="E506" s="105"/>
      <c r="F506" s="114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11"/>
      <c r="T506" s="111"/>
      <c r="U506" s="111"/>
      <c r="V506" s="111"/>
      <c r="W506" s="111"/>
      <c r="X506" s="111"/>
      <c r="Y506" s="111"/>
      <c r="Z506" s="105"/>
      <c r="AA506" s="105"/>
      <c r="AB506" s="105"/>
    </row>
    <row r="507" spans="2:28" ht="21" customHeight="1">
      <c r="B507" s="105"/>
      <c r="C507" s="105"/>
      <c r="D507" s="105"/>
      <c r="E507" s="105"/>
      <c r="F507" s="114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11"/>
      <c r="T507" s="111"/>
      <c r="U507" s="111"/>
      <c r="V507" s="111"/>
      <c r="W507" s="111"/>
      <c r="X507" s="111"/>
      <c r="Y507" s="111"/>
      <c r="Z507" s="105"/>
      <c r="AA507" s="105"/>
      <c r="AB507" s="105"/>
    </row>
    <row r="508" spans="2:28" ht="21" customHeight="1">
      <c r="B508" s="105"/>
      <c r="C508" s="105"/>
      <c r="D508" s="105"/>
      <c r="E508" s="105"/>
      <c r="F508" s="114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11"/>
      <c r="T508" s="111"/>
      <c r="U508" s="111"/>
      <c r="V508" s="111"/>
      <c r="W508" s="111"/>
      <c r="X508" s="111"/>
      <c r="Y508" s="111"/>
      <c r="Z508" s="105"/>
      <c r="AA508" s="105"/>
      <c r="AB508" s="105"/>
    </row>
    <row r="509" spans="2:28" ht="21" customHeight="1">
      <c r="B509" s="105"/>
      <c r="C509" s="105"/>
      <c r="D509" s="105"/>
      <c r="E509" s="105"/>
      <c r="F509" s="114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11"/>
      <c r="T509" s="111"/>
      <c r="U509" s="111"/>
      <c r="V509" s="111"/>
      <c r="W509" s="111"/>
      <c r="X509" s="111"/>
      <c r="Y509" s="111"/>
      <c r="Z509" s="105"/>
      <c r="AA509" s="105"/>
      <c r="AB509" s="105"/>
    </row>
    <row r="510" spans="2:28" ht="21" customHeight="1">
      <c r="B510" s="105"/>
      <c r="C510" s="105"/>
      <c r="D510" s="105"/>
      <c r="E510" s="105"/>
      <c r="F510" s="114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11"/>
      <c r="T510" s="111"/>
      <c r="U510" s="111"/>
      <c r="V510" s="111"/>
      <c r="W510" s="111"/>
      <c r="X510" s="111"/>
      <c r="Y510" s="111"/>
      <c r="Z510" s="105"/>
      <c r="AA510" s="105"/>
      <c r="AB510" s="105"/>
    </row>
    <row r="511" spans="2:28" ht="21" customHeight="1">
      <c r="B511" s="105"/>
      <c r="C511" s="105"/>
      <c r="D511" s="105"/>
      <c r="E511" s="105"/>
      <c r="F511" s="114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11"/>
      <c r="T511" s="111"/>
      <c r="U511" s="111"/>
      <c r="V511" s="111"/>
      <c r="W511" s="111"/>
      <c r="X511" s="111"/>
      <c r="Y511" s="111"/>
      <c r="Z511" s="105"/>
      <c r="AA511" s="105"/>
      <c r="AB511" s="105"/>
    </row>
    <row r="512" spans="2:28" ht="21" customHeight="1">
      <c r="B512" s="105"/>
      <c r="C512" s="105"/>
      <c r="D512" s="105"/>
      <c r="E512" s="105"/>
      <c r="F512" s="114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11"/>
      <c r="T512" s="111"/>
      <c r="U512" s="111"/>
      <c r="V512" s="111"/>
      <c r="W512" s="111"/>
      <c r="X512" s="111"/>
      <c r="Y512" s="111"/>
      <c r="Z512" s="105"/>
      <c r="AA512" s="105"/>
      <c r="AB512" s="105"/>
    </row>
    <row r="513" spans="2:28" ht="21" customHeight="1">
      <c r="B513" s="105"/>
      <c r="C513" s="105"/>
      <c r="D513" s="105"/>
      <c r="E513" s="105"/>
      <c r="F513" s="114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11"/>
      <c r="T513" s="111"/>
      <c r="U513" s="111"/>
      <c r="V513" s="111"/>
      <c r="W513" s="111"/>
      <c r="X513" s="111"/>
      <c r="Y513" s="111"/>
      <c r="Z513" s="105"/>
      <c r="AA513" s="105"/>
      <c r="AB513" s="105"/>
    </row>
    <row r="514" spans="2:28" ht="21" customHeight="1">
      <c r="B514" s="105"/>
      <c r="C514" s="105"/>
      <c r="D514" s="105"/>
      <c r="E514" s="105"/>
      <c r="F514" s="114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11"/>
      <c r="T514" s="111"/>
      <c r="U514" s="111"/>
      <c r="V514" s="111"/>
      <c r="W514" s="111"/>
      <c r="X514" s="111"/>
      <c r="Y514" s="111"/>
      <c r="Z514" s="105"/>
      <c r="AA514" s="105"/>
      <c r="AB514" s="105"/>
    </row>
    <row r="515" spans="2:28" ht="21" customHeight="1">
      <c r="B515" s="105"/>
      <c r="C515" s="105"/>
      <c r="D515" s="105"/>
      <c r="E515" s="105"/>
      <c r="F515" s="114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11"/>
      <c r="T515" s="111"/>
      <c r="U515" s="111"/>
      <c r="V515" s="111"/>
      <c r="W515" s="111"/>
      <c r="X515" s="111"/>
      <c r="Y515" s="111"/>
      <c r="Z515" s="105"/>
      <c r="AA515" s="105"/>
      <c r="AB515" s="105"/>
    </row>
    <row r="516" spans="2:28" ht="21" customHeight="1">
      <c r="B516" s="105"/>
      <c r="C516" s="105"/>
      <c r="D516" s="105"/>
      <c r="E516" s="105"/>
      <c r="F516" s="114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11"/>
      <c r="T516" s="111"/>
      <c r="U516" s="111"/>
      <c r="V516" s="111"/>
      <c r="W516" s="111"/>
      <c r="X516" s="111"/>
      <c r="Y516" s="111"/>
      <c r="Z516" s="105"/>
      <c r="AA516" s="105"/>
      <c r="AB516" s="105"/>
    </row>
    <row r="517" spans="2:28" ht="21" customHeight="1">
      <c r="B517" s="105"/>
      <c r="C517" s="105"/>
      <c r="D517" s="105"/>
      <c r="E517" s="105"/>
      <c r="F517" s="114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11"/>
      <c r="T517" s="111"/>
      <c r="U517" s="111"/>
      <c r="V517" s="111"/>
      <c r="W517" s="111"/>
      <c r="X517" s="111"/>
      <c r="Y517" s="111"/>
      <c r="Z517" s="105"/>
      <c r="AA517" s="105"/>
      <c r="AB517" s="105"/>
    </row>
    <row r="518" spans="2:28" ht="21" customHeight="1">
      <c r="B518" s="105"/>
      <c r="C518" s="105"/>
      <c r="D518" s="105"/>
      <c r="E518" s="105"/>
      <c r="F518" s="114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11"/>
      <c r="T518" s="111"/>
      <c r="U518" s="111"/>
      <c r="V518" s="111"/>
      <c r="W518" s="111"/>
      <c r="X518" s="111"/>
      <c r="Y518" s="111"/>
      <c r="Z518" s="105"/>
      <c r="AA518" s="105"/>
      <c r="AB518" s="105"/>
    </row>
    <row r="519" spans="2:28" ht="21" customHeight="1">
      <c r="B519" s="105"/>
      <c r="C519" s="105"/>
      <c r="D519" s="105"/>
      <c r="E519" s="105"/>
      <c r="F519" s="114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11"/>
      <c r="T519" s="111"/>
      <c r="U519" s="111"/>
      <c r="V519" s="111"/>
      <c r="W519" s="111"/>
      <c r="X519" s="111"/>
      <c r="Y519" s="111"/>
      <c r="Z519" s="105"/>
      <c r="AA519" s="105"/>
      <c r="AB519" s="105"/>
    </row>
    <row r="520" spans="2:28" ht="21" customHeight="1">
      <c r="B520" s="105"/>
      <c r="C520" s="105"/>
      <c r="D520" s="105"/>
      <c r="E520" s="105"/>
      <c r="F520" s="114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11"/>
      <c r="T520" s="111"/>
      <c r="U520" s="111"/>
      <c r="V520" s="111"/>
      <c r="W520" s="111"/>
      <c r="X520" s="111"/>
      <c r="Y520" s="111"/>
      <c r="Z520" s="105"/>
      <c r="AA520" s="105"/>
      <c r="AB520" s="105"/>
    </row>
    <row r="521" spans="2:28" ht="21" customHeight="1">
      <c r="B521" s="105"/>
      <c r="C521" s="105"/>
      <c r="D521" s="105"/>
      <c r="E521" s="105"/>
      <c r="F521" s="114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11"/>
      <c r="T521" s="111"/>
      <c r="U521" s="111"/>
      <c r="V521" s="111"/>
      <c r="W521" s="111"/>
      <c r="X521" s="111"/>
      <c r="Y521" s="111"/>
      <c r="Z521" s="105"/>
      <c r="AA521" s="105"/>
      <c r="AB521" s="105"/>
    </row>
    <row r="522" spans="2:28" ht="21" customHeight="1">
      <c r="B522" s="105"/>
      <c r="C522" s="105"/>
      <c r="D522" s="105"/>
      <c r="E522" s="105"/>
      <c r="F522" s="114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11"/>
      <c r="T522" s="111"/>
      <c r="U522" s="111"/>
      <c r="V522" s="111"/>
      <c r="W522" s="111"/>
      <c r="X522" s="111"/>
      <c r="Y522" s="111"/>
      <c r="Z522" s="105"/>
      <c r="AA522" s="105"/>
      <c r="AB522" s="105"/>
    </row>
    <row r="523" spans="2:28" ht="21" customHeight="1">
      <c r="B523" s="105"/>
      <c r="C523" s="105"/>
      <c r="D523" s="105"/>
      <c r="E523" s="105"/>
      <c r="F523" s="114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11"/>
      <c r="T523" s="111"/>
      <c r="U523" s="111"/>
      <c r="V523" s="111"/>
      <c r="W523" s="111"/>
      <c r="X523" s="111"/>
      <c r="Y523" s="111"/>
      <c r="Z523" s="105"/>
      <c r="AA523" s="105"/>
      <c r="AB523" s="105"/>
    </row>
    <row r="524" spans="2:28" ht="21" customHeight="1">
      <c r="B524" s="105"/>
      <c r="C524" s="105"/>
      <c r="D524" s="105"/>
      <c r="E524" s="105"/>
      <c r="F524" s="114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11"/>
      <c r="T524" s="111"/>
      <c r="U524" s="111"/>
      <c r="V524" s="111"/>
      <c r="W524" s="111"/>
      <c r="X524" s="111"/>
      <c r="Y524" s="111"/>
      <c r="Z524" s="105"/>
      <c r="AA524" s="105"/>
      <c r="AB524" s="105"/>
    </row>
    <row r="525" spans="2:28" ht="21" customHeight="1">
      <c r="B525" s="105"/>
      <c r="C525" s="105"/>
      <c r="D525" s="105"/>
      <c r="E525" s="105"/>
      <c r="F525" s="114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11"/>
      <c r="T525" s="111"/>
      <c r="U525" s="111"/>
      <c r="V525" s="111"/>
      <c r="W525" s="111"/>
      <c r="X525" s="111"/>
      <c r="Y525" s="111"/>
      <c r="Z525" s="105"/>
      <c r="AA525" s="105"/>
      <c r="AB525" s="105"/>
    </row>
    <row r="526" spans="2:28" ht="21" customHeight="1">
      <c r="B526" s="105"/>
      <c r="C526" s="105"/>
      <c r="D526" s="105"/>
      <c r="E526" s="105"/>
      <c r="F526" s="114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11"/>
      <c r="T526" s="111"/>
      <c r="U526" s="111"/>
      <c r="V526" s="111"/>
      <c r="W526" s="111"/>
      <c r="X526" s="111"/>
      <c r="Y526" s="111"/>
      <c r="Z526" s="105"/>
      <c r="AA526" s="105"/>
      <c r="AB526" s="105"/>
    </row>
    <row r="527" spans="2:28" ht="21" customHeight="1">
      <c r="B527" s="105"/>
      <c r="C527" s="105"/>
      <c r="D527" s="105"/>
      <c r="E527" s="105"/>
      <c r="F527" s="114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11"/>
      <c r="T527" s="111"/>
      <c r="U527" s="111"/>
      <c r="V527" s="111"/>
      <c r="W527" s="111"/>
      <c r="X527" s="111"/>
      <c r="Y527" s="111"/>
      <c r="Z527" s="105"/>
      <c r="AA527" s="105"/>
      <c r="AB527" s="105"/>
    </row>
    <row r="528" spans="2:28" ht="21" customHeight="1">
      <c r="B528" s="105"/>
      <c r="C528" s="105"/>
      <c r="D528" s="105"/>
      <c r="E528" s="105"/>
      <c r="F528" s="114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11"/>
      <c r="T528" s="111"/>
      <c r="U528" s="111"/>
      <c r="V528" s="111"/>
      <c r="W528" s="111"/>
      <c r="X528" s="111"/>
      <c r="Y528" s="111"/>
      <c r="Z528" s="105"/>
      <c r="AA528" s="105"/>
      <c r="AB528" s="105"/>
    </row>
    <row r="529" spans="2:28" ht="21" customHeight="1">
      <c r="B529" s="105"/>
      <c r="C529" s="105"/>
      <c r="D529" s="105"/>
      <c r="E529" s="105"/>
      <c r="F529" s="114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11"/>
      <c r="T529" s="111"/>
      <c r="U529" s="111"/>
      <c r="V529" s="111"/>
      <c r="W529" s="111"/>
      <c r="X529" s="111"/>
      <c r="Y529" s="111"/>
      <c r="Z529" s="105"/>
      <c r="AA529" s="105"/>
      <c r="AB529" s="105"/>
    </row>
    <row r="530" spans="2:28" ht="21" customHeight="1">
      <c r="B530" s="105"/>
      <c r="C530" s="105"/>
      <c r="D530" s="105"/>
      <c r="E530" s="105"/>
      <c r="F530" s="114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11"/>
      <c r="T530" s="111"/>
      <c r="U530" s="111"/>
      <c r="V530" s="111"/>
      <c r="W530" s="111"/>
      <c r="X530" s="111"/>
      <c r="Y530" s="111"/>
      <c r="Z530" s="105"/>
      <c r="AA530" s="105"/>
      <c r="AB530" s="105"/>
    </row>
    <row r="531" spans="2:28" ht="21" customHeight="1">
      <c r="B531" s="105"/>
      <c r="C531" s="105"/>
      <c r="D531" s="105"/>
      <c r="E531" s="105"/>
      <c r="F531" s="114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11"/>
      <c r="T531" s="111"/>
      <c r="U531" s="111"/>
      <c r="V531" s="111"/>
      <c r="W531" s="111"/>
      <c r="X531" s="111"/>
      <c r="Y531" s="111"/>
      <c r="Z531" s="105"/>
      <c r="AA531" s="105"/>
      <c r="AB531" s="105"/>
    </row>
    <row r="532" spans="2:28" ht="21" customHeight="1">
      <c r="B532" s="105"/>
      <c r="C532" s="105"/>
      <c r="D532" s="105"/>
      <c r="E532" s="105"/>
      <c r="F532" s="114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11"/>
      <c r="T532" s="111"/>
      <c r="U532" s="111"/>
      <c r="V532" s="111"/>
      <c r="W532" s="111"/>
      <c r="X532" s="111"/>
      <c r="Y532" s="111"/>
      <c r="Z532" s="105"/>
      <c r="AA532" s="105"/>
      <c r="AB532" s="105"/>
    </row>
    <row r="533" spans="2:28" ht="21" customHeight="1">
      <c r="B533" s="105"/>
      <c r="C533" s="105"/>
      <c r="D533" s="105"/>
      <c r="E533" s="105"/>
      <c r="F533" s="114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11"/>
      <c r="T533" s="111"/>
      <c r="U533" s="111"/>
      <c r="V533" s="111"/>
      <c r="W533" s="111"/>
      <c r="X533" s="111"/>
      <c r="Y533" s="111"/>
      <c r="Z533" s="105"/>
      <c r="AA533" s="105"/>
      <c r="AB533" s="105"/>
    </row>
    <row r="534" spans="2:28" ht="21" customHeight="1">
      <c r="B534" s="105"/>
      <c r="C534" s="105"/>
      <c r="D534" s="105"/>
      <c r="E534" s="105"/>
      <c r="F534" s="114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11"/>
      <c r="T534" s="111"/>
      <c r="U534" s="111"/>
      <c r="V534" s="111"/>
      <c r="W534" s="111"/>
      <c r="X534" s="111"/>
      <c r="Y534" s="111"/>
      <c r="Z534" s="105"/>
      <c r="AA534" s="105"/>
      <c r="AB534" s="105"/>
    </row>
    <row r="535" spans="2:28" ht="21" customHeight="1">
      <c r="B535" s="105"/>
      <c r="C535" s="105"/>
      <c r="D535" s="105"/>
      <c r="E535" s="105"/>
      <c r="F535" s="114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11"/>
      <c r="T535" s="111"/>
      <c r="U535" s="111"/>
      <c r="V535" s="111"/>
      <c r="W535" s="111"/>
      <c r="X535" s="111"/>
      <c r="Y535" s="111"/>
      <c r="Z535" s="105"/>
      <c r="AA535" s="105"/>
      <c r="AB535" s="105"/>
    </row>
    <row r="536" spans="2:28" ht="21" customHeight="1">
      <c r="B536" s="105"/>
      <c r="C536" s="105"/>
      <c r="D536" s="105"/>
      <c r="E536" s="105"/>
      <c r="F536" s="114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11"/>
      <c r="T536" s="111"/>
      <c r="U536" s="111"/>
      <c r="V536" s="111"/>
      <c r="W536" s="111"/>
      <c r="X536" s="111"/>
      <c r="Y536" s="111"/>
      <c r="Z536" s="105"/>
      <c r="AA536" s="105"/>
      <c r="AB536" s="105"/>
    </row>
    <row r="537" spans="2:28" ht="21" customHeight="1">
      <c r="B537" s="105"/>
      <c r="C537" s="105"/>
      <c r="D537" s="105"/>
      <c r="E537" s="105"/>
      <c r="F537" s="114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11"/>
      <c r="T537" s="111"/>
      <c r="U537" s="111"/>
      <c r="V537" s="111"/>
      <c r="W537" s="111"/>
      <c r="X537" s="111"/>
      <c r="Y537" s="111"/>
      <c r="Z537" s="105"/>
      <c r="AA537" s="105"/>
      <c r="AB537" s="105"/>
    </row>
    <row r="538" spans="2:28" ht="21" customHeight="1">
      <c r="B538" s="105"/>
      <c r="C538" s="105"/>
      <c r="D538" s="105"/>
      <c r="E538" s="105"/>
      <c r="F538" s="114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11"/>
      <c r="T538" s="111"/>
      <c r="U538" s="111"/>
      <c r="V538" s="111"/>
      <c r="W538" s="111"/>
      <c r="X538" s="111"/>
      <c r="Y538" s="111"/>
      <c r="Z538" s="105"/>
      <c r="AA538" s="105"/>
      <c r="AB538" s="105"/>
    </row>
    <row r="539" spans="2:28" ht="21" customHeight="1">
      <c r="B539" s="105"/>
      <c r="C539" s="105"/>
      <c r="D539" s="105"/>
      <c r="E539" s="105"/>
      <c r="F539" s="114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11"/>
      <c r="T539" s="111"/>
      <c r="U539" s="111"/>
      <c r="V539" s="111"/>
      <c r="W539" s="111"/>
      <c r="X539" s="111"/>
      <c r="Y539" s="111"/>
      <c r="Z539" s="105"/>
      <c r="AA539" s="105"/>
      <c r="AB539" s="105"/>
    </row>
    <row r="540" spans="2:28" ht="21" customHeight="1">
      <c r="B540" s="105"/>
      <c r="C540" s="105"/>
      <c r="D540" s="105"/>
      <c r="E540" s="105"/>
      <c r="F540" s="114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11"/>
      <c r="T540" s="111"/>
      <c r="U540" s="111"/>
      <c r="V540" s="111"/>
      <c r="W540" s="111"/>
      <c r="X540" s="111"/>
      <c r="Y540" s="111"/>
      <c r="Z540" s="105"/>
      <c r="AA540" s="105"/>
      <c r="AB540" s="105"/>
    </row>
    <row r="541" spans="2:28" ht="21" customHeight="1">
      <c r="B541" s="105"/>
      <c r="C541" s="105"/>
      <c r="D541" s="105"/>
      <c r="E541" s="105"/>
      <c r="F541" s="114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11"/>
      <c r="T541" s="111"/>
      <c r="U541" s="111"/>
      <c r="V541" s="111"/>
      <c r="W541" s="111"/>
      <c r="X541" s="111"/>
      <c r="Y541" s="111"/>
      <c r="Z541" s="105"/>
      <c r="AA541" s="105"/>
      <c r="AB541" s="105"/>
    </row>
    <row r="542" spans="2:28" ht="21" customHeight="1">
      <c r="B542" s="105"/>
      <c r="C542" s="105"/>
      <c r="D542" s="105"/>
      <c r="E542" s="105"/>
      <c r="F542" s="114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11"/>
      <c r="T542" s="111"/>
      <c r="U542" s="111"/>
      <c r="V542" s="111"/>
      <c r="W542" s="111"/>
      <c r="X542" s="111"/>
      <c r="Y542" s="111"/>
      <c r="Z542" s="105"/>
      <c r="AA542" s="105"/>
      <c r="AB542" s="105"/>
    </row>
    <row r="543" spans="2:28" ht="21" customHeight="1">
      <c r="B543" s="105"/>
      <c r="C543" s="105"/>
      <c r="D543" s="105"/>
      <c r="E543" s="105"/>
      <c r="F543" s="114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11"/>
      <c r="T543" s="111"/>
      <c r="U543" s="111"/>
      <c r="V543" s="111"/>
      <c r="W543" s="111"/>
      <c r="X543" s="111"/>
      <c r="Y543" s="111"/>
      <c r="Z543" s="105"/>
      <c r="AA543" s="105"/>
      <c r="AB543" s="105"/>
    </row>
    <row r="544" spans="2:28" ht="21" customHeight="1">
      <c r="B544" s="105"/>
      <c r="C544" s="105"/>
      <c r="D544" s="105"/>
      <c r="E544" s="105"/>
      <c r="F544" s="114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11"/>
      <c r="T544" s="111"/>
      <c r="U544" s="111"/>
      <c r="V544" s="111"/>
      <c r="W544" s="111"/>
      <c r="X544" s="111"/>
      <c r="Y544" s="111"/>
      <c r="Z544" s="105"/>
      <c r="AA544" s="105"/>
      <c r="AB544" s="105"/>
    </row>
    <row r="545" spans="2:28" ht="21" customHeight="1">
      <c r="B545" s="105"/>
      <c r="C545" s="105"/>
      <c r="D545" s="105"/>
      <c r="E545" s="105"/>
      <c r="F545" s="114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11"/>
      <c r="T545" s="111"/>
      <c r="U545" s="111"/>
      <c r="V545" s="111"/>
      <c r="W545" s="111"/>
      <c r="X545" s="111"/>
      <c r="Y545" s="111"/>
      <c r="Z545" s="105"/>
      <c r="AA545" s="105"/>
      <c r="AB545" s="105"/>
    </row>
    <row r="546" spans="2:28" ht="21" customHeight="1">
      <c r="B546" s="105"/>
      <c r="C546" s="105"/>
      <c r="D546" s="105"/>
      <c r="E546" s="105"/>
      <c r="F546" s="114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11"/>
      <c r="T546" s="111"/>
      <c r="U546" s="111"/>
      <c r="V546" s="111"/>
      <c r="W546" s="111"/>
      <c r="X546" s="111"/>
      <c r="Y546" s="111"/>
      <c r="Z546" s="105"/>
      <c r="AA546" s="105"/>
      <c r="AB546" s="105"/>
    </row>
    <row r="547" spans="2:28" ht="21" customHeight="1">
      <c r="B547" s="105"/>
      <c r="C547" s="105"/>
      <c r="D547" s="105"/>
      <c r="E547" s="105"/>
      <c r="F547" s="114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11"/>
      <c r="T547" s="111"/>
      <c r="U547" s="111"/>
      <c r="V547" s="111"/>
      <c r="W547" s="111"/>
      <c r="X547" s="111"/>
      <c r="Y547" s="111"/>
      <c r="Z547" s="105"/>
      <c r="AA547" s="105"/>
      <c r="AB547" s="105"/>
    </row>
    <row r="548" spans="2:28" ht="21" customHeight="1">
      <c r="B548" s="105"/>
      <c r="C548" s="105"/>
      <c r="D548" s="105"/>
      <c r="E548" s="105"/>
      <c r="F548" s="114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11"/>
      <c r="T548" s="111"/>
      <c r="U548" s="111"/>
      <c r="V548" s="111"/>
      <c r="W548" s="111"/>
      <c r="X548" s="111"/>
      <c r="Y548" s="111"/>
      <c r="Z548" s="105"/>
      <c r="AA548" s="105"/>
      <c r="AB548" s="105"/>
    </row>
    <row r="549" spans="2:28" ht="21" customHeight="1">
      <c r="B549" s="105"/>
      <c r="C549" s="105"/>
      <c r="D549" s="105"/>
      <c r="E549" s="105"/>
      <c r="F549" s="114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11"/>
      <c r="T549" s="111"/>
      <c r="U549" s="111"/>
      <c r="V549" s="111"/>
      <c r="W549" s="111"/>
      <c r="X549" s="111"/>
      <c r="Y549" s="111"/>
      <c r="Z549" s="105"/>
      <c r="AA549" s="105"/>
      <c r="AB549" s="105"/>
    </row>
    <row r="550" spans="2:28" ht="21" customHeight="1">
      <c r="B550" s="105"/>
      <c r="C550" s="105"/>
      <c r="D550" s="105"/>
      <c r="E550" s="105"/>
      <c r="F550" s="114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11"/>
      <c r="T550" s="111"/>
      <c r="U550" s="111"/>
      <c r="V550" s="111"/>
      <c r="W550" s="111"/>
      <c r="X550" s="111"/>
      <c r="Y550" s="111"/>
      <c r="Z550" s="105"/>
      <c r="AA550" s="105"/>
      <c r="AB550" s="105"/>
    </row>
    <row r="551" spans="2:28" ht="21" customHeight="1">
      <c r="B551" s="105"/>
      <c r="C551" s="105"/>
      <c r="D551" s="105"/>
      <c r="E551" s="105"/>
      <c r="F551" s="114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11"/>
      <c r="T551" s="111"/>
      <c r="U551" s="111"/>
      <c r="V551" s="111"/>
      <c r="W551" s="111"/>
      <c r="X551" s="111"/>
      <c r="Y551" s="111"/>
      <c r="Z551" s="105"/>
      <c r="AA551" s="105"/>
      <c r="AB551" s="105"/>
    </row>
    <row r="552" spans="2:28" ht="21" customHeight="1">
      <c r="B552" s="105"/>
      <c r="C552" s="105"/>
      <c r="D552" s="105"/>
      <c r="E552" s="105"/>
      <c r="F552" s="114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11"/>
      <c r="T552" s="111"/>
      <c r="U552" s="111"/>
      <c r="V552" s="111"/>
      <c r="W552" s="111"/>
      <c r="X552" s="111"/>
      <c r="Y552" s="111"/>
      <c r="Z552" s="105"/>
      <c r="AA552" s="105"/>
      <c r="AB552" s="105"/>
    </row>
    <row r="553" spans="2:28" ht="21" customHeight="1">
      <c r="B553" s="105"/>
      <c r="C553" s="105"/>
      <c r="D553" s="105"/>
      <c r="E553" s="105"/>
      <c r="F553" s="114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11"/>
      <c r="T553" s="111"/>
      <c r="U553" s="111"/>
      <c r="V553" s="111"/>
      <c r="W553" s="111"/>
      <c r="X553" s="111"/>
      <c r="Y553" s="111"/>
      <c r="Z553" s="105"/>
      <c r="AA553" s="105"/>
      <c r="AB553" s="105"/>
    </row>
    <row r="554" spans="2:28" ht="21" customHeight="1">
      <c r="B554" s="105"/>
      <c r="C554" s="105"/>
      <c r="D554" s="105"/>
      <c r="E554" s="105"/>
      <c r="F554" s="114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11"/>
      <c r="T554" s="111"/>
      <c r="U554" s="111"/>
      <c r="V554" s="111"/>
      <c r="W554" s="111"/>
      <c r="X554" s="111"/>
      <c r="Y554" s="111"/>
      <c r="Z554" s="105"/>
      <c r="AA554" s="105"/>
      <c r="AB554" s="105"/>
    </row>
    <row r="555" spans="2:28" ht="21" customHeight="1">
      <c r="B555" s="105"/>
      <c r="C555" s="105"/>
      <c r="D555" s="105"/>
      <c r="E555" s="105"/>
      <c r="F555" s="114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11"/>
      <c r="T555" s="111"/>
      <c r="U555" s="111"/>
      <c r="V555" s="111"/>
      <c r="W555" s="111"/>
      <c r="X555" s="111"/>
      <c r="Y555" s="111"/>
      <c r="Z555" s="105"/>
      <c r="AA555" s="105"/>
      <c r="AB555" s="105"/>
    </row>
    <row r="556" spans="2:28" ht="21" customHeight="1">
      <c r="B556" s="105"/>
      <c r="C556" s="105"/>
      <c r="D556" s="105"/>
      <c r="E556" s="105"/>
      <c r="F556" s="114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11"/>
      <c r="T556" s="111"/>
      <c r="U556" s="111"/>
      <c r="V556" s="111"/>
      <c r="W556" s="111"/>
      <c r="X556" s="111"/>
      <c r="Y556" s="111"/>
      <c r="Z556" s="105"/>
      <c r="AA556" s="105"/>
      <c r="AB556" s="105"/>
    </row>
    <row r="557" spans="2:28" ht="21" customHeight="1">
      <c r="B557" s="105"/>
      <c r="C557" s="105"/>
      <c r="D557" s="105"/>
      <c r="E557" s="105"/>
      <c r="F557" s="114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11"/>
      <c r="T557" s="111"/>
      <c r="U557" s="111"/>
      <c r="V557" s="111"/>
      <c r="W557" s="111"/>
      <c r="X557" s="111"/>
      <c r="Y557" s="111"/>
      <c r="Z557" s="105"/>
      <c r="AA557" s="105"/>
      <c r="AB557" s="105"/>
    </row>
    <row r="558" spans="2:28" ht="21" customHeight="1">
      <c r="B558" s="105"/>
      <c r="C558" s="105"/>
      <c r="D558" s="105"/>
      <c r="E558" s="105"/>
      <c r="F558" s="114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11"/>
      <c r="T558" s="111"/>
      <c r="U558" s="111"/>
      <c r="V558" s="111"/>
      <c r="W558" s="111"/>
      <c r="X558" s="111"/>
      <c r="Y558" s="111"/>
      <c r="Z558" s="105"/>
      <c r="AA558" s="105"/>
      <c r="AB558" s="105"/>
    </row>
    <row r="559" spans="2:28" ht="21" customHeight="1">
      <c r="B559" s="105"/>
      <c r="C559" s="105"/>
      <c r="D559" s="105"/>
      <c r="E559" s="105"/>
      <c r="F559" s="114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11"/>
      <c r="T559" s="111"/>
      <c r="U559" s="111"/>
      <c r="V559" s="111"/>
      <c r="W559" s="111"/>
      <c r="X559" s="111"/>
      <c r="Y559" s="111"/>
      <c r="Z559" s="105"/>
      <c r="AA559" s="105"/>
      <c r="AB559" s="105"/>
    </row>
    <row r="560" spans="2:28" ht="21" customHeight="1">
      <c r="B560" s="105"/>
      <c r="C560" s="105"/>
      <c r="D560" s="105"/>
      <c r="E560" s="105"/>
      <c r="F560" s="114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11"/>
      <c r="T560" s="111"/>
      <c r="U560" s="111"/>
      <c r="V560" s="111"/>
      <c r="W560" s="111"/>
      <c r="X560" s="111"/>
      <c r="Y560" s="111"/>
      <c r="Z560" s="105"/>
      <c r="AA560" s="105"/>
      <c r="AB560" s="105"/>
    </row>
    <row r="561" spans="2:28" ht="21" customHeight="1">
      <c r="B561" s="105"/>
      <c r="C561" s="105"/>
      <c r="D561" s="105"/>
      <c r="E561" s="105"/>
      <c r="F561" s="114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11"/>
      <c r="T561" s="111"/>
      <c r="U561" s="111"/>
      <c r="V561" s="111"/>
      <c r="W561" s="111"/>
      <c r="X561" s="111"/>
      <c r="Y561" s="111"/>
      <c r="Z561" s="105"/>
      <c r="AA561" s="105"/>
      <c r="AB561" s="105"/>
    </row>
    <row r="562" spans="2:28" ht="21" customHeight="1">
      <c r="B562" s="105"/>
      <c r="C562" s="105"/>
      <c r="D562" s="105"/>
      <c r="E562" s="105"/>
      <c r="F562" s="114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11"/>
      <c r="T562" s="111"/>
      <c r="U562" s="111"/>
      <c r="V562" s="111"/>
      <c r="W562" s="111"/>
      <c r="X562" s="111"/>
      <c r="Y562" s="111"/>
      <c r="Z562" s="105"/>
      <c r="AA562" s="105"/>
      <c r="AB562" s="105"/>
    </row>
    <row r="563" spans="2:28" ht="21" customHeight="1">
      <c r="B563" s="105"/>
      <c r="C563" s="105"/>
      <c r="D563" s="105"/>
      <c r="E563" s="105"/>
      <c r="F563" s="114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11"/>
      <c r="T563" s="111"/>
      <c r="U563" s="111"/>
      <c r="V563" s="111"/>
      <c r="W563" s="111"/>
      <c r="X563" s="111"/>
      <c r="Y563" s="111"/>
      <c r="Z563" s="105"/>
      <c r="AA563" s="105"/>
      <c r="AB563" s="105"/>
    </row>
    <row r="564" spans="2:28" ht="21" customHeight="1">
      <c r="B564" s="105"/>
      <c r="C564" s="105"/>
      <c r="D564" s="105"/>
      <c r="E564" s="105"/>
      <c r="F564" s="114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11"/>
      <c r="T564" s="111"/>
      <c r="U564" s="111"/>
      <c r="V564" s="111"/>
      <c r="W564" s="111"/>
      <c r="X564" s="111"/>
      <c r="Y564" s="111"/>
      <c r="Z564" s="105"/>
      <c r="AA564" s="105"/>
      <c r="AB564" s="105"/>
    </row>
    <row r="565" spans="2:28" ht="21" customHeight="1">
      <c r="B565" s="105"/>
      <c r="C565" s="105"/>
      <c r="D565" s="105"/>
      <c r="E565" s="105"/>
      <c r="F565" s="114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11"/>
      <c r="T565" s="111"/>
      <c r="U565" s="111"/>
      <c r="V565" s="111"/>
      <c r="W565" s="111"/>
      <c r="X565" s="111"/>
      <c r="Y565" s="111"/>
      <c r="Z565" s="105"/>
      <c r="AA565" s="105"/>
      <c r="AB565" s="105"/>
    </row>
    <row r="566" spans="2:28" ht="21" customHeight="1">
      <c r="B566" s="105"/>
      <c r="C566" s="105"/>
      <c r="D566" s="105"/>
      <c r="E566" s="105"/>
      <c r="F566" s="114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11"/>
      <c r="T566" s="111"/>
      <c r="U566" s="111"/>
      <c r="V566" s="111"/>
      <c r="W566" s="111"/>
      <c r="X566" s="111"/>
      <c r="Y566" s="111"/>
      <c r="Z566" s="105"/>
      <c r="AA566" s="105"/>
      <c r="AB566" s="105"/>
    </row>
    <row r="567" spans="2:28" ht="21" customHeight="1">
      <c r="B567" s="105"/>
      <c r="C567" s="105"/>
      <c r="D567" s="105"/>
      <c r="E567" s="105"/>
      <c r="F567" s="114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11"/>
      <c r="T567" s="111"/>
      <c r="U567" s="111"/>
      <c r="V567" s="111"/>
      <c r="W567" s="111"/>
      <c r="X567" s="111"/>
      <c r="Y567" s="111"/>
      <c r="Z567" s="105"/>
      <c r="AA567" s="105"/>
      <c r="AB567" s="105"/>
    </row>
    <row r="568" spans="2:28" ht="21" customHeight="1">
      <c r="B568" s="105"/>
      <c r="C568" s="105"/>
      <c r="D568" s="105"/>
      <c r="E568" s="105"/>
      <c r="F568" s="114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11"/>
      <c r="T568" s="111"/>
      <c r="U568" s="111"/>
      <c r="V568" s="111"/>
      <c r="W568" s="111"/>
      <c r="X568" s="111"/>
      <c r="Y568" s="111"/>
      <c r="Z568" s="105"/>
      <c r="AA568" s="105"/>
      <c r="AB568" s="105"/>
    </row>
    <row r="569" spans="2:28" ht="21" customHeight="1">
      <c r="B569" s="105"/>
      <c r="C569" s="105"/>
      <c r="D569" s="105"/>
      <c r="E569" s="105"/>
      <c r="F569" s="114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11"/>
      <c r="T569" s="111"/>
      <c r="U569" s="111"/>
      <c r="V569" s="111"/>
      <c r="W569" s="111"/>
      <c r="X569" s="111"/>
      <c r="Y569" s="111"/>
      <c r="Z569" s="105"/>
      <c r="AA569" s="105"/>
      <c r="AB569" s="105"/>
    </row>
    <row r="570" spans="2:28" ht="21" customHeight="1">
      <c r="B570" s="105"/>
      <c r="C570" s="105"/>
      <c r="D570" s="105"/>
      <c r="E570" s="105"/>
      <c r="F570" s="114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11"/>
      <c r="T570" s="111"/>
      <c r="U570" s="111"/>
      <c r="V570" s="111"/>
      <c r="W570" s="111"/>
      <c r="X570" s="111"/>
      <c r="Y570" s="111"/>
      <c r="Z570" s="105"/>
      <c r="AA570" s="105"/>
      <c r="AB570" s="105"/>
    </row>
    <row r="571" spans="2:28" ht="21" customHeight="1">
      <c r="B571" s="105"/>
      <c r="C571" s="105"/>
      <c r="D571" s="105"/>
      <c r="E571" s="105"/>
      <c r="F571" s="114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11"/>
      <c r="T571" s="111"/>
      <c r="U571" s="111"/>
      <c r="V571" s="111"/>
      <c r="W571" s="111"/>
      <c r="X571" s="111"/>
      <c r="Y571" s="111"/>
      <c r="Z571" s="105"/>
      <c r="AA571" s="105"/>
      <c r="AB571" s="105"/>
    </row>
    <row r="572" spans="2:28" ht="21" customHeight="1">
      <c r="B572" s="105"/>
      <c r="C572" s="105"/>
      <c r="D572" s="105"/>
      <c r="E572" s="105"/>
      <c r="F572" s="114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11"/>
      <c r="T572" s="111"/>
      <c r="U572" s="111"/>
      <c r="V572" s="111"/>
      <c r="W572" s="111"/>
      <c r="X572" s="111"/>
      <c r="Y572" s="111"/>
      <c r="Z572" s="105"/>
      <c r="AA572" s="105"/>
      <c r="AB572" s="105"/>
    </row>
    <row r="573" spans="2:28" ht="21" customHeight="1">
      <c r="B573" s="105"/>
      <c r="C573" s="105"/>
      <c r="D573" s="105"/>
      <c r="E573" s="105"/>
      <c r="F573" s="114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11"/>
      <c r="T573" s="111"/>
      <c r="U573" s="111"/>
      <c r="V573" s="111"/>
      <c r="W573" s="111"/>
      <c r="X573" s="111"/>
      <c r="Y573" s="111"/>
      <c r="Z573" s="105"/>
      <c r="AA573" s="105"/>
      <c r="AB573" s="105"/>
    </row>
    <row r="574" spans="2:28" ht="21" customHeight="1">
      <c r="B574" s="105"/>
      <c r="C574" s="105"/>
      <c r="D574" s="105"/>
      <c r="E574" s="105"/>
      <c r="F574" s="114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11"/>
      <c r="T574" s="111"/>
      <c r="U574" s="111"/>
      <c r="V574" s="111"/>
      <c r="W574" s="111"/>
      <c r="X574" s="111"/>
      <c r="Y574" s="111"/>
      <c r="Z574" s="105"/>
      <c r="AA574" s="105"/>
      <c r="AB574" s="105"/>
    </row>
    <row r="575" spans="2:28" ht="21" customHeight="1">
      <c r="B575" s="105"/>
      <c r="C575" s="105"/>
      <c r="D575" s="105"/>
      <c r="E575" s="105"/>
      <c r="F575" s="114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11"/>
      <c r="T575" s="111"/>
      <c r="U575" s="111"/>
      <c r="V575" s="111"/>
      <c r="W575" s="111"/>
      <c r="X575" s="111"/>
      <c r="Y575" s="111"/>
      <c r="Z575" s="105"/>
      <c r="AA575" s="105"/>
      <c r="AB575" s="105"/>
    </row>
    <row r="576" spans="2:28" ht="21" customHeight="1">
      <c r="B576" s="105"/>
      <c r="C576" s="105"/>
      <c r="D576" s="105"/>
      <c r="E576" s="105"/>
      <c r="F576" s="114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11"/>
      <c r="T576" s="111"/>
      <c r="U576" s="111"/>
      <c r="V576" s="111"/>
      <c r="W576" s="111"/>
      <c r="X576" s="111"/>
      <c r="Y576" s="111"/>
      <c r="Z576" s="105"/>
      <c r="AA576" s="105"/>
      <c r="AB576" s="105"/>
    </row>
    <row r="577" spans="2:28" ht="21" customHeight="1">
      <c r="B577" s="105"/>
      <c r="C577" s="105"/>
      <c r="D577" s="105"/>
      <c r="E577" s="105"/>
      <c r="F577" s="114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11"/>
      <c r="T577" s="111"/>
      <c r="U577" s="111"/>
      <c r="V577" s="111"/>
      <c r="W577" s="111"/>
      <c r="X577" s="111"/>
      <c r="Y577" s="111"/>
      <c r="Z577" s="105"/>
      <c r="AA577" s="105"/>
      <c r="AB577" s="105"/>
    </row>
    <row r="578" spans="2:28" ht="21" customHeight="1">
      <c r="B578" s="105"/>
      <c r="C578" s="105"/>
      <c r="D578" s="105"/>
      <c r="E578" s="105"/>
      <c r="F578" s="114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11"/>
      <c r="T578" s="111"/>
      <c r="U578" s="111"/>
      <c r="V578" s="111"/>
      <c r="W578" s="111"/>
      <c r="X578" s="111"/>
      <c r="Y578" s="111"/>
      <c r="Z578" s="105"/>
      <c r="AA578" s="105"/>
      <c r="AB578" s="105"/>
    </row>
    <row r="579" spans="2:28" ht="21" customHeight="1">
      <c r="B579" s="105"/>
      <c r="C579" s="105"/>
      <c r="D579" s="105"/>
      <c r="E579" s="105"/>
      <c r="F579" s="114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11"/>
      <c r="T579" s="111"/>
      <c r="U579" s="111"/>
      <c r="V579" s="111"/>
      <c r="W579" s="111"/>
      <c r="X579" s="111"/>
      <c r="Y579" s="111"/>
      <c r="Z579" s="105"/>
      <c r="AA579" s="105"/>
      <c r="AB579" s="105"/>
    </row>
    <row r="580" spans="2:28" ht="21" customHeight="1">
      <c r="B580" s="105"/>
      <c r="C580" s="105"/>
      <c r="D580" s="105"/>
      <c r="E580" s="105"/>
      <c r="F580" s="114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11"/>
      <c r="T580" s="111"/>
      <c r="U580" s="111"/>
      <c r="V580" s="111"/>
      <c r="W580" s="111"/>
      <c r="X580" s="111"/>
      <c r="Y580" s="111"/>
      <c r="Z580" s="105"/>
      <c r="AA580" s="105"/>
      <c r="AB580" s="105"/>
    </row>
    <row r="581" spans="2:28" ht="21" customHeight="1">
      <c r="B581" s="105"/>
      <c r="C581" s="105"/>
      <c r="D581" s="105"/>
      <c r="E581" s="105"/>
      <c r="F581" s="114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11"/>
      <c r="T581" s="111"/>
      <c r="U581" s="111"/>
      <c r="V581" s="111"/>
      <c r="W581" s="111"/>
      <c r="X581" s="111"/>
      <c r="Y581" s="111"/>
      <c r="Z581" s="105"/>
      <c r="AA581" s="105"/>
      <c r="AB581" s="105"/>
    </row>
    <row r="582" spans="2:28" ht="21" customHeight="1">
      <c r="B582" s="105"/>
      <c r="C582" s="105"/>
      <c r="D582" s="105"/>
      <c r="E582" s="105"/>
      <c r="F582" s="114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11"/>
      <c r="T582" s="111"/>
      <c r="U582" s="111"/>
      <c r="V582" s="111"/>
      <c r="W582" s="111"/>
      <c r="X582" s="111"/>
      <c r="Y582" s="111"/>
      <c r="Z582" s="105"/>
      <c r="AA582" s="105"/>
      <c r="AB582" s="105"/>
    </row>
    <row r="583" spans="2:28" ht="21" customHeight="1">
      <c r="B583" s="105"/>
      <c r="C583" s="105"/>
      <c r="D583" s="105"/>
      <c r="E583" s="105"/>
      <c r="F583" s="114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11"/>
      <c r="T583" s="111"/>
      <c r="U583" s="111"/>
      <c r="V583" s="111"/>
      <c r="W583" s="111"/>
      <c r="X583" s="111"/>
      <c r="Y583" s="111"/>
      <c r="Z583" s="105"/>
      <c r="AA583" s="105"/>
      <c r="AB583" s="105"/>
    </row>
    <row r="584" spans="2:28" ht="21" customHeight="1">
      <c r="B584" s="105"/>
      <c r="C584" s="105"/>
      <c r="D584" s="105"/>
      <c r="E584" s="105"/>
      <c r="F584" s="114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11"/>
      <c r="T584" s="111"/>
      <c r="U584" s="111"/>
      <c r="V584" s="111"/>
      <c r="W584" s="111"/>
      <c r="X584" s="111"/>
      <c r="Y584" s="111"/>
      <c r="Z584" s="105"/>
      <c r="AA584" s="105"/>
      <c r="AB584" s="105"/>
    </row>
    <row r="585" spans="2:28" ht="21" customHeight="1">
      <c r="B585" s="105"/>
      <c r="C585" s="105"/>
      <c r="D585" s="105"/>
      <c r="E585" s="105"/>
      <c r="F585" s="114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11"/>
      <c r="T585" s="111"/>
      <c r="U585" s="111"/>
      <c r="V585" s="111"/>
      <c r="W585" s="111"/>
      <c r="X585" s="111"/>
      <c r="Y585" s="111"/>
      <c r="Z585" s="105"/>
      <c r="AA585" s="105"/>
      <c r="AB585" s="105"/>
    </row>
    <row r="586" spans="2:28" ht="21" customHeight="1">
      <c r="B586" s="105"/>
      <c r="C586" s="105"/>
      <c r="D586" s="105"/>
      <c r="E586" s="105"/>
      <c r="F586" s="114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11"/>
      <c r="T586" s="111"/>
      <c r="U586" s="111"/>
      <c r="V586" s="111"/>
      <c r="W586" s="111"/>
      <c r="X586" s="111"/>
      <c r="Y586" s="111"/>
      <c r="Z586" s="105"/>
      <c r="AA586" s="105"/>
      <c r="AB586" s="105"/>
    </row>
    <row r="587" spans="2:28" ht="21" customHeight="1">
      <c r="B587" s="105"/>
      <c r="C587" s="105"/>
      <c r="D587" s="105"/>
      <c r="E587" s="105"/>
      <c r="F587" s="114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11"/>
      <c r="T587" s="111"/>
      <c r="U587" s="111"/>
      <c r="V587" s="111"/>
      <c r="W587" s="111"/>
      <c r="X587" s="111"/>
      <c r="Y587" s="111"/>
      <c r="Z587" s="105"/>
      <c r="AA587" s="105"/>
      <c r="AB587" s="105"/>
    </row>
    <row r="588" spans="2:28" ht="21" customHeight="1">
      <c r="B588" s="105"/>
      <c r="C588" s="105"/>
      <c r="D588" s="105"/>
      <c r="E588" s="105"/>
      <c r="F588" s="114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11"/>
      <c r="T588" s="111"/>
      <c r="U588" s="111"/>
      <c r="V588" s="111"/>
      <c r="W588" s="111"/>
      <c r="X588" s="111"/>
      <c r="Y588" s="111"/>
      <c r="Z588" s="105"/>
      <c r="AA588" s="105"/>
      <c r="AB588" s="105"/>
    </row>
    <row r="589" spans="2:28" ht="21" customHeight="1">
      <c r="B589" s="105"/>
      <c r="C589" s="105"/>
      <c r="D589" s="105"/>
      <c r="E589" s="105"/>
      <c r="F589" s="114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11"/>
      <c r="T589" s="111"/>
      <c r="U589" s="111"/>
      <c r="V589" s="111"/>
      <c r="W589" s="111"/>
      <c r="X589" s="111"/>
      <c r="Y589" s="111"/>
      <c r="Z589" s="105"/>
      <c r="AA589" s="105"/>
      <c r="AB589" s="105"/>
    </row>
    <row r="590" spans="2:28" ht="21" customHeight="1">
      <c r="B590" s="105"/>
      <c r="C590" s="105"/>
      <c r="D590" s="105"/>
      <c r="E590" s="105"/>
      <c r="F590" s="114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11"/>
      <c r="T590" s="111"/>
      <c r="U590" s="111"/>
      <c r="V590" s="111"/>
      <c r="W590" s="111"/>
      <c r="X590" s="111"/>
      <c r="Y590" s="111"/>
      <c r="Z590" s="105"/>
      <c r="AA590" s="105"/>
      <c r="AB590" s="105"/>
    </row>
    <row r="591" spans="2:28" ht="21" customHeight="1">
      <c r="B591" s="105"/>
      <c r="C591" s="105"/>
      <c r="D591" s="105"/>
      <c r="E591" s="105"/>
      <c r="F591" s="114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11"/>
      <c r="T591" s="111"/>
      <c r="U591" s="111"/>
      <c r="V591" s="111"/>
      <c r="W591" s="111"/>
      <c r="X591" s="111"/>
      <c r="Y591" s="111"/>
      <c r="Z591" s="105"/>
      <c r="AA591" s="105"/>
      <c r="AB591" s="105"/>
    </row>
    <row r="592" spans="2:28" ht="21" customHeight="1">
      <c r="B592" s="105"/>
      <c r="C592" s="105"/>
      <c r="D592" s="105"/>
      <c r="E592" s="105"/>
      <c r="F592" s="114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11"/>
      <c r="T592" s="111"/>
      <c r="U592" s="111"/>
      <c r="V592" s="111"/>
      <c r="W592" s="111"/>
      <c r="X592" s="111"/>
      <c r="Y592" s="111"/>
      <c r="Z592" s="105"/>
      <c r="AA592" s="105"/>
      <c r="AB592" s="105"/>
    </row>
    <row r="593" spans="2:28" ht="21" customHeight="1">
      <c r="B593" s="105"/>
      <c r="C593" s="105"/>
      <c r="D593" s="105"/>
      <c r="E593" s="105"/>
      <c r="F593" s="114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11"/>
      <c r="T593" s="111"/>
      <c r="U593" s="111"/>
      <c r="V593" s="111"/>
      <c r="W593" s="111"/>
      <c r="X593" s="111"/>
      <c r="Y593" s="111"/>
      <c r="Z593" s="105"/>
      <c r="AA593" s="105"/>
      <c r="AB593" s="105"/>
    </row>
    <row r="594" spans="2:28" ht="21" customHeight="1">
      <c r="B594" s="105"/>
      <c r="C594" s="105"/>
      <c r="D594" s="105"/>
      <c r="E594" s="105"/>
      <c r="F594" s="114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11"/>
      <c r="T594" s="111"/>
      <c r="U594" s="111"/>
      <c r="V594" s="111"/>
      <c r="W594" s="111"/>
      <c r="X594" s="111"/>
      <c r="Y594" s="111"/>
      <c r="Z594" s="105"/>
      <c r="AA594" s="105"/>
      <c r="AB594" s="105"/>
    </row>
    <row r="595" spans="2:28" ht="21" customHeight="1">
      <c r="B595" s="105"/>
      <c r="C595" s="105"/>
      <c r="D595" s="105"/>
      <c r="E595" s="105"/>
      <c r="F595" s="114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11"/>
      <c r="T595" s="111"/>
      <c r="U595" s="111"/>
      <c r="V595" s="111"/>
      <c r="W595" s="111"/>
      <c r="X595" s="111"/>
      <c r="Y595" s="111"/>
      <c r="Z595" s="105"/>
      <c r="AA595" s="105"/>
      <c r="AB595" s="105"/>
    </row>
    <row r="596" spans="2:28" ht="21" customHeight="1">
      <c r="B596" s="105"/>
      <c r="C596" s="105"/>
      <c r="D596" s="105"/>
      <c r="E596" s="105"/>
      <c r="F596" s="114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11"/>
      <c r="T596" s="111"/>
      <c r="U596" s="111"/>
      <c r="V596" s="111"/>
      <c r="W596" s="111"/>
      <c r="X596" s="111"/>
      <c r="Y596" s="111"/>
      <c r="Z596" s="105"/>
      <c r="AA596" s="105"/>
      <c r="AB596" s="105"/>
    </row>
    <row r="597" spans="2:28" ht="21" customHeight="1">
      <c r="B597" s="105"/>
      <c r="C597" s="105"/>
      <c r="D597" s="105"/>
      <c r="E597" s="105"/>
      <c r="F597" s="114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11"/>
      <c r="T597" s="111"/>
      <c r="U597" s="111"/>
      <c r="V597" s="111"/>
      <c r="W597" s="111"/>
      <c r="X597" s="111"/>
      <c r="Y597" s="111"/>
      <c r="Z597" s="105"/>
      <c r="AA597" s="105"/>
      <c r="AB597" s="105"/>
    </row>
    <row r="598" spans="2:28" ht="21" customHeight="1">
      <c r="B598" s="105"/>
      <c r="C598" s="105"/>
      <c r="D598" s="105"/>
      <c r="E598" s="105"/>
      <c r="F598" s="114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11"/>
      <c r="T598" s="111"/>
      <c r="U598" s="111"/>
      <c r="V598" s="111"/>
      <c r="W598" s="111"/>
      <c r="X598" s="111"/>
      <c r="Y598" s="111"/>
      <c r="Z598" s="105"/>
      <c r="AA598" s="105"/>
      <c r="AB598" s="105"/>
    </row>
    <row r="599" spans="2:28" ht="21" customHeight="1">
      <c r="B599" s="105"/>
      <c r="C599" s="105"/>
      <c r="D599" s="105"/>
      <c r="E599" s="105"/>
      <c r="F599" s="114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11"/>
      <c r="T599" s="111"/>
      <c r="U599" s="111"/>
      <c r="V599" s="111"/>
      <c r="W599" s="111"/>
      <c r="X599" s="111"/>
      <c r="Y599" s="111"/>
      <c r="Z599" s="105"/>
      <c r="AA599" s="105"/>
      <c r="AB599" s="105"/>
    </row>
    <row r="600" spans="2:28" ht="21" customHeight="1">
      <c r="B600" s="105"/>
      <c r="C600" s="105"/>
      <c r="D600" s="105"/>
      <c r="E600" s="105"/>
      <c r="F600" s="114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11"/>
      <c r="T600" s="111"/>
      <c r="U600" s="111"/>
      <c r="V600" s="111"/>
      <c r="W600" s="111"/>
      <c r="X600" s="111"/>
      <c r="Y600" s="111"/>
      <c r="Z600" s="105"/>
      <c r="AA600" s="105"/>
      <c r="AB600" s="105"/>
    </row>
    <row r="601" spans="2:28" ht="21" customHeight="1">
      <c r="B601" s="105"/>
      <c r="C601" s="105"/>
      <c r="D601" s="105"/>
      <c r="E601" s="105"/>
      <c r="F601" s="114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11"/>
      <c r="T601" s="111"/>
      <c r="U601" s="111"/>
      <c r="V601" s="111"/>
      <c r="W601" s="111"/>
      <c r="X601" s="111"/>
      <c r="Y601" s="111"/>
      <c r="Z601" s="105"/>
      <c r="AA601" s="105"/>
      <c r="AB601" s="105"/>
    </row>
    <row r="602" spans="2:28" ht="21" customHeight="1">
      <c r="B602" s="105"/>
      <c r="C602" s="105"/>
      <c r="D602" s="105"/>
      <c r="E602" s="105"/>
      <c r="F602" s="114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11"/>
      <c r="T602" s="111"/>
      <c r="U602" s="111"/>
      <c r="V602" s="111"/>
      <c r="W602" s="111"/>
      <c r="X602" s="111"/>
      <c r="Y602" s="111"/>
      <c r="Z602" s="105"/>
      <c r="AA602" s="105"/>
      <c r="AB602" s="105"/>
    </row>
    <row r="603" spans="2:28" ht="21" customHeight="1">
      <c r="B603" s="105"/>
      <c r="C603" s="105"/>
      <c r="D603" s="105"/>
      <c r="E603" s="105"/>
      <c r="F603" s="114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11"/>
      <c r="T603" s="111"/>
      <c r="U603" s="111"/>
      <c r="V603" s="111"/>
      <c r="W603" s="111"/>
      <c r="X603" s="111"/>
      <c r="Y603" s="111"/>
      <c r="Z603" s="105"/>
      <c r="AA603" s="105"/>
      <c r="AB603" s="105"/>
    </row>
    <row r="604" spans="2:28" ht="21" customHeight="1">
      <c r="B604" s="105"/>
      <c r="C604" s="105"/>
      <c r="D604" s="105"/>
      <c r="E604" s="105"/>
      <c r="F604" s="114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11"/>
      <c r="T604" s="111"/>
      <c r="U604" s="111"/>
      <c r="V604" s="111"/>
      <c r="W604" s="111"/>
      <c r="X604" s="111"/>
      <c r="Y604" s="111"/>
      <c r="Z604" s="105"/>
      <c r="AA604" s="105"/>
      <c r="AB604" s="105"/>
    </row>
    <row r="605" spans="2:28" ht="21" customHeight="1">
      <c r="B605" s="105"/>
      <c r="C605" s="105"/>
      <c r="D605" s="105"/>
      <c r="E605" s="105"/>
      <c r="F605" s="114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11"/>
      <c r="T605" s="111"/>
      <c r="U605" s="111"/>
      <c r="V605" s="111"/>
      <c r="W605" s="111"/>
      <c r="X605" s="111"/>
      <c r="Y605" s="111"/>
      <c r="Z605" s="105"/>
      <c r="AA605" s="105"/>
      <c r="AB605" s="105"/>
    </row>
    <row r="606" spans="2:28" ht="21" customHeight="1">
      <c r="B606" s="105"/>
      <c r="C606" s="105"/>
      <c r="D606" s="105"/>
      <c r="E606" s="105"/>
      <c r="F606" s="114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11"/>
      <c r="T606" s="111"/>
      <c r="U606" s="111"/>
      <c r="V606" s="111"/>
      <c r="W606" s="111"/>
      <c r="X606" s="111"/>
      <c r="Y606" s="111"/>
      <c r="Z606" s="105"/>
      <c r="AA606" s="105"/>
      <c r="AB606" s="105"/>
    </row>
    <row r="607" spans="2:28" ht="21" customHeight="1">
      <c r="B607" s="105"/>
      <c r="C607" s="105"/>
      <c r="D607" s="105"/>
      <c r="E607" s="105"/>
      <c r="F607" s="114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11"/>
      <c r="T607" s="111"/>
      <c r="U607" s="111"/>
      <c r="V607" s="111"/>
      <c r="W607" s="111"/>
      <c r="X607" s="111"/>
      <c r="Y607" s="111"/>
      <c r="Z607" s="105"/>
      <c r="AA607" s="105"/>
      <c r="AB607" s="105"/>
    </row>
    <row r="608" spans="2:28" ht="21" customHeight="1">
      <c r="B608" s="105"/>
      <c r="C608" s="105"/>
      <c r="D608" s="105"/>
      <c r="E608" s="105"/>
      <c r="F608" s="114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11"/>
      <c r="T608" s="111"/>
      <c r="U608" s="111"/>
      <c r="V608" s="111"/>
      <c r="W608" s="111"/>
      <c r="X608" s="111"/>
      <c r="Y608" s="111"/>
      <c r="Z608" s="105"/>
      <c r="AA608" s="105"/>
      <c r="AB608" s="105"/>
    </row>
    <row r="609" spans="2:28" ht="21" customHeight="1">
      <c r="B609" s="105"/>
      <c r="C609" s="105"/>
      <c r="D609" s="105"/>
      <c r="E609" s="105"/>
      <c r="F609" s="114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11"/>
      <c r="T609" s="111"/>
      <c r="U609" s="111"/>
      <c r="V609" s="111"/>
      <c r="W609" s="111"/>
      <c r="X609" s="111"/>
      <c r="Y609" s="111"/>
      <c r="Z609" s="105"/>
      <c r="AA609" s="105"/>
      <c r="AB609" s="105"/>
    </row>
    <row r="610" spans="2:28" ht="21" customHeight="1">
      <c r="B610" s="105"/>
      <c r="C610" s="105"/>
      <c r="D610" s="105"/>
      <c r="E610" s="105"/>
      <c r="F610" s="114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11"/>
      <c r="T610" s="111"/>
      <c r="U610" s="111"/>
      <c r="V610" s="111"/>
      <c r="W610" s="111"/>
      <c r="X610" s="111"/>
      <c r="Y610" s="111"/>
      <c r="Z610" s="105"/>
      <c r="AA610" s="105"/>
      <c r="AB610" s="105"/>
    </row>
    <row r="611" spans="2:28" ht="21" customHeight="1">
      <c r="B611" s="105"/>
      <c r="C611" s="105"/>
      <c r="D611" s="105"/>
      <c r="E611" s="105"/>
      <c r="F611" s="114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11"/>
      <c r="T611" s="111"/>
      <c r="U611" s="111"/>
      <c r="V611" s="111"/>
      <c r="W611" s="111"/>
      <c r="X611" s="111"/>
      <c r="Y611" s="111"/>
      <c r="Z611" s="105"/>
      <c r="AA611" s="105"/>
      <c r="AB611" s="105"/>
    </row>
    <row r="612" spans="2:28" ht="21" customHeight="1">
      <c r="B612" s="105"/>
      <c r="C612" s="105"/>
      <c r="D612" s="105"/>
      <c r="E612" s="105"/>
      <c r="F612" s="114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11"/>
      <c r="T612" s="111"/>
      <c r="U612" s="111"/>
      <c r="V612" s="111"/>
      <c r="W612" s="111"/>
      <c r="X612" s="111"/>
      <c r="Y612" s="111"/>
      <c r="Z612" s="105"/>
      <c r="AA612" s="105"/>
      <c r="AB612" s="105"/>
    </row>
    <row r="613" spans="2:28" ht="21" customHeight="1">
      <c r="B613" s="105"/>
      <c r="C613" s="105"/>
      <c r="D613" s="105"/>
      <c r="E613" s="105"/>
      <c r="F613" s="114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11"/>
      <c r="T613" s="111"/>
      <c r="U613" s="111"/>
      <c r="V613" s="111"/>
      <c r="W613" s="111"/>
      <c r="X613" s="111"/>
      <c r="Y613" s="111"/>
      <c r="Z613" s="105"/>
      <c r="AA613" s="105"/>
      <c r="AB613" s="105"/>
    </row>
    <row r="614" spans="2:28" ht="21" customHeight="1">
      <c r="B614" s="105"/>
      <c r="C614" s="105"/>
      <c r="D614" s="105"/>
      <c r="E614" s="105"/>
      <c r="F614" s="114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11"/>
      <c r="T614" s="111"/>
      <c r="U614" s="111"/>
      <c r="V614" s="111"/>
      <c r="W614" s="111"/>
      <c r="X614" s="111"/>
      <c r="Y614" s="111"/>
      <c r="Z614" s="105"/>
      <c r="AA614" s="105"/>
      <c r="AB614" s="105"/>
    </row>
    <row r="615" spans="2:28" ht="21" customHeight="1">
      <c r="B615" s="105"/>
      <c r="C615" s="105"/>
      <c r="D615" s="105"/>
      <c r="E615" s="105"/>
      <c r="F615" s="114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11"/>
      <c r="T615" s="111"/>
      <c r="U615" s="111"/>
      <c r="V615" s="111"/>
      <c r="W615" s="111"/>
      <c r="X615" s="111"/>
      <c r="Y615" s="111"/>
      <c r="Z615" s="105"/>
      <c r="AA615" s="105"/>
      <c r="AB615" s="105"/>
    </row>
    <row r="616" spans="2:28" ht="21" customHeight="1">
      <c r="B616" s="105"/>
      <c r="C616" s="105"/>
      <c r="D616" s="105"/>
      <c r="E616" s="105"/>
      <c r="F616" s="114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11"/>
      <c r="T616" s="111"/>
      <c r="U616" s="111"/>
      <c r="V616" s="111"/>
      <c r="W616" s="111"/>
      <c r="X616" s="111"/>
      <c r="Y616" s="111"/>
      <c r="Z616" s="105"/>
      <c r="AA616" s="105"/>
      <c r="AB616" s="105"/>
    </row>
    <row r="617" spans="2:28" ht="21" customHeight="1">
      <c r="B617" s="105"/>
      <c r="C617" s="105"/>
      <c r="D617" s="105"/>
      <c r="E617" s="105"/>
      <c r="F617" s="114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11"/>
      <c r="T617" s="111"/>
      <c r="U617" s="111"/>
      <c r="V617" s="111"/>
      <c r="W617" s="111"/>
      <c r="X617" s="111"/>
      <c r="Y617" s="111"/>
      <c r="Z617" s="105"/>
      <c r="AA617" s="105"/>
      <c r="AB617" s="105"/>
    </row>
    <row r="618" spans="2:28" ht="21" customHeight="1">
      <c r="B618" s="105"/>
      <c r="C618" s="105"/>
      <c r="D618" s="105"/>
      <c r="E618" s="105"/>
      <c r="F618" s="114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11"/>
      <c r="T618" s="111"/>
      <c r="U618" s="111"/>
      <c r="V618" s="111"/>
      <c r="W618" s="111"/>
      <c r="X618" s="111"/>
      <c r="Y618" s="111"/>
      <c r="Z618" s="105"/>
      <c r="AA618" s="105"/>
      <c r="AB618" s="105"/>
    </row>
    <row r="619" spans="2:28" ht="21" customHeight="1">
      <c r="B619" s="105"/>
      <c r="C619" s="105"/>
      <c r="D619" s="105"/>
      <c r="E619" s="105"/>
      <c r="F619" s="114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11"/>
      <c r="T619" s="111"/>
      <c r="U619" s="111"/>
      <c r="V619" s="111"/>
      <c r="W619" s="111"/>
      <c r="X619" s="111"/>
      <c r="Y619" s="111"/>
      <c r="Z619" s="105"/>
      <c r="AA619" s="105"/>
      <c r="AB619" s="105"/>
    </row>
    <row r="620" spans="2:28" ht="21" customHeight="1">
      <c r="B620" s="105"/>
      <c r="C620" s="105"/>
      <c r="D620" s="105"/>
      <c r="E620" s="105"/>
      <c r="F620" s="114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11"/>
      <c r="T620" s="111"/>
      <c r="U620" s="111"/>
      <c r="V620" s="111"/>
      <c r="W620" s="111"/>
      <c r="X620" s="111"/>
      <c r="Y620" s="111"/>
      <c r="Z620" s="105"/>
      <c r="AA620" s="105"/>
      <c r="AB620" s="105"/>
    </row>
    <row r="621" spans="2:28" ht="21" customHeight="1">
      <c r="B621" s="105"/>
      <c r="C621" s="105"/>
      <c r="D621" s="105"/>
      <c r="E621" s="105"/>
      <c r="F621" s="114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11"/>
      <c r="T621" s="111"/>
      <c r="U621" s="111"/>
      <c r="V621" s="111"/>
      <c r="W621" s="111"/>
      <c r="X621" s="111"/>
      <c r="Y621" s="111"/>
      <c r="Z621" s="105"/>
      <c r="AA621" s="105"/>
      <c r="AB621" s="105"/>
    </row>
    <row r="622" spans="2:28" ht="21" customHeight="1">
      <c r="B622" s="105"/>
      <c r="C622" s="105"/>
      <c r="D622" s="105"/>
      <c r="E622" s="105"/>
      <c r="F622" s="114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11"/>
      <c r="T622" s="111"/>
      <c r="U622" s="111"/>
      <c r="V622" s="111"/>
      <c r="W622" s="111"/>
      <c r="X622" s="111"/>
      <c r="Y622" s="111"/>
      <c r="Z622" s="105"/>
      <c r="AA622" s="105"/>
      <c r="AB622" s="105"/>
    </row>
    <row r="623" spans="2:28" ht="21" customHeight="1">
      <c r="B623" s="105"/>
      <c r="C623" s="105"/>
      <c r="D623" s="105"/>
      <c r="E623" s="105"/>
      <c r="F623" s="114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11"/>
      <c r="T623" s="111"/>
      <c r="U623" s="111"/>
      <c r="V623" s="111"/>
      <c r="W623" s="111"/>
      <c r="X623" s="111"/>
      <c r="Y623" s="111"/>
      <c r="Z623" s="105"/>
      <c r="AA623" s="105"/>
      <c r="AB623" s="105"/>
    </row>
    <row r="624" spans="2:28" ht="21" customHeight="1">
      <c r="B624" s="105"/>
      <c r="C624" s="105"/>
      <c r="D624" s="105"/>
      <c r="E624" s="105"/>
      <c r="F624" s="114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11"/>
      <c r="T624" s="111"/>
      <c r="U624" s="111"/>
      <c r="V624" s="111"/>
      <c r="W624" s="111"/>
      <c r="X624" s="111"/>
      <c r="Y624" s="111"/>
      <c r="Z624" s="105"/>
      <c r="AA624" s="105"/>
      <c r="AB624" s="105"/>
    </row>
    <row r="625" spans="2:28" ht="21" customHeight="1">
      <c r="B625" s="105"/>
      <c r="C625" s="105"/>
      <c r="D625" s="105"/>
      <c r="E625" s="105"/>
      <c r="F625" s="114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11"/>
      <c r="T625" s="111"/>
      <c r="U625" s="111"/>
      <c r="V625" s="111"/>
      <c r="W625" s="111"/>
      <c r="X625" s="111"/>
      <c r="Y625" s="111"/>
      <c r="Z625" s="105"/>
      <c r="AA625" s="105"/>
      <c r="AB625" s="105"/>
    </row>
    <row r="626" spans="2:28" ht="21" customHeight="1">
      <c r="B626" s="105"/>
      <c r="C626" s="105"/>
      <c r="D626" s="105"/>
      <c r="E626" s="105"/>
      <c r="F626" s="114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11"/>
      <c r="T626" s="111"/>
      <c r="U626" s="111"/>
      <c r="V626" s="111"/>
      <c r="W626" s="111"/>
      <c r="X626" s="111"/>
      <c r="Y626" s="111"/>
      <c r="Z626" s="105"/>
      <c r="AA626" s="105"/>
      <c r="AB626" s="105"/>
    </row>
    <row r="627" spans="2:28" ht="21" customHeight="1">
      <c r="B627" s="105"/>
      <c r="C627" s="105"/>
      <c r="D627" s="105"/>
      <c r="E627" s="105"/>
      <c r="F627" s="114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11"/>
      <c r="T627" s="111"/>
      <c r="U627" s="111"/>
      <c r="V627" s="111"/>
      <c r="W627" s="111"/>
      <c r="X627" s="111"/>
      <c r="Y627" s="111"/>
      <c r="Z627" s="105"/>
      <c r="AA627" s="105"/>
      <c r="AB627" s="105"/>
    </row>
    <row r="628" spans="2:28" ht="21" customHeight="1">
      <c r="B628" s="105"/>
      <c r="C628" s="105"/>
      <c r="D628" s="105"/>
      <c r="E628" s="105"/>
      <c r="F628" s="114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11"/>
      <c r="T628" s="111"/>
      <c r="U628" s="111"/>
      <c r="V628" s="111"/>
      <c r="W628" s="111"/>
      <c r="X628" s="111"/>
      <c r="Y628" s="111"/>
      <c r="Z628" s="105"/>
      <c r="AA628" s="105"/>
      <c r="AB628" s="105"/>
    </row>
    <row r="629" spans="2:28" ht="21" customHeight="1">
      <c r="B629" s="105"/>
      <c r="C629" s="105"/>
      <c r="D629" s="105"/>
      <c r="E629" s="105"/>
      <c r="F629" s="114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11"/>
      <c r="T629" s="111"/>
      <c r="U629" s="111"/>
      <c r="V629" s="111"/>
      <c r="W629" s="111"/>
      <c r="X629" s="111"/>
      <c r="Y629" s="111"/>
      <c r="Z629" s="105"/>
      <c r="AA629" s="105"/>
      <c r="AB629" s="105"/>
    </row>
    <row r="630" spans="2:28" ht="21" customHeight="1">
      <c r="B630" s="105"/>
      <c r="C630" s="105"/>
      <c r="D630" s="105"/>
      <c r="E630" s="105"/>
      <c r="F630" s="114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11"/>
      <c r="T630" s="111"/>
      <c r="U630" s="111"/>
      <c r="V630" s="111"/>
      <c r="W630" s="111"/>
      <c r="X630" s="111"/>
      <c r="Y630" s="111"/>
      <c r="Z630" s="105"/>
      <c r="AA630" s="105"/>
      <c r="AB630" s="105"/>
    </row>
    <row r="631" spans="2:28" ht="21" customHeight="1">
      <c r="B631" s="105"/>
      <c r="C631" s="105"/>
      <c r="D631" s="105"/>
      <c r="E631" s="105"/>
      <c r="F631" s="114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11"/>
      <c r="T631" s="111"/>
      <c r="U631" s="111"/>
      <c r="V631" s="111"/>
      <c r="W631" s="111"/>
      <c r="X631" s="111"/>
      <c r="Y631" s="111"/>
      <c r="Z631" s="105"/>
      <c r="AA631" s="105"/>
      <c r="AB631" s="105"/>
    </row>
    <row r="632" spans="2:28" ht="21" customHeight="1">
      <c r="B632" s="105"/>
      <c r="C632" s="105"/>
      <c r="D632" s="105"/>
      <c r="E632" s="105"/>
      <c r="F632" s="114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11"/>
      <c r="T632" s="111"/>
      <c r="U632" s="111"/>
      <c r="V632" s="111"/>
      <c r="W632" s="111"/>
      <c r="X632" s="111"/>
      <c r="Y632" s="111"/>
      <c r="Z632" s="105"/>
      <c r="AA632" s="105"/>
      <c r="AB632" s="105"/>
    </row>
    <row r="633" spans="2:28" ht="21" customHeight="1">
      <c r="B633" s="105"/>
      <c r="C633" s="105"/>
      <c r="D633" s="105"/>
      <c r="E633" s="105"/>
      <c r="F633" s="114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11"/>
      <c r="T633" s="111"/>
      <c r="U633" s="111"/>
      <c r="V633" s="111"/>
      <c r="W633" s="111"/>
      <c r="X633" s="111"/>
      <c r="Y633" s="111"/>
      <c r="Z633" s="105"/>
      <c r="AA633" s="105"/>
      <c r="AB633" s="105"/>
    </row>
    <row r="634" spans="2:28" ht="21" customHeight="1">
      <c r="B634" s="105"/>
      <c r="C634" s="105"/>
      <c r="D634" s="105"/>
      <c r="E634" s="105"/>
      <c r="F634" s="114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11"/>
      <c r="T634" s="111"/>
      <c r="U634" s="111"/>
      <c r="V634" s="111"/>
      <c r="W634" s="111"/>
      <c r="X634" s="111"/>
      <c r="Y634" s="111"/>
      <c r="Z634" s="105"/>
      <c r="AA634" s="105"/>
      <c r="AB634" s="105"/>
    </row>
    <row r="635" spans="2:28" ht="21" customHeight="1">
      <c r="B635" s="105"/>
      <c r="C635" s="105"/>
      <c r="D635" s="105"/>
      <c r="E635" s="105"/>
      <c r="F635" s="114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11"/>
      <c r="T635" s="111"/>
      <c r="U635" s="111"/>
      <c r="V635" s="111"/>
      <c r="W635" s="111"/>
      <c r="X635" s="111"/>
      <c r="Y635" s="111"/>
      <c r="Z635" s="105"/>
      <c r="AA635" s="105"/>
      <c r="AB635" s="105"/>
    </row>
    <row r="636" spans="2:28" ht="21" customHeight="1">
      <c r="B636" s="105"/>
      <c r="C636" s="105"/>
      <c r="D636" s="105"/>
      <c r="E636" s="105"/>
      <c r="F636" s="114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11"/>
      <c r="T636" s="111"/>
      <c r="U636" s="111"/>
      <c r="V636" s="111"/>
      <c r="W636" s="111"/>
      <c r="X636" s="111"/>
      <c r="Y636" s="111"/>
      <c r="Z636" s="105"/>
      <c r="AA636" s="105"/>
      <c r="AB636" s="105"/>
    </row>
    <row r="637" spans="2:28" ht="21" customHeight="1">
      <c r="B637" s="105"/>
      <c r="C637" s="105"/>
      <c r="D637" s="105"/>
      <c r="E637" s="105"/>
      <c r="F637" s="114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11"/>
      <c r="T637" s="111"/>
      <c r="U637" s="111"/>
      <c r="V637" s="111"/>
      <c r="W637" s="111"/>
      <c r="X637" s="111"/>
      <c r="Y637" s="111"/>
      <c r="Z637" s="105"/>
      <c r="AA637" s="105"/>
      <c r="AB637" s="105"/>
    </row>
    <row r="638" spans="2:28" ht="21" customHeight="1">
      <c r="B638" s="105"/>
      <c r="C638" s="105"/>
      <c r="D638" s="105"/>
      <c r="E638" s="105"/>
      <c r="F638" s="114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11"/>
      <c r="T638" s="111"/>
      <c r="U638" s="111"/>
      <c r="V638" s="111"/>
      <c r="W638" s="111"/>
      <c r="X638" s="111"/>
      <c r="Y638" s="111"/>
      <c r="Z638" s="105"/>
      <c r="AA638" s="105"/>
      <c r="AB638" s="105"/>
    </row>
    <row r="639" spans="2:28" ht="21" customHeight="1">
      <c r="B639" s="105"/>
      <c r="C639" s="105"/>
      <c r="D639" s="105"/>
      <c r="E639" s="105"/>
      <c r="F639" s="114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11"/>
      <c r="T639" s="111"/>
      <c r="U639" s="111"/>
      <c r="V639" s="111"/>
      <c r="W639" s="111"/>
      <c r="X639" s="111"/>
      <c r="Y639" s="111"/>
      <c r="Z639" s="105"/>
      <c r="AA639" s="105"/>
      <c r="AB639" s="105"/>
    </row>
    <row r="640" spans="2:28" ht="21" customHeight="1">
      <c r="B640" s="105"/>
      <c r="C640" s="105"/>
      <c r="D640" s="105"/>
      <c r="E640" s="105"/>
      <c r="F640" s="114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11"/>
      <c r="T640" s="111"/>
      <c r="U640" s="111"/>
      <c r="V640" s="111"/>
      <c r="W640" s="111"/>
      <c r="X640" s="111"/>
      <c r="Y640" s="111"/>
      <c r="Z640" s="105"/>
      <c r="AA640" s="105"/>
      <c r="AB640" s="105"/>
    </row>
    <row r="641" spans="2:28" ht="21" customHeight="1">
      <c r="B641" s="105"/>
      <c r="C641" s="105"/>
      <c r="D641" s="105"/>
      <c r="E641" s="105"/>
      <c r="F641" s="114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11"/>
      <c r="T641" s="111"/>
      <c r="U641" s="111"/>
      <c r="V641" s="111"/>
      <c r="W641" s="111"/>
      <c r="X641" s="111"/>
      <c r="Y641" s="111"/>
      <c r="Z641" s="105"/>
      <c r="AA641" s="105"/>
      <c r="AB641" s="105"/>
    </row>
    <row r="642" spans="2:28" ht="21" customHeight="1">
      <c r="B642" s="105"/>
      <c r="C642" s="105"/>
      <c r="D642" s="105"/>
      <c r="E642" s="105"/>
      <c r="F642" s="114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11"/>
      <c r="T642" s="111"/>
      <c r="U642" s="111"/>
      <c r="V642" s="111"/>
      <c r="W642" s="111"/>
      <c r="X642" s="111"/>
      <c r="Y642" s="111"/>
      <c r="Z642" s="105"/>
      <c r="AA642" s="105"/>
      <c r="AB642" s="105"/>
    </row>
    <row r="643" spans="2:28" ht="21" customHeight="1">
      <c r="B643" s="105"/>
      <c r="C643" s="105"/>
      <c r="D643" s="105"/>
      <c r="E643" s="105"/>
      <c r="F643" s="114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11"/>
      <c r="T643" s="111"/>
      <c r="U643" s="111"/>
      <c r="V643" s="111"/>
      <c r="W643" s="111"/>
      <c r="X643" s="111"/>
      <c r="Y643" s="111"/>
      <c r="Z643" s="105"/>
      <c r="AA643" s="105"/>
      <c r="AB643" s="105"/>
    </row>
    <row r="644" spans="2:28" ht="21" customHeight="1">
      <c r="B644" s="105"/>
      <c r="C644" s="105"/>
      <c r="D644" s="105"/>
      <c r="E644" s="105"/>
      <c r="F644" s="114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11"/>
      <c r="T644" s="111"/>
      <c r="U644" s="111"/>
      <c r="V644" s="111"/>
      <c r="W644" s="111"/>
      <c r="X644" s="111"/>
      <c r="Y644" s="111"/>
      <c r="Z644" s="105"/>
      <c r="AA644" s="105"/>
      <c r="AB644" s="105"/>
    </row>
    <row r="645" spans="2:28" ht="21" customHeight="1">
      <c r="B645" s="105"/>
      <c r="C645" s="105"/>
      <c r="D645" s="105"/>
      <c r="E645" s="105"/>
      <c r="F645" s="114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11"/>
      <c r="T645" s="111"/>
      <c r="U645" s="111"/>
      <c r="V645" s="111"/>
      <c r="W645" s="111"/>
      <c r="X645" s="111"/>
      <c r="Y645" s="111"/>
      <c r="Z645" s="105"/>
      <c r="AA645" s="105"/>
      <c r="AB645" s="105"/>
    </row>
    <row r="646" spans="2:28" ht="21" customHeight="1">
      <c r="B646" s="105"/>
      <c r="C646" s="105"/>
      <c r="D646" s="105"/>
      <c r="E646" s="105"/>
      <c r="F646" s="114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11"/>
      <c r="T646" s="111"/>
      <c r="U646" s="111"/>
      <c r="V646" s="111"/>
      <c r="W646" s="111"/>
      <c r="X646" s="111"/>
      <c r="Y646" s="111"/>
      <c r="Z646" s="105"/>
      <c r="AA646" s="105"/>
      <c r="AB646" s="105"/>
    </row>
    <row r="647" spans="2:28" ht="21" customHeight="1">
      <c r="B647" s="105"/>
      <c r="C647" s="105"/>
      <c r="D647" s="105"/>
      <c r="E647" s="105"/>
      <c r="F647" s="114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11"/>
      <c r="T647" s="111"/>
      <c r="U647" s="111"/>
      <c r="V647" s="111"/>
      <c r="W647" s="111"/>
      <c r="X647" s="111"/>
      <c r="Y647" s="111"/>
      <c r="Z647" s="105"/>
      <c r="AA647" s="105"/>
      <c r="AB647" s="105"/>
    </row>
    <row r="648" spans="2:28" ht="21" customHeight="1">
      <c r="B648" s="105"/>
      <c r="C648" s="105"/>
      <c r="D648" s="105"/>
      <c r="E648" s="105"/>
      <c r="F648" s="114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11"/>
      <c r="T648" s="111"/>
      <c r="U648" s="111"/>
      <c r="V648" s="111"/>
      <c r="W648" s="111"/>
      <c r="X648" s="111"/>
      <c r="Y648" s="111"/>
      <c r="Z648" s="105"/>
      <c r="AA648" s="105"/>
      <c r="AB648" s="105"/>
    </row>
    <row r="649" spans="2:28" ht="21" customHeight="1">
      <c r="B649" s="105"/>
      <c r="C649" s="105"/>
      <c r="D649" s="105"/>
      <c r="E649" s="105"/>
      <c r="F649" s="114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11"/>
      <c r="T649" s="111"/>
      <c r="U649" s="111"/>
      <c r="V649" s="111"/>
      <c r="W649" s="111"/>
      <c r="X649" s="111"/>
      <c r="Y649" s="111"/>
      <c r="Z649" s="105"/>
      <c r="AA649" s="105"/>
      <c r="AB649" s="105"/>
    </row>
    <row r="650" spans="2:28" ht="21" customHeight="1">
      <c r="B650" s="105"/>
      <c r="C650" s="105"/>
      <c r="D650" s="105"/>
      <c r="E650" s="105"/>
      <c r="F650" s="114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11"/>
      <c r="T650" s="111"/>
      <c r="U650" s="111"/>
      <c r="V650" s="111"/>
      <c r="W650" s="111"/>
      <c r="X650" s="111"/>
      <c r="Y650" s="111"/>
      <c r="Z650" s="105"/>
      <c r="AA650" s="105"/>
      <c r="AB650" s="105"/>
    </row>
    <row r="651" spans="2:28" ht="21" customHeight="1">
      <c r="B651" s="105"/>
      <c r="C651" s="105"/>
      <c r="D651" s="105"/>
      <c r="E651" s="105"/>
      <c r="F651" s="114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11"/>
      <c r="T651" s="111"/>
      <c r="U651" s="111"/>
      <c r="V651" s="111"/>
      <c r="W651" s="111"/>
      <c r="X651" s="111"/>
      <c r="Y651" s="111"/>
      <c r="Z651" s="105"/>
      <c r="AA651" s="105"/>
      <c r="AB651" s="105"/>
    </row>
    <row r="652" spans="2:28" ht="21" customHeight="1">
      <c r="B652" s="105"/>
      <c r="C652" s="105"/>
      <c r="D652" s="105"/>
      <c r="E652" s="105"/>
      <c r="F652" s="114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11"/>
      <c r="T652" s="111"/>
      <c r="U652" s="111"/>
      <c r="V652" s="111"/>
      <c r="W652" s="111"/>
      <c r="X652" s="111"/>
      <c r="Y652" s="111"/>
      <c r="Z652" s="105"/>
      <c r="AA652" s="105"/>
      <c r="AB652" s="105"/>
    </row>
    <row r="653" spans="2:28" ht="21" customHeight="1">
      <c r="B653" s="105"/>
      <c r="C653" s="105"/>
      <c r="D653" s="105"/>
      <c r="E653" s="105"/>
      <c r="F653" s="114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11"/>
      <c r="T653" s="111"/>
      <c r="U653" s="111"/>
      <c r="V653" s="111"/>
      <c r="W653" s="111"/>
      <c r="X653" s="111"/>
      <c r="Y653" s="111"/>
      <c r="Z653" s="105"/>
      <c r="AA653" s="105"/>
      <c r="AB653" s="105"/>
    </row>
    <row r="654" spans="2:28" ht="21" customHeight="1">
      <c r="B654" s="105"/>
      <c r="C654" s="105"/>
      <c r="D654" s="105"/>
      <c r="E654" s="105"/>
      <c r="F654" s="114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11"/>
      <c r="T654" s="111"/>
      <c r="U654" s="111"/>
      <c r="V654" s="111"/>
      <c r="W654" s="111"/>
      <c r="X654" s="111"/>
      <c r="Y654" s="111"/>
      <c r="Z654" s="105"/>
      <c r="AA654" s="105"/>
      <c r="AB654" s="105"/>
    </row>
    <row r="655" spans="2:28" ht="21" customHeight="1">
      <c r="B655" s="105"/>
      <c r="C655" s="105"/>
      <c r="D655" s="105"/>
      <c r="E655" s="105"/>
      <c r="F655" s="114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11"/>
      <c r="T655" s="111"/>
      <c r="U655" s="111"/>
      <c r="V655" s="111"/>
      <c r="W655" s="111"/>
      <c r="X655" s="111"/>
      <c r="Y655" s="111"/>
      <c r="Z655" s="105"/>
      <c r="AA655" s="105"/>
      <c r="AB655" s="105"/>
    </row>
    <row r="656" spans="2:28" ht="21" customHeight="1">
      <c r="B656" s="105"/>
      <c r="C656" s="105"/>
      <c r="D656" s="105"/>
      <c r="E656" s="105"/>
      <c r="F656" s="114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11"/>
      <c r="T656" s="111"/>
      <c r="U656" s="111"/>
      <c r="V656" s="111"/>
      <c r="W656" s="111"/>
      <c r="X656" s="111"/>
      <c r="Y656" s="111"/>
      <c r="Z656" s="105"/>
      <c r="AA656" s="105"/>
      <c r="AB656" s="105"/>
    </row>
    <row r="657" spans="2:28" ht="21" customHeight="1">
      <c r="B657" s="105"/>
      <c r="C657" s="105"/>
      <c r="D657" s="105"/>
      <c r="E657" s="105"/>
      <c r="F657" s="114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11"/>
      <c r="T657" s="111"/>
      <c r="U657" s="111"/>
      <c r="V657" s="111"/>
      <c r="W657" s="111"/>
      <c r="X657" s="111"/>
      <c r="Y657" s="111"/>
      <c r="Z657" s="105"/>
      <c r="AA657" s="105"/>
      <c r="AB657" s="105"/>
    </row>
    <row r="658" spans="2:28" ht="21" customHeight="1">
      <c r="B658" s="105"/>
      <c r="C658" s="105"/>
      <c r="D658" s="105"/>
      <c r="E658" s="105"/>
      <c r="F658" s="114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11"/>
      <c r="T658" s="111"/>
      <c r="U658" s="111"/>
      <c r="V658" s="111"/>
      <c r="W658" s="111"/>
      <c r="X658" s="111"/>
      <c r="Y658" s="111"/>
      <c r="Z658" s="105"/>
      <c r="AA658" s="105"/>
      <c r="AB658" s="105"/>
    </row>
    <row r="659" spans="2:28" ht="21" customHeight="1">
      <c r="B659" s="105"/>
      <c r="C659" s="105"/>
      <c r="D659" s="105"/>
      <c r="E659" s="105"/>
      <c r="F659" s="114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11"/>
      <c r="T659" s="111"/>
      <c r="U659" s="111"/>
      <c r="V659" s="111"/>
      <c r="W659" s="111"/>
      <c r="X659" s="111"/>
      <c r="Y659" s="111"/>
      <c r="Z659" s="105"/>
      <c r="AA659" s="105"/>
      <c r="AB659" s="105"/>
    </row>
    <row r="660" spans="2:28" ht="21" customHeight="1">
      <c r="B660" s="105"/>
      <c r="C660" s="105"/>
      <c r="D660" s="105"/>
      <c r="E660" s="105"/>
      <c r="F660" s="114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11"/>
      <c r="T660" s="111"/>
      <c r="U660" s="111"/>
      <c r="V660" s="111"/>
      <c r="W660" s="111"/>
      <c r="X660" s="111"/>
      <c r="Y660" s="111"/>
      <c r="Z660" s="105"/>
      <c r="AA660" s="105"/>
      <c r="AB660" s="105"/>
    </row>
    <row r="661" spans="2:28" ht="21" customHeight="1">
      <c r="B661" s="105"/>
      <c r="C661" s="105"/>
      <c r="D661" s="105"/>
      <c r="E661" s="105"/>
      <c r="F661" s="114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11"/>
      <c r="T661" s="111"/>
      <c r="U661" s="111"/>
      <c r="V661" s="111"/>
      <c r="W661" s="111"/>
      <c r="X661" s="111"/>
      <c r="Y661" s="111"/>
      <c r="Z661" s="105"/>
      <c r="AA661" s="105"/>
      <c r="AB661" s="105"/>
    </row>
    <row r="662" spans="2:28" ht="21" customHeight="1">
      <c r="B662" s="105"/>
      <c r="C662" s="105"/>
      <c r="D662" s="105"/>
      <c r="E662" s="105"/>
      <c r="F662" s="114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11"/>
      <c r="T662" s="111"/>
      <c r="U662" s="111"/>
      <c r="V662" s="111"/>
      <c r="W662" s="111"/>
      <c r="X662" s="111"/>
      <c r="Y662" s="111"/>
      <c r="Z662" s="105"/>
      <c r="AA662" s="105"/>
      <c r="AB662" s="105"/>
    </row>
    <row r="663" spans="2:28" ht="21" customHeight="1">
      <c r="B663" s="105"/>
      <c r="C663" s="105"/>
      <c r="D663" s="105"/>
      <c r="E663" s="105"/>
      <c r="F663" s="114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11"/>
      <c r="T663" s="111"/>
      <c r="U663" s="111"/>
      <c r="V663" s="111"/>
      <c r="W663" s="111"/>
      <c r="X663" s="111"/>
      <c r="Y663" s="111"/>
      <c r="Z663" s="105"/>
      <c r="AA663" s="105"/>
      <c r="AB663" s="105"/>
    </row>
    <row r="664" spans="2:28" ht="21" customHeight="1">
      <c r="B664" s="105"/>
      <c r="C664" s="105"/>
      <c r="D664" s="105"/>
      <c r="E664" s="105"/>
      <c r="F664" s="114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11"/>
      <c r="T664" s="111"/>
      <c r="U664" s="111"/>
      <c r="V664" s="111"/>
      <c r="W664" s="111"/>
      <c r="X664" s="111"/>
      <c r="Y664" s="111"/>
      <c r="Z664" s="105"/>
      <c r="AA664" s="105"/>
      <c r="AB664" s="105"/>
    </row>
    <row r="665" spans="2:28" ht="21" customHeight="1">
      <c r="B665" s="105"/>
      <c r="C665" s="105"/>
      <c r="D665" s="105"/>
      <c r="E665" s="105"/>
      <c r="F665" s="114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11"/>
      <c r="T665" s="111"/>
      <c r="U665" s="111"/>
      <c r="V665" s="111"/>
      <c r="W665" s="111"/>
      <c r="X665" s="111"/>
      <c r="Y665" s="111"/>
      <c r="Z665" s="105"/>
      <c r="AA665" s="105"/>
      <c r="AB665" s="105"/>
    </row>
    <row r="666" spans="2:28" ht="21" customHeight="1">
      <c r="B666" s="105"/>
      <c r="C666" s="105"/>
      <c r="D666" s="105"/>
      <c r="E666" s="105"/>
      <c r="F666" s="114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11"/>
      <c r="T666" s="111"/>
      <c r="U666" s="111"/>
      <c r="V666" s="111"/>
      <c r="W666" s="111"/>
      <c r="X666" s="111"/>
      <c r="Y666" s="111"/>
      <c r="Z666" s="105"/>
      <c r="AA666" s="105"/>
      <c r="AB666" s="105"/>
    </row>
    <row r="667" spans="2:28" ht="21" customHeight="1">
      <c r="B667" s="105"/>
      <c r="C667" s="105"/>
      <c r="D667" s="105"/>
      <c r="E667" s="105"/>
      <c r="F667" s="114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11"/>
      <c r="T667" s="111"/>
      <c r="U667" s="111"/>
      <c r="V667" s="111"/>
      <c r="W667" s="111"/>
      <c r="X667" s="111"/>
      <c r="Y667" s="111"/>
      <c r="Z667" s="105"/>
      <c r="AA667" s="105"/>
      <c r="AB667" s="105"/>
    </row>
    <row r="668" spans="2:28" ht="21" customHeight="1">
      <c r="B668" s="105"/>
      <c r="C668" s="105"/>
      <c r="D668" s="105"/>
      <c r="E668" s="105"/>
      <c r="F668" s="114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11"/>
      <c r="T668" s="111"/>
      <c r="U668" s="111"/>
      <c r="V668" s="111"/>
      <c r="W668" s="111"/>
      <c r="X668" s="111"/>
      <c r="Y668" s="111"/>
      <c r="Z668" s="105"/>
      <c r="AA668" s="105"/>
      <c r="AB668" s="105"/>
    </row>
    <row r="669" spans="2:28" ht="21" customHeight="1">
      <c r="B669" s="105"/>
      <c r="C669" s="105"/>
      <c r="D669" s="105"/>
      <c r="E669" s="105"/>
      <c r="F669" s="114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11"/>
      <c r="T669" s="111"/>
      <c r="U669" s="111"/>
      <c r="V669" s="111"/>
      <c r="W669" s="111"/>
      <c r="X669" s="111"/>
      <c r="Y669" s="111"/>
      <c r="Z669" s="105"/>
      <c r="AA669" s="105"/>
      <c r="AB669" s="105"/>
    </row>
    <row r="670" spans="2:28" ht="21" customHeight="1">
      <c r="B670" s="105"/>
      <c r="C670" s="105"/>
      <c r="D670" s="105"/>
      <c r="E670" s="105"/>
      <c r="F670" s="114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11"/>
      <c r="T670" s="111"/>
      <c r="U670" s="111"/>
      <c r="V670" s="111"/>
      <c r="W670" s="111"/>
      <c r="X670" s="111"/>
      <c r="Y670" s="111"/>
      <c r="Z670" s="105"/>
      <c r="AA670" s="105"/>
      <c r="AB670" s="105"/>
    </row>
    <row r="671" spans="2:28" ht="21" customHeight="1">
      <c r="B671" s="105"/>
      <c r="C671" s="105"/>
      <c r="D671" s="105"/>
      <c r="E671" s="105"/>
      <c r="F671" s="114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11"/>
      <c r="T671" s="111"/>
      <c r="U671" s="111"/>
      <c r="V671" s="111"/>
      <c r="W671" s="111"/>
      <c r="X671" s="111"/>
      <c r="Y671" s="111"/>
      <c r="Z671" s="105"/>
      <c r="AA671" s="105"/>
      <c r="AB671" s="105"/>
    </row>
    <row r="672" spans="2:28" ht="21" customHeight="1">
      <c r="B672" s="105"/>
      <c r="C672" s="105"/>
      <c r="D672" s="105"/>
      <c r="E672" s="105"/>
      <c r="F672" s="114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11"/>
      <c r="T672" s="111"/>
      <c r="U672" s="111"/>
      <c r="V672" s="111"/>
      <c r="W672" s="111"/>
      <c r="X672" s="111"/>
      <c r="Y672" s="111"/>
      <c r="Z672" s="105"/>
      <c r="AA672" s="105"/>
      <c r="AB672" s="105"/>
    </row>
    <row r="673" spans="2:28" ht="21" customHeight="1">
      <c r="B673" s="105"/>
      <c r="C673" s="105"/>
      <c r="D673" s="105"/>
      <c r="E673" s="105"/>
      <c r="F673" s="114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11"/>
      <c r="T673" s="111"/>
      <c r="U673" s="111"/>
      <c r="V673" s="111"/>
      <c r="W673" s="111"/>
      <c r="X673" s="111"/>
      <c r="Y673" s="111"/>
      <c r="Z673" s="105"/>
      <c r="AA673" s="105"/>
      <c r="AB673" s="105"/>
    </row>
    <row r="674" spans="2:28" ht="21" customHeight="1">
      <c r="B674" s="105"/>
      <c r="C674" s="105"/>
      <c r="D674" s="105"/>
      <c r="E674" s="105"/>
      <c r="F674" s="114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11"/>
      <c r="T674" s="111"/>
      <c r="U674" s="111"/>
      <c r="V674" s="111"/>
      <c r="W674" s="111"/>
      <c r="X674" s="111"/>
      <c r="Y674" s="111"/>
      <c r="Z674" s="105"/>
      <c r="AA674" s="105"/>
      <c r="AB674" s="105"/>
    </row>
    <row r="675" spans="2:28" ht="21" customHeight="1">
      <c r="B675" s="105"/>
      <c r="C675" s="105"/>
      <c r="D675" s="105"/>
      <c r="E675" s="105"/>
      <c r="F675" s="114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11"/>
      <c r="T675" s="111"/>
      <c r="U675" s="111"/>
      <c r="V675" s="111"/>
      <c r="W675" s="111"/>
      <c r="X675" s="111"/>
      <c r="Y675" s="111"/>
      <c r="Z675" s="105"/>
      <c r="AA675" s="105"/>
      <c r="AB675" s="105"/>
    </row>
    <row r="676" spans="2:28" ht="21" customHeight="1">
      <c r="B676" s="105"/>
      <c r="C676" s="105"/>
      <c r="D676" s="105"/>
      <c r="E676" s="105"/>
      <c r="F676" s="114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11"/>
      <c r="T676" s="111"/>
      <c r="U676" s="111"/>
      <c r="V676" s="111"/>
      <c r="W676" s="111"/>
      <c r="X676" s="111"/>
      <c r="Y676" s="111"/>
      <c r="Z676" s="105"/>
      <c r="AA676" s="105"/>
      <c r="AB676" s="105"/>
    </row>
    <row r="677" spans="2:28" ht="21" customHeight="1">
      <c r="B677" s="105"/>
      <c r="C677" s="105"/>
      <c r="D677" s="105"/>
      <c r="E677" s="105"/>
      <c r="F677" s="114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11"/>
      <c r="T677" s="111"/>
      <c r="U677" s="111"/>
      <c r="V677" s="111"/>
      <c r="W677" s="111"/>
      <c r="X677" s="111"/>
      <c r="Y677" s="111"/>
      <c r="Z677" s="105"/>
      <c r="AA677" s="105"/>
      <c r="AB677" s="105"/>
    </row>
    <row r="678" spans="2:28" ht="21" customHeight="1">
      <c r="B678" s="105"/>
      <c r="C678" s="105"/>
      <c r="D678" s="105"/>
      <c r="E678" s="105"/>
      <c r="F678" s="114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11"/>
      <c r="T678" s="111"/>
      <c r="U678" s="111"/>
      <c r="V678" s="111"/>
      <c r="W678" s="111"/>
      <c r="X678" s="111"/>
      <c r="Y678" s="111"/>
      <c r="Z678" s="105"/>
      <c r="AA678" s="105"/>
      <c r="AB678" s="105"/>
    </row>
    <row r="679" spans="2:28" ht="21" customHeight="1">
      <c r="B679" s="105"/>
      <c r="C679" s="105"/>
      <c r="D679" s="105"/>
      <c r="E679" s="105"/>
      <c r="F679" s="114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11"/>
      <c r="T679" s="111"/>
      <c r="U679" s="111"/>
      <c r="V679" s="111"/>
      <c r="W679" s="111"/>
      <c r="X679" s="111"/>
      <c r="Y679" s="111"/>
      <c r="Z679" s="105"/>
      <c r="AA679" s="105"/>
      <c r="AB679" s="105"/>
    </row>
    <row r="680" spans="2:28" ht="21" customHeight="1">
      <c r="B680" s="105"/>
      <c r="C680" s="105"/>
      <c r="D680" s="105"/>
      <c r="E680" s="105"/>
      <c r="F680" s="114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11"/>
      <c r="T680" s="111"/>
      <c r="U680" s="111"/>
      <c r="V680" s="111"/>
      <c r="W680" s="111"/>
      <c r="X680" s="111"/>
      <c r="Y680" s="111"/>
      <c r="Z680" s="105"/>
      <c r="AA680" s="105"/>
      <c r="AB680" s="105"/>
    </row>
    <row r="681" spans="2:28" ht="21" customHeight="1">
      <c r="B681" s="105"/>
      <c r="C681" s="105"/>
      <c r="D681" s="105"/>
      <c r="E681" s="105"/>
      <c r="F681" s="114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11"/>
      <c r="T681" s="111"/>
      <c r="U681" s="111"/>
      <c r="V681" s="111"/>
      <c r="W681" s="111"/>
      <c r="X681" s="111"/>
      <c r="Y681" s="111"/>
      <c r="Z681" s="105"/>
      <c r="AA681" s="105"/>
      <c r="AB681" s="105"/>
    </row>
    <row r="682" spans="2:28" ht="21" customHeight="1">
      <c r="B682" s="105"/>
      <c r="C682" s="105"/>
      <c r="D682" s="105"/>
      <c r="E682" s="105"/>
      <c r="F682" s="114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11"/>
      <c r="T682" s="111"/>
      <c r="U682" s="111"/>
      <c r="V682" s="111"/>
      <c r="W682" s="111"/>
      <c r="X682" s="111"/>
      <c r="Y682" s="111"/>
      <c r="Z682" s="105"/>
      <c r="AA682" s="105"/>
      <c r="AB682" s="105"/>
    </row>
    <row r="683" spans="2:28" ht="21" customHeight="1">
      <c r="B683" s="105"/>
      <c r="C683" s="105"/>
      <c r="D683" s="105"/>
      <c r="E683" s="105"/>
      <c r="F683" s="114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11"/>
      <c r="T683" s="111"/>
      <c r="U683" s="111"/>
      <c r="V683" s="111"/>
      <c r="W683" s="111"/>
      <c r="X683" s="111"/>
      <c r="Y683" s="111"/>
      <c r="Z683" s="105"/>
      <c r="AA683" s="105"/>
      <c r="AB683" s="105"/>
    </row>
    <row r="684" spans="2:28" ht="21" customHeight="1">
      <c r="B684" s="105"/>
      <c r="C684" s="105"/>
      <c r="D684" s="105"/>
      <c r="E684" s="105"/>
      <c r="F684" s="114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11"/>
      <c r="T684" s="111"/>
      <c r="U684" s="111"/>
      <c r="V684" s="111"/>
      <c r="W684" s="111"/>
      <c r="X684" s="111"/>
      <c r="Y684" s="111"/>
      <c r="Z684" s="105"/>
      <c r="AA684" s="105"/>
      <c r="AB684" s="105"/>
    </row>
    <row r="685" spans="2:28" ht="21" customHeight="1">
      <c r="B685" s="105"/>
      <c r="C685" s="105"/>
      <c r="D685" s="105"/>
      <c r="E685" s="105"/>
      <c r="F685" s="114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11"/>
      <c r="T685" s="111"/>
      <c r="U685" s="111"/>
      <c r="V685" s="111"/>
      <c r="W685" s="111"/>
      <c r="X685" s="111"/>
      <c r="Y685" s="111"/>
      <c r="Z685" s="105"/>
      <c r="AA685" s="105"/>
      <c r="AB685" s="105"/>
    </row>
    <row r="686" spans="2:28" ht="21" customHeight="1">
      <c r="B686" s="105"/>
      <c r="C686" s="105"/>
      <c r="D686" s="105"/>
      <c r="E686" s="105"/>
      <c r="F686" s="114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11"/>
      <c r="T686" s="111"/>
      <c r="U686" s="111"/>
      <c r="V686" s="111"/>
      <c r="W686" s="111"/>
      <c r="X686" s="111"/>
      <c r="Y686" s="111"/>
      <c r="Z686" s="105"/>
      <c r="AA686" s="105"/>
      <c r="AB686" s="105"/>
    </row>
    <row r="687" spans="2:28" ht="21" customHeight="1">
      <c r="B687" s="105"/>
      <c r="C687" s="105"/>
      <c r="D687" s="105"/>
      <c r="E687" s="105"/>
      <c r="F687" s="114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11"/>
      <c r="T687" s="111"/>
      <c r="U687" s="111"/>
      <c r="V687" s="111"/>
      <c r="W687" s="111"/>
      <c r="X687" s="111"/>
      <c r="Y687" s="111"/>
      <c r="Z687" s="105"/>
      <c r="AA687" s="105"/>
      <c r="AB687" s="105"/>
    </row>
    <row r="688" spans="2:28" ht="21" customHeight="1">
      <c r="B688" s="105"/>
      <c r="C688" s="105"/>
      <c r="D688" s="105"/>
      <c r="E688" s="105"/>
      <c r="F688" s="114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11"/>
      <c r="T688" s="111"/>
      <c r="U688" s="111"/>
      <c r="V688" s="111"/>
      <c r="W688" s="111"/>
      <c r="X688" s="111"/>
      <c r="Y688" s="111"/>
      <c r="Z688" s="105"/>
      <c r="AA688" s="105"/>
      <c r="AB688" s="105"/>
    </row>
    <row r="689" spans="2:28" ht="21" customHeight="1">
      <c r="B689" s="105"/>
      <c r="C689" s="105"/>
      <c r="D689" s="105"/>
      <c r="E689" s="105"/>
      <c r="F689" s="114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11"/>
      <c r="T689" s="111"/>
      <c r="U689" s="111"/>
      <c r="V689" s="111"/>
      <c r="W689" s="111"/>
      <c r="X689" s="111"/>
      <c r="Y689" s="111"/>
      <c r="Z689" s="105"/>
      <c r="AA689" s="105"/>
      <c r="AB689" s="105"/>
    </row>
    <row r="690" spans="2:28" ht="21" customHeight="1">
      <c r="B690" s="105"/>
      <c r="C690" s="105"/>
      <c r="D690" s="105"/>
      <c r="E690" s="105"/>
      <c r="F690" s="114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11"/>
      <c r="T690" s="111"/>
      <c r="U690" s="111"/>
      <c r="V690" s="111"/>
      <c r="W690" s="111"/>
      <c r="X690" s="111"/>
      <c r="Y690" s="111"/>
      <c r="Z690" s="105"/>
      <c r="AA690" s="105"/>
      <c r="AB690" s="105"/>
    </row>
    <row r="691" spans="2:28" ht="21" customHeight="1">
      <c r="B691" s="105"/>
      <c r="C691" s="105"/>
      <c r="D691" s="105"/>
      <c r="E691" s="105"/>
      <c r="F691" s="114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11"/>
      <c r="T691" s="111"/>
      <c r="U691" s="111"/>
      <c r="V691" s="111"/>
      <c r="W691" s="111"/>
      <c r="X691" s="111"/>
      <c r="Y691" s="111"/>
      <c r="Z691" s="105"/>
      <c r="AA691" s="105"/>
      <c r="AB691" s="105"/>
    </row>
    <row r="692" spans="2:28" ht="21" customHeight="1">
      <c r="B692" s="105"/>
      <c r="C692" s="105"/>
      <c r="D692" s="105"/>
      <c r="E692" s="105"/>
      <c r="F692" s="114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11"/>
      <c r="T692" s="111"/>
      <c r="U692" s="111"/>
      <c r="V692" s="111"/>
      <c r="W692" s="111"/>
      <c r="X692" s="111"/>
      <c r="Y692" s="111"/>
      <c r="Z692" s="105"/>
      <c r="AA692" s="105"/>
      <c r="AB692" s="105"/>
    </row>
    <row r="693" spans="2:28" ht="21" customHeight="1">
      <c r="B693" s="105"/>
      <c r="C693" s="105"/>
      <c r="D693" s="105"/>
      <c r="E693" s="105"/>
      <c r="F693" s="114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11"/>
      <c r="T693" s="111"/>
      <c r="U693" s="111"/>
      <c r="V693" s="111"/>
      <c r="W693" s="111"/>
      <c r="X693" s="111"/>
      <c r="Y693" s="111"/>
      <c r="Z693" s="105"/>
      <c r="AA693" s="105"/>
      <c r="AB693" s="105"/>
    </row>
    <row r="694" spans="2:28" ht="21" customHeight="1">
      <c r="B694" s="105"/>
      <c r="C694" s="105"/>
      <c r="D694" s="105"/>
      <c r="E694" s="105"/>
      <c r="F694" s="114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11"/>
      <c r="T694" s="111"/>
      <c r="U694" s="111"/>
      <c r="V694" s="111"/>
      <c r="W694" s="111"/>
      <c r="X694" s="111"/>
      <c r="Y694" s="111"/>
      <c r="Z694" s="105"/>
      <c r="AA694" s="105"/>
      <c r="AB694" s="105"/>
    </row>
    <row r="695" spans="2:28" ht="21" customHeight="1">
      <c r="B695" s="105"/>
      <c r="C695" s="105"/>
      <c r="D695" s="105"/>
      <c r="E695" s="105"/>
      <c r="F695" s="114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11"/>
      <c r="T695" s="111"/>
      <c r="U695" s="111"/>
      <c r="V695" s="111"/>
      <c r="W695" s="111"/>
      <c r="X695" s="111"/>
      <c r="Y695" s="111"/>
      <c r="Z695" s="105"/>
      <c r="AA695" s="105"/>
      <c r="AB695" s="105"/>
    </row>
    <row r="696" spans="2:28" ht="21" customHeight="1">
      <c r="B696" s="105"/>
      <c r="C696" s="105"/>
      <c r="D696" s="105"/>
      <c r="E696" s="105"/>
      <c r="F696" s="114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11"/>
      <c r="T696" s="111"/>
      <c r="U696" s="111"/>
      <c r="V696" s="111"/>
      <c r="W696" s="111"/>
      <c r="X696" s="111"/>
      <c r="Y696" s="111"/>
      <c r="Z696" s="105"/>
      <c r="AA696" s="105"/>
      <c r="AB696" s="105"/>
    </row>
    <row r="697" spans="2:28" ht="21" customHeight="1">
      <c r="B697" s="105"/>
      <c r="C697" s="105"/>
      <c r="D697" s="105"/>
      <c r="E697" s="105"/>
      <c r="F697" s="114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11"/>
      <c r="T697" s="111"/>
      <c r="U697" s="111"/>
      <c r="V697" s="111"/>
      <c r="W697" s="111"/>
      <c r="X697" s="111"/>
      <c r="Y697" s="111"/>
      <c r="Z697" s="105"/>
      <c r="AA697" s="105"/>
      <c r="AB697" s="105"/>
    </row>
    <row r="698" spans="2:28" ht="21" customHeight="1">
      <c r="B698" s="105"/>
      <c r="C698" s="105"/>
      <c r="D698" s="105"/>
      <c r="E698" s="105"/>
      <c r="F698" s="114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11"/>
      <c r="T698" s="111"/>
      <c r="U698" s="111"/>
      <c r="V698" s="111"/>
      <c r="W698" s="111"/>
      <c r="X698" s="111"/>
      <c r="Y698" s="111"/>
      <c r="Z698" s="105"/>
      <c r="AA698" s="105"/>
      <c r="AB698" s="105"/>
    </row>
    <row r="699" spans="2:28" ht="21" customHeight="1">
      <c r="B699" s="105"/>
      <c r="C699" s="105"/>
      <c r="D699" s="105"/>
      <c r="E699" s="105"/>
      <c r="F699" s="114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11"/>
      <c r="T699" s="111"/>
      <c r="U699" s="111"/>
      <c r="V699" s="111"/>
      <c r="W699" s="111"/>
      <c r="X699" s="111"/>
      <c r="Y699" s="111"/>
      <c r="Z699" s="105"/>
      <c r="AA699" s="105"/>
      <c r="AB699" s="105"/>
    </row>
    <row r="700" spans="2:28" ht="21" customHeight="1">
      <c r="B700" s="105"/>
      <c r="C700" s="105"/>
      <c r="D700" s="105"/>
      <c r="E700" s="105"/>
      <c r="F700" s="114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11"/>
      <c r="T700" s="111"/>
      <c r="U700" s="111"/>
      <c r="V700" s="111"/>
      <c r="W700" s="111"/>
      <c r="X700" s="111"/>
      <c r="Y700" s="111"/>
      <c r="Z700" s="105"/>
      <c r="AA700" s="105"/>
      <c r="AB700" s="105"/>
    </row>
    <row r="701" spans="2:28" ht="21" customHeight="1">
      <c r="B701" s="105"/>
      <c r="C701" s="105"/>
      <c r="D701" s="105"/>
      <c r="E701" s="105"/>
      <c r="F701" s="114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11"/>
      <c r="T701" s="111"/>
      <c r="U701" s="111"/>
      <c r="V701" s="111"/>
      <c r="W701" s="111"/>
      <c r="X701" s="111"/>
      <c r="Y701" s="111"/>
      <c r="Z701" s="105"/>
      <c r="AA701" s="105"/>
      <c r="AB701" s="105"/>
    </row>
    <row r="702" spans="2:28" ht="21" customHeight="1">
      <c r="B702" s="105"/>
      <c r="C702" s="105"/>
      <c r="D702" s="105"/>
      <c r="E702" s="105"/>
      <c r="F702" s="114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11"/>
      <c r="T702" s="111"/>
      <c r="U702" s="111"/>
      <c r="V702" s="111"/>
      <c r="W702" s="111"/>
      <c r="X702" s="111"/>
      <c r="Y702" s="111"/>
      <c r="Z702" s="105"/>
      <c r="AA702" s="105"/>
      <c r="AB702" s="105"/>
    </row>
    <row r="703" spans="2:28" ht="21" customHeight="1">
      <c r="B703" s="105"/>
      <c r="C703" s="105"/>
      <c r="D703" s="105"/>
      <c r="E703" s="105"/>
      <c r="F703" s="114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11"/>
      <c r="T703" s="111"/>
      <c r="U703" s="111"/>
      <c r="V703" s="111"/>
      <c r="W703" s="111"/>
      <c r="X703" s="111"/>
      <c r="Y703" s="111"/>
      <c r="Z703" s="105"/>
      <c r="AA703" s="105"/>
      <c r="AB703" s="105"/>
    </row>
    <row r="704" spans="2:28" ht="21" customHeight="1">
      <c r="B704" s="105"/>
      <c r="C704" s="105"/>
      <c r="D704" s="105"/>
      <c r="E704" s="105"/>
      <c r="F704" s="114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11"/>
      <c r="T704" s="111"/>
      <c r="U704" s="111"/>
      <c r="V704" s="111"/>
      <c r="W704" s="111"/>
      <c r="X704" s="111"/>
      <c r="Y704" s="111"/>
      <c r="Z704" s="105"/>
      <c r="AA704" s="105"/>
      <c r="AB704" s="105"/>
    </row>
    <row r="705" spans="2:28" ht="21" customHeight="1">
      <c r="B705" s="105"/>
      <c r="C705" s="105"/>
      <c r="D705" s="105"/>
      <c r="E705" s="105"/>
      <c r="F705" s="114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11"/>
      <c r="T705" s="111"/>
      <c r="U705" s="111"/>
      <c r="V705" s="111"/>
      <c r="W705" s="111"/>
      <c r="X705" s="111"/>
      <c r="Y705" s="111"/>
      <c r="Z705" s="105"/>
      <c r="AA705" s="105"/>
      <c r="AB705" s="105"/>
    </row>
    <row r="706" spans="2:28" ht="21" customHeight="1">
      <c r="B706" s="105"/>
      <c r="C706" s="105"/>
      <c r="D706" s="105"/>
      <c r="E706" s="105"/>
      <c r="F706" s="114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11"/>
      <c r="T706" s="111"/>
      <c r="U706" s="111"/>
      <c r="V706" s="111"/>
      <c r="W706" s="111"/>
      <c r="X706" s="111"/>
      <c r="Y706" s="111"/>
      <c r="Z706" s="105"/>
      <c r="AA706" s="105"/>
      <c r="AB706" s="105"/>
    </row>
    <row r="707" spans="2:28" ht="21" customHeight="1">
      <c r="B707" s="105"/>
      <c r="C707" s="105"/>
      <c r="D707" s="105"/>
      <c r="E707" s="105"/>
      <c r="F707" s="114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11"/>
      <c r="T707" s="111"/>
      <c r="U707" s="111"/>
      <c r="V707" s="111"/>
      <c r="W707" s="111"/>
      <c r="X707" s="111"/>
      <c r="Y707" s="111"/>
      <c r="Z707" s="105"/>
      <c r="AA707" s="105"/>
      <c r="AB707" s="105"/>
    </row>
    <row r="708" spans="2:28" ht="21" customHeight="1">
      <c r="B708" s="105"/>
      <c r="C708" s="105"/>
      <c r="D708" s="105"/>
      <c r="E708" s="105"/>
      <c r="F708" s="114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11"/>
      <c r="T708" s="111"/>
      <c r="U708" s="111"/>
      <c r="V708" s="111"/>
      <c r="W708" s="111"/>
      <c r="X708" s="111"/>
      <c r="Y708" s="111"/>
      <c r="Z708" s="105"/>
      <c r="AA708" s="105"/>
      <c r="AB708" s="105"/>
    </row>
    <row r="709" spans="2:28" ht="21" customHeight="1">
      <c r="B709" s="105"/>
      <c r="C709" s="105"/>
      <c r="D709" s="105"/>
      <c r="E709" s="105"/>
      <c r="F709" s="114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11"/>
      <c r="T709" s="111"/>
      <c r="U709" s="111"/>
      <c r="V709" s="111"/>
      <c r="W709" s="111"/>
      <c r="X709" s="111"/>
      <c r="Y709" s="111"/>
      <c r="Z709" s="105"/>
      <c r="AA709" s="105"/>
      <c r="AB709" s="105"/>
    </row>
    <row r="710" spans="2:28" ht="21" customHeight="1">
      <c r="B710" s="105"/>
      <c r="C710" s="105"/>
      <c r="D710" s="105"/>
      <c r="E710" s="105"/>
      <c r="F710" s="114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11"/>
      <c r="T710" s="111"/>
      <c r="U710" s="111"/>
      <c r="V710" s="111"/>
      <c r="W710" s="111"/>
      <c r="X710" s="111"/>
      <c r="Y710" s="111"/>
      <c r="Z710" s="105"/>
      <c r="AA710" s="105"/>
      <c r="AB710" s="105"/>
    </row>
    <row r="711" spans="2:28" ht="21" customHeight="1">
      <c r="B711" s="105"/>
      <c r="C711" s="105"/>
      <c r="D711" s="105"/>
      <c r="E711" s="105"/>
      <c r="F711" s="114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11"/>
      <c r="T711" s="111"/>
      <c r="U711" s="111"/>
      <c r="V711" s="111"/>
      <c r="W711" s="111"/>
      <c r="X711" s="111"/>
      <c r="Y711" s="111"/>
      <c r="Z711" s="105"/>
      <c r="AA711" s="105"/>
      <c r="AB711" s="105"/>
    </row>
    <row r="712" spans="2:28" ht="21" customHeight="1">
      <c r="B712" s="105"/>
      <c r="C712" s="105"/>
      <c r="D712" s="105"/>
      <c r="E712" s="105"/>
      <c r="F712" s="114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11"/>
      <c r="T712" s="111"/>
      <c r="U712" s="111"/>
      <c r="V712" s="111"/>
      <c r="W712" s="111"/>
      <c r="X712" s="111"/>
      <c r="Y712" s="111"/>
      <c r="Z712" s="105"/>
      <c r="AA712" s="105"/>
      <c r="AB712" s="105"/>
    </row>
    <row r="713" spans="2:28" ht="21" customHeight="1">
      <c r="B713" s="105"/>
      <c r="C713" s="105"/>
      <c r="D713" s="105"/>
      <c r="E713" s="105"/>
      <c r="F713" s="114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11"/>
      <c r="T713" s="111"/>
      <c r="U713" s="111"/>
      <c r="V713" s="111"/>
      <c r="W713" s="111"/>
      <c r="X713" s="111"/>
      <c r="Y713" s="111"/>
      <c r="Z713" s="105"/>
      <c r="AA713" s="105"/>
      <c r="AB713" s="105"/>
    </row>
    <row r="714" spans="2:28" ht="21" customHeight="1">
      <c r="B714" s="105"/>
      <c r="C714" s="105"/>
      <c r="D714" s="105"/>
      <c r="E714" s="105"/>
      <c r="F714" s="114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11"/>
      <c r="T714" s="111"/>
      <c r="U714" s="111"/>
      <c r="V714" s="111"/>
      <c r="W714" s="111"/>
      <c r="X714" s="111"/>
      <c r="Y714" s="111"/>
      <c r="Z714" s="105"/>
      <c r="AA714" s="105"/>
      <c r="AB714" s="105"/>
    </row>
    <row r="715" spans="2:28" ht="21" customHeight="1">
      <c r="B715" s="105"/>
      <c r="C715" s="105"/>
      <c r="D715" s="105"/>
      <c r="E715" s="105"/>
      <c r="F715" s="114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11"/>
      <c r="T715" s="111"/>
      <c r="U715" s="111"/>
      <c r="V715" s="111"/>
      <c r="W715" s="111"/>
      <c r="X715" s="111"/>
      <c r="Y715" s="111"/>
      <c r="Z715" s="105"/>
      <c r="AA715" s="105"/>
      <c r="AB715" s="105"/>
    </row>
    <row r="716" spans="2:28" ht="21" customHeight="1">
      <c r="B716" s="105"/>
      <c r="C716" s="105"/>
      <c r="D716" s="105"/>
      <c r="E716" s="105"/>
      <c r="F716" s="114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11"/>
      <c r="T716" s="111"/>
      <c r="U716" s="111"/>
      <c r="V716" s="111"/>
      <c r="W716" s="111"/>
      <c r="X716" s="111"/>
      <c r="Y716" s="111"/>
      <c r="Z716" s="105"/>
      <c r="AA716" s="105"/>
      <c r="AB716" s="105"/>
    </row>
    <row r="717" spans="2:28" ht="21" customHeight="1">
      <c r="B717" s="105"/>
      <c r="C717" s="105"/>
      <c r="D717" s="105"/>
      <c r="E717" s="105"/>
      <c r="F717" s="114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11"/>
      <c r="T717" s="111"/>
      <c r="U717" s="111"/>
      <c r="V717" s="111"/>
      <c r="W717" s="111"/>
      <c r="X717" s="111"/>
      <c r="Y717" s="111"/>
      <c r="Z717" s="105"/>
      <c r="AA717" s="105"/>
      <c r="AB717" s="105"/>
    </row>
    <row r="718" spans="2:28" ht="21" customHeight="1">
      <c r="B718" s="105"/>
      <c r="C718" s="105"/>
      <c r="D718" s="105"/>
      <c r="E718" s="105"/>
      <c r="F718" s="114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11"/>
      <c r="T718" s="111"/>
      <c r="U718" s="111"/>
      <c r="V718" s="111"/>
      <c r="W718" s="111"/>
      <c r="X718" s="111"/>
      <c r="Y718" s="111"/>
      <c r="Z718" s="105"/>
      <c r="AA718" s="105"/>
      <c r="AB718" s="105"/>
    </row>
    <row r="719" spans="2:28" ht="21" customHeight="1">
      <c r="B719" s="105"/>
      <c r="C719" s="105"/>
      <c r="D719" s="105"/>
      <c r="E719" s="105"/>
      <c r="F719" s="114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11"/>
      <c r="T719" s="111"/>
      <c r="U719" s="111"/>
      <c r="V719" s="111"/>
      <c r="W719" s="111"/>
      <c r="X719" s="111"/>
      <c r="Y719" s="111"/>
      <c r="Z719" s="105"/>
      <c r="AA719" s="105"/>
      <c r="AB719" s="105"/>
    </row>
    <row r="720" spans="2:28" ht="21" customHeight="1">
      <c r="B720" s="105"/>
      <c r="C720" s="105"/>
      <c r="D720" s="105"/>
      <c r="E720" s="105"/>
      <c r="F720" s="114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11"/>
      <c r="T720" s="111"/>
      <c r="U720" s="111"/>
      <c r="V720" s="111"/>
      <c r="W720" s="111"/>
      <c r="X720" s="111"/>
      <c r="Y720" s="111"/>
      <c r="Z720" s="105"/>
      <c r="AA720" s="105"/>
      <c r="AB720" s="105"/>
    </row>
    <row r="721" spans="2:28" ht="21" customHeight="1">
      <c r="B721" s="105"/>
      <c r="C721" s="105"/>
      <c r="D721" s="105"/>
      <c r="E721" s="105"/>
      <c r="F721" s="114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11"/>
      <c r="T721" s="111"/>
      <c r="U721" s="111"/>
      <c r="V721" s="111"/>
      <c r="W721" s="111"/>
      <c r="X721" s="111"/>
      <c r="Y721" s="111"/>
      <c r="Z721" s="105"/>
      <c r="AA721" s="105"/>
      <c r="AB721" s="105"/>
    </row>
    <row r="722" spans="2:28" ht="21" customHeight="1">
      <c r="B722" s="105"/>
      <c r="C722" s="105"/>
      <c r="D722" s="105"/>
      <c r="E722" s="105"/>
      <c r="F722" s="114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11"/>
      <c r="T722" s="111"/>
      <c r="U722" s="111"/>
      <c r="V722" s="111"/>
      <c r="W722" s="111"/>
      <c r="X722" s="111"/>
      <c r="Y722" s="111"/>
      <c r="Z722" s="105"/>
      <c r="AA722" s="105"/>
      <c r="AB722" s="105"/>
    </row>
    <row r="723" spans="2:28" ht="21" customHeight="1">
      <c r="B723" s="105"/>
      <c r="C723" s="105"/>
      <c r="D723" s="105"/>
      <c r="E723" s="105"/>
      <c r="F723" s="114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11"/>
      <c r="T723" s="111"/>
      <c r="U723" s="111"/>
      <c r="V723" s="111"/>
      <c r="W723" s="111"/>
      <c r="X723" s="111"/>
      <c r="Y723" s="111"/>
      <c r="Z723" s="105"/>
      <c r="AA723" s="105"/>
      <c r="AB723" s="105"/>
    </row>
    <row r="724" spans="2:28" ht="21" customHeight="1">
      <c r="B724" s="105"/>
      <c r="C724" s="105"/>
      <c r="D724" s="105"/>
      <c r="E724" s="105"/>
      <c r="F724" s="114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11"/>
      <c r="T724" s="111"/>
      <c r="U724" s="111"/>
      <c r="V724" s="111"/>
      <c r="W724" s="111"/>
      <c r="X724" s="111"/>
      <c r="Y724" s="111"/>
      <c r="Z724" s="105"/>
      <c r="AA724" s="105"/>
      <c r="AB724" s="105"/>
    </row>
    <row r="725" spans="2:28" ht="21" customHeight="1">
      <c r="B725" s="105"/>
      <c r="C725" s="105"/>
      <c r="D725" s="105"/>
      <c r="E725" s="105"/>
      <c r="F725" s="114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11"/>
      <c r="T725" s="111"/>
      <c r="U725" s="111"/>
      <c r="V725" s="111"/>
      <c r="W725" s="111"/>
      <c r="X725" s="111"/>
      <c r="Y725" s="111"/>
      <c r="Z725" s="105"/>
      <c r="AA725" s="105"/>
      <c r="AB725" s="105"/>
    </row>
    <row r="726" spans="2:28" ht="21" customHeight="1">
      <c r="B726" s="105"/>
      <c r="C726" s="105"/>
      <c r="D726" s="105"/>
      <c r="E726" s="105"/>
      <c r="F726" s="114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11"/>
      <c r="T726" s="111"/>
      <c r="U726" s="111"/>
      <c r="V726" s="111"/>
      <c r="W726" s="111"/>
      <c r="X726" s="111"/>
      <c r="Y726" s="111"/>
      <c r="Z726" s="105"/>
      <c r="AA726" s="105"/>
      <c r="AB726" s="105"/>
    </row>
    <row r="727" spans="2:28" ht="21" customHeight="1">
      <c r="B727" s="105"/>
      <c r="C727" s="105"/>
      <c r="D727" s="105"/>
      <c r="E727" s="105"/>
      <c r="F727" s="114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11"/>
      <c r="T727" s="111"/>
      <c r="U727" s="111"/>
      <c r="V727" s="111"/>
      <c r="W727" s="111"/>
      <c r="X727" s="111"/>
      <c r="Y727" s="111"/>
      <c r="Z727" s="105"/>
      <c r="AA727" s="105"/>
      <c r="AB727" s="105"/>
    </row>
    <row r="728" spans="2:28" ht="21" customHeight="1">
      <c r="B728" s="105"/>
      <c r="C728" s="105"/>
      <c r="D728" s="105"/>
      <c r="E728" s="105"/>
      <c r="F728" s="114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11"/>
      <c r="T728" s="111"/>
      <c r="U728" s="111"/>
      <c r="V728" s="111"/>
      <c r="W728" s="111"/>
      <c r="X728" s="111"/>
      <c r="Y728" s="111"/>
      <c r="Z728" s="105"/>
      <c r="AA728" s="105"/>
      <c r="AB728" s="105"/>
    </row>
    <row r="729" spans="2:28" ht="21" customHeight="1">
      <c r="B729" s="105"/>
      <c r="C729" s="105"/>
      <c r="D729" s="105"/>
      <c r="E729" s="105"/>
      <c r="F729" s="114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11"/>
      <c r="T729" s="111"/>
      <c r="U729" s="111"/>
      <c r="V729" s="111"/>
      <c r="W729" s="111"/>
      <c r="X729" s="111"/>
      <c r="Y729" s="111"/>
      <c r="Z729" s="105"/>
      <c r="AA729" s="105"/>
      <c r="AB729" s="105"/>
    </row>
    <row r="730" spans="2:28" ht="21" customHeight="1">
      <c r="B730" s="105"/>
      <c r="C730" s="105"/>
      <c r="D730" s="105"/>
      <c r="E730" s="105"/>
      <c r="F730" s="114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11"/>
      <c r="T730" s="111"/>
      <c r="U730" s="111"/>
      <c r="V730" s="111"/>
      <c r="W730" s="111"/>
      <c r="X730" s="111"/>
      <c r="Y730" s="111"/>
      <c r="Z730" s="105"/>
      <c r="AA730" s="105"/>
      <c r="AB730" s="105"/>
    </row>
    <row r="731" spans="2:28" ht="21" customHeight="1">
      <c r="B731" s="105"/>
      <c r="C731" s="105"/>
      <c r="D731" s="105"/>
      <c r="E731" s="105"/>
      <c r="F731" s="114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11"/>
      <c r="T731" s="111"/>
      <c r="U731" s="111"/>
      <c r="V731" s="111"/>
      <c r="W731" s="111"/>
      <c r="X731" s="111"/>
      <c r="Y731" s="111"/>
      <c r="Z731" s="105"/>
      <c r="AA731" s="105"/>
      <c r="AB731" s="105"/>
    </row>
    <row r="732" spans="2:28" ht="21" customHeight="1">
      <c r="B732" s="105"/>
      <c r="C732" s="105"/>
      <c r="D732" s="105"/>
      <c r="E732" s="105"/>
      <c r="F732" s="114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11"/>
      <c r="T732" s="111"/>
      <c r="U732" s="111"/>
      <c r="V732" s="111"/>
      <c r="W732" s="111"/>
      <c r="X732" s="111"/>
      <c r="Y732" s="111"/>
      <c r="Z732" s="105"/>
      <c r="AA732" s="105"/>
      <c r="AB732" s="105"/>
    </row>
    <row r="733" spans="2:28" ht="21" customHeight="1">
      <c r="B733" s="105"/>
      <c r="C733" s="105"/>
      <c r="D733" s="105"/>
      <c r="E733" s="105"/>
      <c r="F733" s="114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11"/>
      <c r="T733" s="111"/>
      <c r="U733" s="111"/>
      <c r="V733" s="111"/>
      <c r="W733" s="111"/>
      <c r="X733" s="111"/>
      <c r="Y733" s="111"/>
      <c r="Z733" s="105"/>
      <c r="AA733" s="105"/>
      <c r="AB733" s="105"/>
    </row>
    <row r="734" spans="2:28" ht="21" customHeight="1">
      <c r="B734" s="105"/>
      <c r="C734" s="105"/>
      <c r="D734" s="105"/>
      <c r="E734" s="105"/>
      <c r="F734" s="114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11"/>
      <c r="T734" s="111"/>
      <c r="U734" s="111"/>
      <c r="V734" s="111"/>
      <c r="W734" s="111"/>
      <c r="X734" s="111"/>
      <c r="Y734" s="111"/>
      <c r="Z734" s="105"/>
      <c r="AA734" s="105"/>
      <c r="AB734" s="105"/>
    </row>
    <row r="735" spans="2:28" ht="21" customHeight="1">
      <c r="B735" s="105"/>
      <c r="C735" s="105"/>
      <c r="D735" s="105"/>
      <c r="E735" s="105"/>
      <c r="F735" s="114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11"/>
      <c r="T735" s="111"/>
      <c r="U735" s="111"/>
      <c r="V735" s="111"/>
      <c r="W735" s="111"/>
      <c r="X735" s="111"/>
      <c r="Y735" s="111"/>
      <c r="Z735" s="105"/>
      <c r="AA735" s="105"/>
      <c r="AB735" s="105"/>
    </row>
    <row r="736" spans="2:28" ht="21" customHeight="1">
      <c r="B736" s="105"/>
      <c r="C736" s="105"/>
      <c r="D736" s="105"/>
      <c r="E736" s="105"/>
      <c r="F736" s="114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11"/>
      <c r="T736" s="111"/>
      <c r="U736" s="111"/>
      <c r="V736" s="111"/>
      <c r="W736" s="111"/>
      <c r="X736" s="111"/>
      <c r="Y736" s="111"/>
      <c r="Z736" s="105"/>
      <c r="AA736" s="105"/>
      <c r="AB736" s="105"/>
    </row>
    <row r="737" spans="2:28" ht="21" customHeight="1">
      <c r="B737" s="105"/>
      <c r="C737" s="105"/>
      <c r="D737" s="105"/>
      <c r="E737" s="105"/>
      <c r="F737" s="114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11"/>
      <c r="T737" s="111"/>
      <c r="U737" s="111"/>
      <c r="V737" s="111"/>
      <c r="W737" s="111"/>
      <c r="X737" s="111"/>
      <c r="Y737" s="111"/>
      <c r="Z737" s="105"/>
      <c r="AA737" s="105"/>
      <c r="AB737" s="105"/>
    </row>
    <row r="738" spans="2:28" ht="21" customHeight="1">
      <c r="B738" s="105"/>
      <c r="C738" s="105"/>
      <c r="D738" s="105"/>
      <c r="E738" s="105"/>
      <c r="F738" s="114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11"/>
      <c r="T738" s="111"/>
      <c r="U738" s="111"/>
      <c r="V738" s="111"/>
      <c r="W738" s="111"/>
      <c r="X738" s="111"/>
      <c r="Y738" s="111"/>
      <c r="Z738" s="105"/>
      <c r="AA738" s="105"/>
      <c r="AB738" s="105"/>
    </row>
    <row r="739" spans="2:28" ht="21" customHeight="1">
      <c r="B739" s="105"/>
      <c r="C739" s="105"/>
      <c r="D739" s="105"/>
      <c r="E739" s="105"/>
      <c r="F739" s="114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11"/>
      <c r="T739" s="111"/>
      <c r="U739" s="111"/>
      <c r="V739" s="111"/>
      <c r="W739" s="111"/>
      <c r="X739" s="111"/>
      <c r="Y739" s="111"/>
      <c r="Z739" s="105"/>
      <c r="AA739" s="105"/>
      <c r="AB739" s="105"/>
    </row>
    <row r="740" spans="2:28" ht="21" customHeight="1">
      <c r="B740" s="105"/>
      <c r="C740" s="105"/>
      <c r="D740" s="105"/>
      <c r="E740" s="105"/>
      <c r="F740" s="114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11"/>
      <c r="T740" s="111"/>
      <c r="U740" s="111"/>
      <c r="V740" s="111"/>
      <c r="W740" s="111"/>
      <c r="X740" s="111"/>
      <c r="Y740" s="111"/>
      <c r="Z740" s="105"/>
      <c r="AA740" s="105"/>
      <c r="AB740" s="105"/>
    </row>
    <row r="741" spans="2:28" ht="21" customHeight="1">
      <c r="B741" s="105"/>
      <c r="C741" s="105"/>
      <c r="D741" s="105"/>
      <c r="E741" s="105"/>
      <c r="F741" s="114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11"/>
      <c r="T741" s="111"/>
      <c r="U741" s="111"/>
      <c r="V741" s="111"/>
      <c r="W741" s="111"/>
      <c r="X741" s="111"/>
      <c r="Y741" s="111"/>
      <c r="Z741" s="105"/>
      <c r="AA741" s="105"/>
      <c r="AB741" s="105"/>
    </row>
    <row r="742" spans="2:28" ht="21" customHeight="1">
      <c r="B742" s="105"/>
      <c r="C742" s="105"/>
      <c r="D742" s="105"/>
      <c r="E742" s="105"/>
      <c r="F742" s="114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11"/>
      <c r="T742" s="111"/>
      <c r="U742" s="111"/>
      <c r="V742" s="111"/>
      <c r="W742" s="111"/>
      <c r="X742" s="111"/>
      <c r="Y742" s="111"/>
      <c r="Z742" s="105"/>
      <c r="AA742" s="105"/>
      <c r="AB742" s="105"/>
    </row>
    <row r="743" spans="2:28" ht="21" customHeight="1">
      <c r="B743" s="105"/>
      <c r="C743" s="105"/>
      <c r="D743" s="105"/>
      <c r="E743" s="105"/>
      <c r="F743" s="114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11"/>
      <c r="T743" s="111"/>
      <c r="U743" s="111"/>
      <c r="V743" s="111"/>
      <c r="W743" s="111"/>
      <c r="X743" s="111"/>
      <c r="Y743" s="111"/>
      <c r="Z743" s="105"/>
      <c r="AA743" s="105"/>
      <c r="AB743" s="105"/>
    </row>
    <row r="744" spans="2:28" ht="21" customHeight="1">
      <c r="B744" s="105"/>
      <c r="C744" s="105"/>
      <c r="D744" s="105"/>
      <c r="E744" s="105"/>
      <c r="F744" s="114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11"/>
      <c r="T744" s="111"/>
      <c r="U744" s="111"/>
      <c r="V744" s="111"/>
      <c r="W744" s="111"/>
      <c r="X744" s="111"/>
      <c r="Y744" s="111"/>
      <c r="Z744" s="105"/>
      <c r="AA744" s="105"/>
      <c r="AB744" s="105"/>
    </row>
    <row r="745" spans="2:28" ht="21" customHeight="1">
      <c r="B745" s="105"/>
      <c r="C745" s="105"/>
      <c r="D745" s="105"/>
      <c r="E745" s="105"/>
      <c r="F745" s="114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11"/>
      <c r="T745" s="111"/>
      <c r="U745" s="111"/>
      <c r="V745" s="111"/>
      <c r="W745" s="111"/>
      <c r="X745" s="111"/>
      <c r="Y745" s="111"/>
      <c r="Z745" s="105"/>
      <c r="AA745" s="105"/>
      <c r="AB745" s="105"/>
    </row>
    <row r="746" spans="2:28" ht="21" customHeight="1">
      <c r="B746" s="105"/>
      <c r="C746" s="105"/>
      <c r="D746" s="105"/>
      <c r="E746" s="105"/>
      <c r="F746" s="114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11"/>
      <c r="T746" s="111"/>
      <c r="U746" s="111"/>
      <c r="V746" s="111"/>
      <c r="W746" s="111"/>
      <c r="X746" s="111"/>
      <c r="Y746" s="111"/>
      <c r="Z746" s="105"/>
      <c r="AA746" s="105"/>
      <c r="AB746" s="105"/>
    </row>
    <row r="747" spans="2:28" ht="21" customHeight="1">
      <c r="B747" s="105"/>
      <c r="C747" s="105"/>
      <c r="D747" s="105"/>
      <c r="E747" s="105"/>
      <c r="F747" s="114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11"/>
      <c r="T747" s="111"/>
      <c r="U747" s="111"/>
      <c r="V747" s="111"/>
      <c r="W747" s="111"/>
      <c r="X747" s="111"/>
      <c r="Y747" s="111"/>
      <c r="Z747" s="105"/>
      <c r="AA747" s="105"/>
      <c r="AB747" s="105"/>
    </row>
    <row r="748" spans="2:28" ht="21" customHeight="1">
      <c r="B748" s="105"/>
      <c r="C748" s="105"/>
      <c r="D748" s="105"/>
      <c r="E748" s="105"/>
      <c r="F748" s="114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11"/>
      <c r="T748" s="111"/>
      <c r="U748" s="111"/>
      <c r="V748" s="111"/>
      <c r="W748" s="111"/>
      <c r="X748" s="111"/>
      <c r="Y748" s="111"/>
      <c r="Z748" s="105"/>
      <c r="AA748" s="105"/>
      <c r="AB748" s="105"/>
    </row>
    <row r="749" spans="2:28" ht="21" customHeight="1">
      <c r="B749" s="105"/>
      <c r="C749" s="105"/>
      <c r="D749" s="105"/>
      <c r="E749" s="105"/>
      <c r="F749" s="114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11"/>
      <c r="T749" s="111"/>
      <c r="U749" s="111"/>
      <c r="V749" s="111"/>
      <c r="W749" s="111"/>
      <c r="X749" s="111"/>
      <c r="Y749" s="111"/>
      <c r="Z749" s="105"/>
      <c r="AA749" s="105"/>
      <c r="AB749" s="105"/>
    </row>
    <row r="750" spans="2:28" ht="21" customHeight="1">
      <c r="B750" s="105"/>
      <c r="C750" s="105"/>
      <c r="D750" s="105"/>
      <c r="E750" s="105"/>
      <c r="F750" s="114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11"/>
      <c r="T750" s="111"/>
      <c r="U750" s="111"/>
      <c r="V750" s="111"/>
      <c r="W750" s="111"/>
      <c r="X750" s="111"/>
      <c r="Y750" s="111"/>
      <c r="Z750" s="105"/>
      <c r="AA750" s="105"/>
      <c r="AB750" s="105"/>
    </row>
    <row r="751" spans="2:28" ht="21" customHeight="1">
      <c r="B751" s="105"/>
      <c r="C751" s="105"/>
      <c r="D751" s="105"/>
      <c r="E751" s="105"/>
      <c r="F751" s="114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11"/>
      <c r="T751" s="111"/>
      <c r="U751" s="111"/>
      <c r="V751" s="111"/>
      <c r="W751" s="111"/>
      <c r="X751" s="111"/>
      <c r="Y751" s="111"/>
      <c r="Z751" s="105"/>
      <c r="AA751" s="105"/>
      <c r="AB751" s="105"/>
    </row>
    <row r="752" spans="2:28" ht="21" customHeight="1">
      <c r="B752" s="105"/>
      <c r="C752" s="105"/>
      <c r="D752" s="105"/>
      <c r="E752" s="105"/>
      <c r="F752" s="114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11"/>
      <c r="T752" s="111"/>
      <c r="U752" s="111"/>
      <c r="V752" s="111"/>
      <c r="W752" s="111"/>
      <c r="X752" s="111"/>
      <c r="Y752" s="111"/>
      <c r="Z752" s="105"/>
      <c r="AA752" s="105"/>
      <c r="AB752" s="105"/>
    </row>
    <row r="753" spans="2:28" ht="21" customHeight="1">
      <c r="B753" s="105"/>
      <c r="C753" s="105"/>
      <c r="D753" s="105"/>
      <c r="E753" s="105"/>
      <c r="F753" s="114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11"/>
      <c r="T753" s="111"/>
      <c r="U753" s="111"/>
      <c r="V753" s="111"/>
      <c r="W753" s="111"/>
      <c r="X753" s="111"/>
      <c r="Y753" s="111"/>
      <c r="Z753" s="105"/>
      <c r="AA753" s="105"/>
      <c r="AB753" s="105"/>
    </row>
    <row r="754" spans="2:28" ht="21" customHeight="1">
      <c r="B754" s="105"/>
      <c r="C754" s="105"/>
      <c r="D754" s="105"/>
      <c r="E754" s="105"/>
      <c r="F754" s="114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11"/>
      <c r="T754" s="111"/>
      <c r="U754" s="111"/>
      <c r="V754" s="111"/>
      <c r="W754" s="111"/>
      <c r="X754" s="111"/>
      <c r="Y754" s="111"/>
      <c r="Z754" s="105"/>
      <c r="AA754" s="105"/>
      <c r="AB754" s="105"/>
    </row>
    <row r="755" spans="2:28" ht="21" customHeight="1">
      <c r="B755" s="105"/>
      <c r="C755" s="105"/>
      <c r="D755" s="105"/>
      <c r="E755" s="105"/>
      <c r="F755" s="114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11"/>
      <c r="T755" s="111"/>
      <c r="U755" s="111"/>
      <c r="V755" s="111"/>
      <c r="W755" s="111"/>
      <c r="X755" s="111"/>
      <c r="Y755" s="111"/>
      <c r="Z755" s="105"/>
      <c r="AA755" s="105"/>
      <c r="AB755" s="105"/>
    </row>
    <row r="756" spans="2:28" ht="21" customHeight="1">
      <c r="B756" s="105"/>
      <c r="C756" s="105"/>
      <c r="D756" s="105"/>
      <c r="E756" s="105"/>
      <c r="F756" s="114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11"/>
      <c r="T756" s="111"/>
      <c r="U756" s="111"/>
      <c r="V756" s="111"/>
      <c r="W756" s="111"/>
      <c r="X756" s="111"/>
      <c r="Y756" s="111"/>
      <c r="Z756" s="105"/>
      <c r="AA756" s="105"/>
      <c r="AB756" s="105"/>
    </row>
    <row r="757" spans="2:28" ht="21" customHeight="1">
      <c r="B757" s="105"/>
      <c r="C757" s="105"/>
      <c r="D757" s="105"/>
      <c r="E757" s="105"/>
      <c r="F757" s="114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11"/>
      <c r="T757" s="111"/>
      <c r="U757" s="111"/>
      <c r="V757" s="111"/>
      <c r="W757" s="111"/>
      <c r="X757" s="111"/>
      <c r="Y757" s="111"/>
      <c r="Z757" s="105"/>
      <c r="AA757" s="105"/>
      <c r="AB757" s="105"/>
    </row>
    <row r="758" spans="2:28" ht="21" customHeight="1">
      <c r="B758" s="105"/>
      <c r="C758" s="105"/>
      <c r="D758" s="105"/>
      <c r="E758" s="105"/>
      <c r="F758" s="114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11"/>
      <c r="T758" s="111"/>
      <c r="U758" s="111"/>
      <c r="V758" s="111"/>
      <c r="W758" s="111"/>
      <c r="X758" s="111"/>
      <c r="Y758" s="111"/>
      <c r="Z758" s="105"/>
      <c r="AA758" s="105"/>
      <c r="AB758" s="105"/>
    </row>
    <row r="759" spans="2:28" ht="21" customHeight="1">
      <c r="B759" s="105"/>
      <c r="C759" s="105"/>
      <c r="D759" s="105"/>
      <c r="E759" s="105"/>
      <c r="F759" s="114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11"/>
      <c r="T759" s="111"/>
      <c r="U759" s="111"/>
      <c r="V759" s="111"/>
      <c r="W759" s="111"/>
      <c r="X759" s="111"/>
      <c r="Y759" s="111"/>
      <c r="Z759" s="105"/>
      <c r="AA759" s="105"/>
      <c r="AB759" s="105"/>
    </row>
    <row r="760" spans="2:28" ht="21" customHeight="1">
      <c r="B760" s="105"/>
      <c r="C760" s="105"/>
      <c r="D760" s="105"/>
      <c r="E760" s="105"/>
      <c r="F760" s="114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11"/>
      <c r="T760" s="111"/>
      <c r="U760" s="111"/>
      <c r="V760" s="111"/>
      <c r="W760" s="111"/>
      <c r="X760" s="111"/>
      <c r="Y760" s="111"/>
      <c r="Z760" s="105"/>
      <c r="AA760" s="105"/>
      <c r="AB760" s="105"/>
    </row>
    <row r="761" spans="2:28" ht="21" customHeight="1">
      <c r="B761" s="105"/>
      <c r="C761" s="105"/>
      <c r="D761" s="105"/>
      <c r="E761" s="105"/>
      <c r="F761" s="114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11"/>
      <c r="T761" s="111"/>
      <c r="U761" s="111"/>
      <c r="V761" s="111"/>
      <c r="W761" s="111"/>
      <c r="X761" s="111"/>
      <c r="Y761" s="111"/>
      <c r="Z761" s="105"/>
      <c r="AA761" s="105"/>
      <c r="AB761" s="105"/>
    </row>
    <row r="762" spans="2:28" ht="21" customHeight="1">
      <c r="B762" s="105"/>
      <c r="C762" s="105"/>
      <c r="D762" s="105"/>
      <c r="E762" s="105"/>
      <c r="F762" s="114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11"/>
      <c r="T762" s="111"/>
      <c r="U762" s="111"/>
      <c r="V762" s="111"/>
      <c r="W762" s="111"/>
      <c r="X762" s="111"/>
      <c r="Y762" s="111"/>
      <c r="Z762" s="105"/>
      <c r="AA762" s="105"/>
      <c r="AB762" s="105"/>
    </row>
    <row r="763" spans="2:28" ht="21" customHeight="1">
      <c r="B763" s="105"/>
      <c r="C763" s="105"/>
      <c r="D763" s="105"/>
      <c r="E763" s="105"/>
      <c r="F763" s="114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11"/>
      <c r="T763" s="111"/>
      <c r="U763" s="111"/>
      <c r="V763" s="111"/>
      <c r="W763" s="111"/>
      <c r="X763" s="111"/>
      <c r="Y763" s="111"/>
      <c r="Z763" s="105"/>
      <c r="AA763" s="105"/>
      <c r="AB763" s="105"/>
    </row>
    <row r="764" spans="2:28" ht="21" customHeight="1">
      <c r="B764" s="105"/>
      <c r="C764" s="105"/>
      <c r="D764" s="105"/>
      <c r="E764" s="105"/>
      <c r="F764" s="114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11"/>
      <c r="T764" s="111"/>
      <c r="U764" s="111"/>
      <c r="V764" s="111"/>
      <c r="W764" s="111"/>
      <c r="X764" s="111"/>
      <c r="Y764" s="111"/>
      <c r="Z764" s="105"/>
      <c r="AA764" s="105"/>
      <c r="AB764" s="105"/>
    </row>
    <row r="765" spans="2:28" ht="21" customHeight="1">
      <c r="B765" s="105"/>
      <c r="C765" s="105"/>
      <c r="D765" s="105"/>
      <c r="E765" s="105"/>
      <c r="F765" s="114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11"/>
      <c r="T765" s="111"/>
      <c r="U765" s="111"/>
      <c r="V765" s="111"/>
      <c r="W765" s="111"/>
      <c r="X765" s="111"/>
      <c r="Y765" s="111"/>
      <c r="Z765" s="105"/>
      <c r="AA765" s="105"/>
      <c r="AB765" s="105"/>
    </row>
    <row r="766" spans="2:28" ht="21" customHeight="1">
      <c r="B766" s="105"/>
      <c r="C766" s="105"/>
      <c r="D766" s="105"/>
      <c r="E766" s="105"/>
      <c r="F766" s="114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11"/>
      <c r="T766" s="111"/>
      <c r="U766" s="111"/>
      <c r="V766" s="111"/>
      <c r="W766" s="111"/>
      <c r="X766" s="111"/>
      <c r="Y766" s="111"/>
      <c r="Z766" s="105"/>
      <c r="AA766" s="105"/>
      <c r="AB766" s="105"/>
    </row>
    <row r="767" spans="2:28" ht="21" customHeight="1">
      <c r="B767" s="105"/>
      <c r="C767" s="105"/>
      <c r="D767" s="105"/>
      <c r="E767" s="105"/>
      <c r="F767" s="114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11"/>
      <c r="T767" s="111"/>
      <c r="U767" s="111"/>
      <c r="V767" s="111"/>
      <c r="W767" s="111"/>
      <c r="X767" s="111"/>
      <c r="Y767" s="111"/>
      <c r="Z767" s="105"/>
      <c r="AA767" s="105"/>
      <c r="AB767" s="105"/>
    </row>
    <row r="768" spans="2:28" ht="21" customHeight="1">
      <c r="B768" s="105"/>
      <c r="C768" s="105"/>
      <c r="D768" s="105"/>
      <c r="E768" s="105"/>
      <c r="F768" s="114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11"/>
      <c r="T768" s="111"/>
      <c r="U768" s="111"/>
      <c r="V768" s="111"/>
      <c r="W768" s="111"/>
      <c r="X768" s="111"/>
      <c r="Y768" s="111"/>
      <c r="Z768" s="105"/>
      <c r="AA768" s="105"/>
      <c r="AB768" s="105"/>
    </row>
    <row r="769" spans="2:28" ht="21" customHeight="1">
      <c r="B769" s="105"/>
      <c r="C769" s="105"/>
      <c r="D769" s="105"/>
      <c r="E769" s="105"/>
      <c r="F769" s="114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11"/>
      <c r="T769" s="111"/>
      <c r="U769" s="111"/>
      <c r="V769" s="111"/>
      <c r="W769" s="111"/>
      <c r="X769" s="111"/>
      <c r="Y769" s="111"/>
      <c r="Z769" s="105"/>
      <c r="AA769" s="105"/>
      <c r="AB769" s="105"/>
    </row>
    <row r="770" spans="2:28" ht="21" customHeight="1">
      <c r="B770" s="105"/>
      <c r="C770" s="105"/>
      <c r="D770" s="105"/>
      <c r="E770" s="105"/>
      <c r="F770" s="114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11"/>
      <c r="T770" s="111"/>
      <c r="U770" s="111"/>
      <c r="V770" s="111"/>
      <c r="W770" s="111"/>
      <c r="X770" s="111"/>
      <c r="Y770" s="111"/>
      <c r="Z770" s="105"/>
      <c r="AA770" s="105"/>
      <c r="AB770" s="105"/>
    </row>
    <row r="771" spans="2:28" ht="21" customHeight="1">
      <c r="B771" s="105"/>
      <c r="C771" s="105"/>
      <c r="D771" s="105"/>
      <c r="E771" s="105"/>
      <c r="F771" s="114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11"/>
      <c r="T771" s="111"/>
      <c r="U771" s="111"/>
      <c r="V771" s="111"/>
      <c r="W771" s="111"/>
      <c r="X771" s="111"/>
      <c r="Y771" s="111"/>
      <c r="Z771" s="105"/>
      <c r="AA771" s="105"/>
      <c r="AB771" s="105"/>
    </row>
    <row r="772" spans="2:28" ht="21" customHeight="1">
      <c r="B772" s="105"/>
      <c r="C772" s="105"/>
      <c r="D772" s="105"/>
      <c r="E772" s="105"/>
      <c r="F772" s="114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11"/>
      <c r="T772" s="111"/>
      <c r="U772" s="111"/>
      <c r="V772" s="111"/>
      <c r="W772" s="111"/>
      <c r="X772" s="111"/>
      <c r="Y772" s="111"/>
      <c r="Z772" s="105"/>
      <c r="AA772" s="105"/>
      <c r="AB772" s="105"/>
    </row>
    <row r="773" spans="2:28" ht="21" customHeight="1">
      <c r="B773" s="105"/>
      <c r="C773" s="105"/>
      <c r="D773" s="105"/>
      <c r="E773" s="105"/>
      <c r="F773" s="114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11"/>
      <c r="T773" s="111"/>
      <c r="U773" s="111"/>
      <c r="V773" s="111"/>
      <c r="W773" s="111"/>
      <c r="X773" s="111"/>
      <c r="Y773" s="111"/>
      <c r="Z773" s="105"/>
      <c r="AA773" s="105"/>
      <c r="AB773" s="105"/>
    </row>
    <row r="774" spans="2:28" ht="21" customHeight="1">
      <c r="B774" s="105"/>
      <c r="C774" s="105"/>
      <c r="D774" s="105"/>
      <c r="E774" s="105"/>
      <c r="F774" s="114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11"/>
      <c r="T774" s="111"/>
      <c r="U774" s="111"/>
      <c r="V774" s="111"/>
      <c r="W774" s="111"/>
      <c r="X774" s="111"/>
      <c r="Y774" s="111"/>
      <c r="Z774" s="105"/>
      <c r="AA774" s="105"/>
      <c r="AB774" s="105"/>
    </row>
    <row r="775" spans="2:28" ht="21" customHeight="1">
      <c r="B775" s="105"/>
      <c r="C775" s="105"/>
      <c r="D775" s="105"/>
      <c r="E775" s="105"/>
      <c r="F775" s="114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11"/>
      <c r="T775" s="111"/>
      <c r="U775" s="111"/>
      <c r="V775" s="111"/>
      <c r="W775" s="111"/>
      <c r="X775" s="111"/>
      <c r="Y775" s="111"/>
      <c r="Z775" s="105"/>
      <c r="AA775" s="105"/>
      <c r="AB775" s="105"/>
    </row>
    <row r="776" spans="2:28" ht="21" customHeight="1">
      <c r="B776" s="105"/>
      <c r="C776" s="105"/>
      <c r="D776" s="105"/>
      <c r="E776" s="105"/>
      <c r="F776" s="114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11"/>
      <c r="T776" s="111"/>
      <c r="U776" s="111"/>
      <c r="V776" s="111"/>
      <c r="W776" s="111"/>
      <c r="X776" s="111"/>
      <c r="Y776" s="111"/>
      <c r="Z776" s="105"/>
      <c r="AA776" s="105"/>
      <c r="AB776" s="105"/>
    </row>
    <row r="777" spans="2:28" ht="21" customHeight="1">
      <c r="B777" s="105"/>
      <c r="C777" s="105"/>
      <c r="D777" s="105"/>
      <c r="E777" s="105"/>
      <c r="F777" s="114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11"/>
      <c r="T777" s="111"/>
      <c r="U777" s="111"/>
      <c r="V777" s="111"/>
      <c r="W777" s="111"/>
      <c r="X777" s="111"/>
      <c r="Y777" s="111"/>
      <c r="Z777" s="105"/>
      <c r="AA777" s="105"/>
      <c r="AB777" s="105"/>
    </row>
    <row r="778" spans="2:28" ht="21" customHeight="1">
      <c r="B778" s="105"/>
      <c r="C778" s="105"/>
      <c r="D778" s="105"/>
      <c r="E778" s="105"/>
      <c r="F778" s="114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11"/>
      <c r="T778" s="111"/>
      <c r="U778" s="111"/>
      <c r="V778" s="111"/>
      <c r="W778" s="111"/>
      <c r="X778" s="111"/>
      <c r="Y778" s="111"/>
      <c r="Z778" s="105"/>
      <c r="AA778" s="105"/>
      <c r="AB778" s="105"/>
    </row>
    <row r="779" spans="2:28" ht="21" customHeight="1">
      <c r="B779" s="105"/>
      <c r="C779" s="105"/>
      <c r="D779" s="105"/>
      <c r="E779" s="105"/>
      <c r="F779" s="114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11"/>
      <c r="T779" s="111"/>
      <c r="U779" s="111"/>
      <c r="V779" s="111"/>
      <c r="W779" s="111"/>
      <c r="X779" s="111"/>
      <c r="Y779" s="111"/>
      <c r="Z779" s="105"/>
      <c r="AA779" s="105"/>
      <c r="AB779" s="105"/>
    </row>
    <row r="780" spans="2:28" ht="21" customHeight="1">
      <c r="B780" s="105"/>
      <c r="C780" s="105"/>
      <c r="D780" s="105"/>
      <c r="E780" s="105"/>
      <c r="F780" s="114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11"/>
      <c r="T780" s="111"/>
      <c r="U780" s="111"/>
      <c r="V780" s="111"/>
      <c r="W780" s="111"/>
      <c r="X780" s="111"/>
      <c r="Y780" s="111"/>
      <c r="Z780" s="105"/>
      <c r="AA780" s="105"/>
      <c r="AB780" s="105"/>
    </row>
    <row r="781" spans="2:28" ht="21" customHeight="1">
      <c r="B781" s="105"/>
      <c r="C781" s="105"/>
      <c r="D781" s="105"/>
      <c r="E781" s="105"/>
      <c r="F781" s="114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11"/>
      <c r="T781" s="111"/>
      <c r="U781" s="111"/>
      <c r="V781" s="111"/>
      <c r="W781" s="111"/>
      <c r="X781" s="111"/>
      <c r="Y781" s="111"/>
      <c r="Z781" s="105"/>
      <c r="AA781" s="105"/>
      <c r="AB781" s="105"/>
    </row>
    <row r="782" spans="2:28" ht="21" customHeight="1">
      <c r="B782" s="105"/>
      <c r="C782" s="105"/>
      <c r="D782" s="105"/>
      <c r="E782" s="105"/>
      <c r="F782" s="114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11"/>
      <c r="T782" s="111"/>
      <c r="U782" s="111"/>
      <c r="V782" s="111"/>
      <c r="W782" s="111"/>
      <c r="X782" s="111"/>
      <c r="Y782" s="111"/>
      <c r="Z782" s="105"/>
      <c r="AA782" s="105"/>
      <c r="AB782" s="105"/>
    </row>
    <row r="783" spans="2:28" ht="21" customHeight="1">
      <c r="B783" s="105"/>
      <c r="C783" s="105"/>
      <c r="D783" s="105"/>
      <c r="E783" s="105"/>
      <c r="F783" s="114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11"/>
      <c r="T783" s="111"/>
      <c r="U783" s="111"/>
      <c r="V783" s="111"/>
      <c r="W783" s="111"/>
      <c r="X783" s="111"/>
      <c r="Y783" s="111"/>
      <c r="Z783" s="105"/>
      <c r="AA783" s="105"/>
      <c r="AB783" s="105"/>
    </row>
    <row r="784" spans="2:28" ht="21" customHeight="1">
      <c r="B784" s="105"/>
      <c r="C784" s="105"/>
      <c r="D784" s="105"/>
      <c r="E784" s="105"/>
      <c r="F784" s="114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11"/>
      <c r="T784" s="111"/>
      <c r="U784" s="111"/>
      <c r="V784" s="111"/>
      <c r="W784" s="111"/>
      <c r="X784" s="111"/>
      <c r="Y784" s="111"/>
      <c r="Z784" s="105"/>
      <c r="AA784" s="105"/>
      <c r="AB784" s="105"/>
    </row>
    <row r="785" spans="2:28" ht="21" customHeight="1">
      <c r="B785" s="105"/>
      <c r="C785" s="105"/>
      <c r="D785" s="105"/>
      <c r="E785" s="105"/>
      <c r="F785" s="114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11"/>
      <c r="T785" s="111"/>
      <c r="U785" s="111"/>
      <c r="V785" s="111"/>
      <c r="W785" s="111"/>
      <c r="X785" s="111"/>
      <c r="Y785" s="111"/>
      <c r="Z785" s="105"/>
      <c r="AA785" s="105"/>
      <c r="AB785" s="105"/>
    </row>
    <row r="786" spans="2:28" ht="21" customHeight="1">
      <c r="B786" s="105"/>
      <c r="C786" s="105"/>
      <c r="D786" s="105"/>
      <c r="E786" s="105"/>
      <c r="F786" s="114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11"/>
      <c r="T786" s="111"/>
      <c r="U786" s="111"/>
      <c r="V786" s="111"/>
      <c r="W786" s="111"/>
      <c r="X786" s="111"/>
      <c r="Y786" s="111"/>
      <c r="Z786" s="105"/>
      <c r="AA786" s="105"/>
      <c r="AB786" s="105"/>
    </row>
    <row r="787" spans="2:28" ht="21" customHeight="1">
      <c r="B787" s="105"/>
      <c r="C787" s="105"/>
      <c r="D787" s="105"/>
      <c r="E787" s="105"/>
      <c r="F787" s="114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11"/>
      <c r="T787" s="111"/>
      <c r="U787" s="111"/>
      <c r="V787" s="111"/>
      <c r="W787" s="111"/>
      <c r="X787" s="111"/>
      <c r="Y787" s="111"/>
      <c r="Z787" s="105"/>
      <c r="AA787" s="105"/>
      <c r="AB787" s="105"/>
    </row>
    <row r="788" spans="2:28" ht="21" customHeight="1">
      <c r="B788" s="105"/>
      <c r="C788" s="105"/>
      <c r="D788" s="105"/>
      <c r="E788" s="105"/>
      <c r="F788" s="114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11"/>
      <c r="T788" s="111"/>
      <c r="U788" s="111"/>
      <c r="V788" s="111"/>
      <c r="W788" s="111"/>
      <c r="X788" s="111"/>
      <c r="Y788" s="111"/>
      <c r="Z788" s="105"/>
      <c r="AA788" s="105"/>
      <c r="AB788" s="105"/>
    </row>
    <row r="789" spans="2:28" ht="21" customHeight="1">
      <c r="B789" s="105"/>
      <c r="C789" s="105"/>
      <c r="D789" s="105"/>
      <c r="E789" s="105"/>
      <c r="F789" s="114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11"/>
      <c r="T789" s="111"/>
      <c r="U789" s="111"/>
      <c r="V789" s="111"/>
      <c r="W789" s="111"/>
      <c r="X789" s="111"/>
      <c r="Y789" s="111"/>
      <c r="Z789" s="105"/>
      <c r="AA789" s="105"/>
      <c r="AB789" s="105"/>
    </row>
    <row r="790" spans="2:28" ht="21" customHeight="1">
      <c r="B790" s="105"/>
      <c r="C790" s="105"/>
      <c r="D790" s="105"/>
      <c r="E790" s="105"/>
      <c r="F790" s="114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11"/>
      <c r="T790" s="111"/>
      <c r="U790" s="111"/>
      <c r="V790" s="111"/>
      <c r="W790" s="111"/>
      <c r="X790" s="111"/>
      <c r="Y790" s="111"/>
      <c r="Z790" s="105"/>
      <c r="AA790" s="105"/>
      <c r="AB790" s="105"/>
    </row>
    <row r="791" spans="2:28" ht="21" customHeight="1">
      <c r="B791" s="105"/>
      <c r="C791" s="105"/>
      <c r="D791" s="105"/>
      <c r="E791" s="105"/>
      <c r="F791" s="114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11"/>
      <c r="T791" s="111"/>
      <c r="U791" s="111"/>
      <c r="V791" s="111"/>
      <c r="W791" s="111"/>
      <c r="X791" s="111"/>
      <c r="Y791" s="111"/>
      <c r="Z791" s="105"/>
      <c r="AA791" s="105"/>
      <c r="AB791" s="105"/>
    </row>
    <row r="792" spans="2:28" ht="21" customHeight="1">
      <c r="B792" s="105"/>
      <c r="C792" s="105"/>
      <c r="D792" s="105"/>
      <c r="E792" s="105"/>
      <c r="F792" s="114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11"/>
      <c r="T792" s="111"/>
      <c r="U792" s="111"/>
      <c r="V792" s="111"/>
      <c r="W792" s="111"/>
      <c r="X792" s="111"/>
      <c r="Y792" s="111"/>
      <c r="Z792" s="105"/>
      <c r="AA792" s="105"/>
      <c r="AB792" s="105"/>
    </row>
    <row r="793" spans="2:28" ht="21" customHeight="1">
      <c r="B793" s="105"/>
      <c r="C793" s="105"/>
      <c r="D793" s="105"/>
      <c r="E793" s="105"/>
      <c r="F793" s="114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11"/>
      <c r="T793" s="111"/>
      <c r="U793" s="111"/>
      <c r="V793" s="111"/>
      <c r="W793" s="111"/>
      <c r="X793" s="111"/>
      <c r="Y793" s="111"/>
      <c r="Z793" s="105"/>
      <c r="AA793" s="105"/>
      <c r="AB793" s="105"/>
    </row>
    <row r="794" spans="2:28" ht="21" customHeight="1">
      <c r="B794" s="105"/>
      <c r="C794" s="105"/>
      <c r="D794" s="105"/>
      <c r="E794" s="105"/>
      <c r="F794" s="114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11"/>
      <c r="T794" s="111"/>
      <c r="U794" s="111"/>
      <c r="V794" s="111"/>
      <c r="W794" s="111"/>
      <c r="X794" s="111"/>
      <c r="Y794" s="111"/>
      <c r="Z794" s="105"/>
      <c r="AA794" s="105"/>
      <c r="AB794" s="105"/>
    </row>
    <row r="795" spans="2:28" ht="21" customHeight="1">
      <c r="B795" s="105"/>
      <c r="C795" s="105"/>
      <c r="D795" s="105"/>
      <c r="E795" s="105"/>
      <c r="F795" s="114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11"/>
      <c r="T795" s="111"/>
      <c r="U795" s="111"/>
      <c r="V795" s="111"/>
      <c r="W795" s="111"/>
      <c r="X795" s="111"/>
      <c r="Y795" s="111"/>
      <c r="Z795" s="105"/>
      <c r="AA795" s="105"/>
      <c r="AB795" s="105"/>
    </row>
    <row r="796" spans="2:28" ht="21" customHeight="1">
      <c r="B796" s="105"/>
      <c r="C796" s="105"/>
      <c r="D796" s="105"/>
      <c r="E796" s="105"/>
      <c r="F796" s="114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11"/>
      <c r="T796" s="111"/>
      <c r="U796" s="111"/>
      <c r="V796" s="111"/>
      <c r="W796" s="111"/>
      <c r="X796" s="111"/>
      <c r="Y796" s="111"/>
      <c r="Z796" s="105"/>
      <c r="AA796" s="105"/>
      <c r="AB796" s="105"/>
    </row>
    <row r="797" spans="2:28" ht="21" customHeight="1">
      <c r="B797" s="105"/>
      <c r="C797" s="105"/>
      <c r="D797" s="105"/>
      <c r="E797" s="105"/>
      <c r="F797" s="114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11"/>
      <c r="T797" s="111"/>
      <c r="U797" s="111"/>
      <c r="V797" s="111"/>
      <c r="W797" s="111"/>
      <c r="X797" s="111"/>
      <c r="Y797" s="111"/>
      <c r="Z797" s="105"/>
      <c r="AA797" s="105"/>
      <c r="AB797" s="105"/>
    </row>
    <row r="798" spans="2:28" ht="21" customHeight="1">
      <c r="B798" s="105"/>
      <c r="C798" s="105"/>
      <c r="D798" s="105"/>
      <c r="E798" s="105"/>
      <c r="F798" s="114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11"/>
      <c r="T798" s="111"/>
      <c r="U798" s="111"/>
      <c r="V798" s="111"/>
      <c r="W798" s="111"/>
      <c r="X798" s="111"/>
      <c r="Y798" s="111"/>
      <c r="Z798" s="105"/>
      <c r="AA798" s="105"/>
      <c r="AB798" s="105"/>
    </row>
    <row r="799" spans="2:28" ht="21" customHeight="1">
      <c r="B799" s="105"/>
      <c r="C799" s="105"/>
      <c r="D799" s="105"/>
      <c r="E799" s="105"/>
      <c r="F799" s="114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11"/>
      <c r="T799" s="111"/>
      <c r="U799" s="111"/>
      <c r="V799" s="111"/>
      <c r="W799" s="111"/>
      <c r="X799" s="111"/>
      <c r="Y799" s="111"/>
      <c r="Z799" s="105"/>
      <c r="AA799" s="105"/>
      <c r="AB799" s="105"/>
    </row>
    <row r="800" spans="2:28" ht="21" customHeight="1">
      <c r="B800" s="105"/>
      <c r="C800" s="105"/>
      <c r="D800" s="105"/>
      <c r="E800" s="105"/>
      <c r="F800" s="114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11"/>
      <c r="T800" s="111"/>
      <c r="U800" s="111"/>
      <c r="V800" s="111"/>
      <c r="W800" s="111"/>
      <c r="X800" s="111"/>
      <c r="Y800" s="111"/>
      <c r="Z800" s="105"/>
      <c r="AA800" s="105"/>
      <c r="AB800" s="105"/>
    </row>
    <row r="801" spans="2:28" ht="21" customHeight="1">
      <c r="B801" s="105"/>
      <c r="C801" s="105"/>
      <c r="D801" s="105"/>
      <c r="E801" s="105"/>
      <c r="F801" s="114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11"/>
      <c r="T801" s="111"/>
      <c r="U801" s="111"/>
      <c r="V801" s="111"/>
      <c r="W801" s="111"/>
      <c r="X801" s="111"/>
      <c r="Y801" s="111"/>
      <c r="Z801" s="105"/>
      <c r="AA801" s="105"/>
      <c r="AB801" s="105"/>
    </row>
    <row r="802" spans="2:28" ht="21" customHeight="1">
      <c r="B802" s="105"/>
      <c r="C802" s="105"/>
      <c r="D802" s="105"/>
      <c r="E802" s="105"/>
      <c r="F802" s="114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11"/>
      <c r="T802" s="111"/>
      <c r="U802" s="111"/>
      <c r="V802" s="111"/>
      <c r="W802" s="111"/>
      <c r="X802" s="111"/>
      <c r="Y802" s="111"/>
      <c r="Z802" s="105"/>
      <c r="AA802" s="105"/>
      <c r="AB802" s="105"/>
    </row>
    <row r="803" spans="2:28" ht="21" customHeight="1">
      <c r="B803" s="105"/>
      <c r="C803" s="105"/>
      <c r="D803" s="105"/>
      <c r="E803" s="105"/>
      <c r="F803" s="114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11"/>
      <c r="T803" s="111"/>
      <c r="U803" s="111"/>
      <c r="V803" s="111"/>
      <c r="W803" s="111"/>
      <c r="X803" s="111"/>
      <c r="Y803" s="111"/>
      <c r="Z803" s="105"/>
      <c r="AA803" s="105"/>
      <c r="AB803" s="105"/>
    </row>
    <row r="804" spans="2:28" ht="21" customHeight="1">
      <c r="B804" s="105"/>
      <c r="C804" s="105"/>
      <c r="D804" s="105"/>
      <c r="E804" s="105"/>
      <c r="F804" s="114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11"/>
      <c r="T804" s="111"/>
      <c r="U804" s="111"/>
      <c r="V804" s="111"/>
      <c r="W804" s="111"/>
      <c r="X804" s="111"/>
      <c r="Y804" s="111"/>
      <c r="Z804" s="105"/>
      <c r="AA804" s="105"/>
      <c r="AB804" s="105"/>
    </row>
    <row r="805" spans="2:28" ht="21" customHeight="1">
      <c r="B805" s="105"/>
      <c r="C805" s="105"/>
      <c r="D805" s="105"/>
      <c r="E805" s="105"/>
      <c r="F805" s="114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11"/>
      <c r="T805" s="111"/>
      <c r="U805" s="111"/>
      <c r="V805" s="111"/>
      <c r="W805" s="111"/>
      <c r="X805" s="111"/>
      <c r="Y805" s="111"/>
      <c r="Z805" s="105"/>
      <c r="AA805" s="105"/>
      <c r="AB805" s="105"/>
    </row>
    <row r="806" spans="2:28" ht="21" customHeight="1">
      <c r="B806" s="105"/>
      <c r="C806" s="105"/>
      <c r="D806" s="105"/>
      <c r="E806" s="105"/>
      <c r="F806" s="114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11"/>
      <c r="T806" s="111"/>
      <c r="U806" s="111"/>
      <c r="V806" s="111"/>
      <c r="W806" s="111"/>
      <c r="X806" s="111"/>
      <c r="Y806" s="111"/>
      <c r="Z806" s="105"/>
      <c r="AA806" s="105"/>
      <c r="AB806" s="105"/>
    </row>
    <row r="807" spans="2:28" ht="21" customHeight="1">
      <c r="B807" s="105"/>
      <c r="C807" s="105"/>
      <c r="D807" s="105"/>
      <c r="E807" s="105"/>
      <c r="F807" s="114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11"/>
      <c r="T807" s="111"/>
      <c r="U807" s="111"/>
      <c r="V807" s="111"/>
      <c r="W807" s="111"/>
      <c r="X807" s="111"/>
      <c r="Y807" s="111"/>
      <c r="Z807" s="105"/>
      <c r="AA807" s="105"/>
      <c r="AB807" s="105"/>
    </row>
    <row r="808" spans="2:28" ht="21" customHeight="1">
      <c r="B808" s="105"/>
      <c r="C808" s="105"/>
      <c r="D808" s="105"/>
      <c r="E808" s="105"/>
      <c r="F808" s="114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11"/>
      <c r="T808" s="111"/>
      <c r="U808" s="111"/>
      <c r="V808" s="111"/>
      <c r="W808" s="111"/>
      <c r="X808" s="111"/>
      <c r="Y808" s="111"/>
      <c r="Z808" s="105"/>
      <c r="AA808" s="105"/>
      <c r="AB808" s="105"/>
    </row>
    <row r="809" spans="2:28" ht="21" customHeight="1">
      <c r="B809" s="105"/>
      <c r="C809" s="105"/>
      <c r="D809" s="105"/>
      <c r="E809" s="105"/>
      <c r="F809" s="114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11"/>
      <c r="T809" s="111"/>
      <c r="U809" s="111"/>
      <c r="V809" s="111"/>
      <c r="W809" s="111"/>
      <c r="X809" s="111"/>
      <c r="Y809" s="111"/>
      <c r="Z809" s="105"/>
      <c r="AA809" s="105"/>
      <c r="AB809" s="105"/>
    </row>
    <row r="810" spans="2:28" ht="21" customHeight="1">
      <c r="B810" s="105"/>
      <c r="C810" s="105"/>
      <c r="D810" s="105"/>
      <c r="E810" s="105"/>
      <c r="F810" s="114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11"/>
      <c r="T810" s="111"/>
      <c r="U810" s="111"/>
      <c r="V810" s="111"/>
      <c r="W810" s="111"/>
      <c r="X810" s="111"/>
      <c r="Y810" s="111"/>
      <c r="Z810" s="105"/>
      <c r="AA810" s="105"/>
      <c r="AB810" s="105"/>
    </row>
    <row r="811" spans="2:28" ht="21" customHeight="1">
      <c r="B811" s="105"/>
      <c r="C811" s="105"/>
      <c r="D811" s="105"/>
      <c r="E811" s="105"/>
      <c r="F811" s="114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11"/>
      <c r="T811" s="111"/>
      <c r="U811" s="111"/>
      <c r="V811" s="111"/>
      <c r="W811" s="111"/>
      <c r="X811" s="111"/>
      <c r="Y811" s="111"/>
      <c r="Z811" s="105"/>
      <c r="AA811" s="105"/>
      <c r="AB811" s="105"/>
    </row>
    <row r="812" spans="2:28" ht="21" customHeight="1">
      <c r="B812" s="105"/>
      <c r="C812" s="105"/>
      <c r="D812" s="105"/>
      <c r="E812" s="105"/>
      <c r="F812" s="114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11"/>
      <c r="T812" s="111"/>
      <c r="U812" s="111"/>
      <c r="V812" s="111"/>
      <c r="W812" s="111"/>
      <c r="X812" s="111"/>
      <c r="Y812" s="111"/>
      <c r="Z812" s="105"/>
      <c r="AA812" s="105"/>
      <c r="AB812" s="105"/>
    </row>
    <row r="813" spans="2:28" ht="21" customHeight="1">
      <c r="B813" s="105"/>
      <c r="C813" s="105"/>
      <c r="D813" s="105"/>
      <c r="E813" s="105"/>
      <c r="F813" s="114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11"/>
      <c r="T813" s="111"/>
      <c r="U813" s="111"/>
      <c r="V813" s="111"/>
      <c r="W813" s="111"/>
      <c r="X813" s="111"/>
      <c r="Y813" s="111"/>
      <c r="Z813" s="105"/>
      <c r="AA813" s="105"/>
      <c r="AB813" s="105"/>
    </row>
    <row r="814" spans="2:28" ht="21" customHeight="1">
      <c r="B814" s="105"/>
      <c r="C814" s="105"/>
      <c r="D814" s="105"/>
      <c r="E814" s="105"/>
      <c r="F814" s="114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11"/>
      <c r="T814" s="111"/>
      <c r="U814" s="111"/>
      <c r="V814" s="111"/>
      <c r="W814" s="111"/>
      <c r="X814" s="111"/>
      <c r="Y814" s="111"/>
      <c r="Z814" s="105"/>
      <c r="AA814" s="105"/>
      <c r="AB814" s="105"/>
    </row>
    <row r="815" spans="2:28" ht="21" customHeight="1">
      <c r="B815" s="105"/>
      <c r="C815" s="105"/>
      <c r="D815" s="105"/>
      <c r="E815" s="105"/>
      <c r="F815" s="114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11"/>
      <c r="T815" s="111"/>
      <c r="U815" s="111"/>
      <c r="V815" s="111"/>
      <c r="W815" s="111"/>
      <c r="X815" s="111"/>
      <c r="Y815" s="111"/>
      <c r="Z815" s="105"/>
      <c r="AA815" s="105"/>
      <c r="AB815" s="105"/>
    </row>
    <row r="816" spans="2:28" ht="21" customHeight="1">
      <c r="B816" s="105"/>
      <c r="C816" s="105"/>
      <c r="D816" s="105"/>
      <c r="E816" s="105"/>
      <c r="F816" s="114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11"/>
      <c r="T816" s="111"/>
      <c r="U816" s="111"/>
      <c r="V816" s="111"/>
      <c r="W816" s="111"/>
      <c r="X816" s="111"/>
      <c r="Y816" s="111"/>
      <c r="Z816" s="105"/>
      <c r="AA816" s="105"/>
      <c r="AB816" s="105"/>
    </row>
    <row r="817" spans="2:28" ht="21" customHeight="1">
      <c r="B817" s="105"/>
      <c r="C817" s="105"/>
      <c r="D817" s="105"/>
      <c r="E817" s="105"/>
      <c r="F817" s="114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11"/>
      <c r="T817" s="111"/>
      <c r="U817" s="111"/>
      <c r="V817" s="111"/>
      <c r="W817" s="111"/>
      <c r="X817" s="111"/>
      <c r="Y817" s="111"/>
      <c r="Z817" s="105"/>
      <c r="AA817" s="105"/>
      <c r="AB817" s="105"/>
    </row>
    <row r="818" spans="2:28" ht="21" customHeight="1">
      <c r="B818" s="105"/>
      <c r="C818" s="105"/>
      <c r="D818" s="105"/>
      <c r="E818" s="105"/>
      <c r="F818" s="114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11"/>
      <c r="T818" s="111"/>
      <c r="U818" s="111"/>
      <c r="V818" s="111"/>
      <c r="W818" s="111"/>
      <c r="X818" s="111"/>
      <c r="Y818" s="111"/>
      <c r="Z818" s="105"/>
      <c r="AA818" s="105"/>
      <c r="AB818" s="105"/>
    </row>
    <row r="819" spans="2:28" ht="21" customHeight="1">
      <c r="B819" s="105"/>
      <c r="C819" s="105"/>
      <c r="D819" s="105"/>
      <c r="E819" s="105"/>
      <c r="F819" s="114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11"/>
      <c r="T819" s="111"/>
      <c r="U819" s="111"/>
      <c r="V819" s="111"/>
      <c r="W819" s="111"/>
      <c r="X819" s="111"/>
      <c r="Y819" s="111"/>
      <c r="Z819" s="105"/>
      <c r="AA819" s="105"/>
      <c r="AB819" s="105"/>
    </row>
    <row r="820" spans="2:28" ht="21" customHeight="1">
      <c r="B820" s="105"/>
      <c r="C820" s="105"/>
      <c r="D820" s="105"/>
      <c r="E820" s="105"/>
      <c r="F820" s="114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11"/>
      <c r="T820" s="111"/>
      <c r="U820" s="111"/>
      <c r="V820" s="111"/>
      <c r="W820" s="111"/>
      <c r="X820" s="111"/>
      <c r="Y820" s="111"/>
      <c r="Z820" s="105"/>
      <c r="AA820" s="105"/>
      <c r="AB820" s="105"/>
    </row>
    <row r="821" spans="2:28" ht="21" customHeight="1">
      <c r="B821" s="105"/>
      <c r="C821" s="105"/>
      <c r="D821" s="105"/>
      <c r="E821" s="105"/>
      <c r="F821" s="114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11"/>
      <c r="T821" s="111"/>
      <c r="U821" s="111"/>
      <c r="V821" s="111"/>
      <c r="W821" s="111"/>
      <c r="X821" s="111"/>
      <c r="Y821" s="111"/>
      <c r="Z821" s="105"/>
      <c r="AA821" s="105"/>
      <c r="AB821" s="105"/>
    </row>
    <row r="822" spans="2:28" ht="21" customHeight="1">
      <c r="B822" s="105"/>
      <c r="C822" s="105"/>
      <c r="D822" s="105"/>
      <c r="E822" s="105"/>
      <c r="F822" s="114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11"/>
      <c r="T822" s="111"/>
      <c r="U822" s="111"/>
      <c r="V822" s="111"/>
      <c r="W822" s="111"/>
      <c r="X822" s="111"/>
      <c r="Y822" s="111"/>
      <c r="Z822" s="105"/>
      <c r="AA822" s="105"/>
      <c r="AB822" s="105"/>
    </row>
    <row r="823" spans="2:28" ht="21" customHeight="1">
      <c r="B823" s="105"/>
      <c r="C823" s="105"/>
      <c r="D823" s="105"/>
      <c r="E823" s="105"/>
      <c r="F823" s="114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11"/>
      <c r="T823" s="111"/>
      <c r="U823" s="111"/>
      <c r="V823" s="111"/>
      <c r="W823" s="111"/>
      <c r="X823" s="111"/>
      <c r="Y823" s="111"/>
      <c r="Z823" s="105"/>
      <c r="AA823" s="105"/>
      <c r="AB823" s="105"/>
    </row>
    <row r="824" spans="2:28" ht="21" customHeight="1">
      <c r="B824" s="105"/>
      <c r="C824" s="105"/>
      <c r="D824" s="105"/>
      <c r="E824" s="105"/>
      <c r="F824" s="114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11"/>
      <c r="T824" s="111"/>
      <c r="U824" s="111"/>
      <c r="V824" s="111"/>
      <c r="W824" s="111"/>
      <c r="X824" s="111"/>
      <c r="Y824" s="111"/>
      <c r="Z824" s="105"/>
      <c r="AA824" s="105"/>
      <c r="AB824" s="105"/>
    </row>
    <row r="825" spans="2:28" ht="21" customHeight="1">
      <c r="B825" s="105"/>
      <c r="C825" s="105"/>
      <c r="D825" s="105"/>
      <c r="E825" s="105"/>
      <c r="F825" s="114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11"/>
      <c r="T825" s="111"/>
      <c r="U825" s="111"/>
      <c r="V825" s="111"/>
      <c r="W825" s="111"/>
      <c r="X825" s="111"/>
      <c r="Y825" s="111"/>
      <c r="Z825" s="105"/>
      <c r="AA825" s="105"/>
      <c r="AB825" s="105"/>
    </row>
    <row r="826" spans="2:28" ht="21" customHeight="1">
      <c r="B826" s="105"/>
      <c r="C826" s="105"/>
      <c r="D826" s="105"/>
      <c r="E826" s="105"/>
      <c r="F826" s="114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11"/>
      <c r="T826" s="111"/>
      <c r="U826" s="111"/>
      <c r="V826" s="111"/>
      <c r="W826" s="111"/>
      <c r="X826" s="111"/>
      <c r="Y826" s="111"/>
      <c r="Z826" s="105"/>
      <c r="AA826" s="105"/>
      <c r="AB826" s="105"/>
    </row>
    <row r="827" spans="2:28" ht="21" customHeight="1">
      <c r="B827" s="105"/>
      <c r="C827" s="105"/>
      <c r="D827" s="105"/>
      <c r="E827" s="105"/>
      <c r="F827" s="114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11"/>
      <c r="T827" s="111"/>
      <c r="U827" s="111"/>
      <c r="V827" s="111"/>
      <c r="W827" s="111"/>
      <c r="X827" s="111"/>
      <c r="Y827" s="111"/>
      <c r="Z827" s="105"/>
      <c r="AA827" s="105"/>
      <c r="AB827" s="105"/>
    </row>
    <row r="828" spans="2:28" ht="21" customHeight="1">
      <c r="B828" s="105"/>
      <c r="C828" s="105"/>
      <c r="D828" s="105"/>
      <c r="E828" s="105"/>
      <c r="F828" s="114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11"/>
      <c r="T828" s="111"/>
      <c r="U828" s="111"/>
      <c r="V828" s="111"/>
      <c r="W828" s="111"/>
      <c r="X828" s="111"/>
      <c r="Y828" s="111"/>
      <c r="Z828" s="105"/>
      <c r="AA828" s="105"/>
      <c r="AB828" s="105"/>
    </row>
    <row r="829" spans="2:28" ht="21" customHeight="1">
      <c r="B829" s="105"/>
      <c r="C829" s="105"/>
      <c r="D829" s="105"/>
      <c r="E829" s="105"/>
      <c r="F829" s="114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11"/>
      <c r="T829" s="111"/>
      <c r="U829" s="111"/>
      <c r="V829" s="111"/>
      <c r="W829" s="111"/>
      <c r="X829" s="111"/>
      <c r="Y829" s="111"/>
      <c r="Z829" s="105"/>
      <c r="AA829" s="105"/>
      <c r="AB829" s="105"/>
    </row>
    <row r="830" spans="2:28" ht="21" customHeight="1">
      <c r="B830" s="105"/>
      <c r="C830" s="105"/>
      <c r="D830" s="105"/>
      <c r="E830" s="105"/>
      <c r="F830" s="114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11"/>
      <c r="T830" s="111"/>
      <c r="U830" s="111"/>
      <c r="V830" s="111"/>
      <c r="W830" s="111"/>
      <c r="X830" s="111"/>
      <c r="Y830" s="111"/>
      <c r="Z830" s="105"/>
      <c r="AA830" s="105"/>
      <c r="AB830" s="105"/>
    </row>
    <row r="831" spans="2:28" ht="21" customHeight="1">
      <c r="B831" s="105"/>
      <c r="C831" s="105"/>
      <c r="D831" s="105"/>
      <c r="E831" s="105"/>
      <c r="F831" s="114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11"/>
      <c r="T831" s="111"/>
      <c r="U831" s="111"/>
      <c r="V831" s="111"/>
      <c r="W831" s="111"/>
      <c r="X831" s="111"/>
      <c r="Y831" s="111"/>
      <c r="Z831" s="105"/>
      <c r="AA831" s="105"/>
      <c r="AB831" s="105"/>
    </row>
    <row r="832" spans="2:28" ht="21" customHeight="1">
      <c r="B832" s="105"/>
      <c r="C832" s="105"/>
      <c r="D832" s="105"/>
      <c r="E832" s="105"/>
      <c r="F832" s="114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11"/>
      <c r="T832" s="111"/>
      <c r="U832" s="111"/>
      <c r="V832" s="111"/>
      <c r="W832" s="111"/>
      <c r="X832" s="111"/>
      <c r="Y832" s="111"/>
      <c r="Z832" s="105"/>
      <c r="AA832" s="105"/>
      <c r="AB832" s="105"/>
    </row>
    <row r="833" spans="2:28" ht="21" customHeight="1">
      <c r="B833" s="105"/>
      <c r="C833" s="105"/>
      <c r="D833" s="105"/>
      <c r="E833" s="105"/>
      <c r="F833" s="114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11"/>
      <c r="T833" s="111"/>
      <c r="U833" s="111"/>
      <c r="V833" s="111"/>
      <c r="W833" s="111"/>
      <c r="X833" s="111"/>
      <c r="Y833" s="111"/>
      <c r="Z833" s="105"/>
      <c r="AA833" s="105"/>
      <c r="AB833" s="105"/>
    </row>
    <row r="834" spans="2:28" ht="21" customHeight="1">
      <c r="B834" s="105"/>
      <c r="C834" s="105"/>
      <c r="D834" s="105"/>
      <c r="E834" s="105"/>
      <c r="F834" s="114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11"/>
      <c r="T834" s="111"/>
      <c r="U834" s="111"/>
      <c r="V834" s="111"/>
      <c r="W834" s="111"/>
      <c r="X834" s="111"/>
      <c r="Y834" s="111"/>
      <c r="Z834" s="105"/>
      <c r="AA834" s="105"/>
      <c r="AB834" s="105"/>
    </row>
    <row r="835" spans="2:28" ht="21" customHeight="1">
      <c r="B835" s="105"/>
      <c r="C835" s="105"/>
      <c r="D835" s="105"/>
      <c r="E835" s="105"/>
      <c r="F835" s="114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11"/>
      <c r="T835" s="111"/>
      <c r="U835" s="111"/>
      <c r="V835" s="111"/>
      <c r="W835" s="111"/>
      <c r="X835" s="111"/>
      <c r="Y835" s="111"/>
      <c r="Z835" s="105"/>
      <c r="AA835" s="105"/>
      <c r="AB835" s="105"/>
    </row>
    <row r="836" spans="2:28" ht="21" customHeight="1">
      <c r="B836" s="105"/>
      <c r="C836" s="105"/>
      <c r="D836" s="105"/>
      <c r="E836" s="105"/>
      <c r="F836" s="114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11"/>
      <c r="T836" s="111"/>
      <c r="U836" s="111"/>
      <c r="V836" s="111"/>
      <c r="W836" s="111"/>
      <c r="X836" s="111"/>
      <c r="Y836" s="111"/>
      <c r="Z836" s="105"/>
      <c r="AA836" s="105"/>
      <c r="AB836" s="105"/>
    </row>
    <row r="837" spans="2:28" ht="21" customHeight="1">
      <c r="B837" s="105"/>
      <c r="C837" s="105"/>
      <c r="D837" s="105"/>
      <c r="E837" s="105"/>
      <c r="F837" s="114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11"/>
      <c r="T837" s="111"/>
      <c r="U837" s="111"/>
      <c r="V837" s="111"/>
      <c r="W837" s="111"/>
      <c r="X837" s="111"/>
      <c r="Y837" s="111"/>
      <c r="Z837" s="105"/>
      <c r="AA837" s="105"/>
      <c r="AB837" s="105"/>
    </row>
    <row r="838" spans="2:28" ht="21" customHeight="1">
      <c r="B838" s="105"/>
      <c r="C838" s="105"/>
      <c r="D838" s="105"/>
      <c r="E838" s="105"/>
      <c r="F838" s="114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11"/>
      <c r="T838" s="111"/>
      <c r="U838" s="111"/>
      <c r="V838" s="111"/>
      <c r="W838" s="111"/>
      <c r="X838" s="111"/>
      <c r="Y838" s="111"/>
      <c r="Z838" s="105"/>
      <c r="AA838" s="105"/>
      <c r="AB838" s="105"/>
    </row>
    <row r="839" spans="2:28" ht="21" customHeight="1">
      <c r="B839" s="105"/>
      <c r="C839" s="105"/>
      <c r="D839" s="105"/>
      <c r="E839" s="105"/>
      <c r="F839" s="114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11"/>
      <c r="T839" s="111"/>
      <c r="U839" s="111"/>
      <c r="V839" s="111"/>
      <c r="W839" s="111"/>
      <c r="X839" s="111"/>
      <c r="Y839" s="111"/>
      <c r="Z839" s="105"/>
      <c r="AA839" s="105"/>
      <c r="AB839" s="105"/>
    </row>
    <row r="840" spans="2:28" ht="21" customHeight="1">
      <c r="B840" s="105"/>
      <c r="C840" s="105"/>
      <c r="D840" s="105"/>
      <c r="E840" s="105"/>
      <c r="F840" s="114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11"/>
      <c r="T840" s="111"/>
      <c r="U840" s="111"/>
      <c r="V840" s="111"/>
      <c r="W840" s="111"/>
      <c r="X840" s="111"/>
      <c r="Y840" s="111"/>
      <c r="Z840" s="105"/>
      <c r="AA840" s="105"/>
      <c r="AB840" s="105"/>
    </row>
    <row r="841" spans="2:28" ht="21" customHeight="1">
      <c r="B841" s="105"/>
      <c r="C841" s="105"/>
      <c r="D841" s="105"/>
      <c r="E841" s="105"/>
      <c r="F841" s="114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11"/>
      <c r="T841" s="111"/>
      <c r="U841" s="111"/>
      <c r="V841" s="111"/>
      <c r="W841" s="111"/>
      <c r="X841" s="111"/>
      <c r="Y841" s="111"/>
      <c r="Z841" s="105"/>
      <c r="AA841" s="105"/>
      <c r="AB841" s="105"/>
    </row>
    <row r="842" spans="2:28" ht="21" customHeight="1">
      <c r="B842" s="105"/>
      <c r="C842" s="105"/>
      <c r="D842" s="105"/>
      <c r="E842" s="105"/>
      <c r="F842" s="114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11"/>
      <c r="T842" s="111"/>
      <c r="U842" s="111"/>
      <c r="V842" s="111"/>
      <c r="W842" s="111"/>
      <c r="X842" s="111"/>
      <c r="Y842" s="111"/>
      <c r="Z842" s="105"/>
      <c r="AA842" s="105"/>
      <c r="AB842" s="105"/>
    </row>
    <row r="843" spans="2:28" ht="21" customHeight="1">
      <c r="B843" s="105"/>
      <c r="C843" s="105"/>
      <c r="D843" s="105"/>
      <c r="E843" s="105"/>
      <c r="F843" s="114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11"/>
      <c r="T843" s="111"/>
      <c r="U843" s="111"/>
      <c r="V843" s="111"/>
      <c r="W843" s="111"/>
      <c r="X843" s="111"/>
      <c r="Y843" s="111"/>
      <c r="Z843" s="105"/>
      <c r="AA843" s="105"/>
      <c r="AB843" s="105"/>
    </row>
    <row r="844" spans="2:28" ht="21" customHeight="1">
      <c r="B844" s="105"/>
      <c r="C844" s="105"/>
      <c r="D844" s="105"/>
      <c r="E844" s="105"/>
      <c r="F844" s="114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11"/>
      <c r="T844" s="111"/>
      <c r="U844" s="111"/>
      <c r="V844" s="111"/>
      <c r="W844" s="111"/>
      <c r="X844" s="111"/>
      <c r="Y844" s="111"/>
      <c r="Z844" s="105"/>
      <c r="AA844" s="105"/>
      <c r="AB844" s="105"/>
    </row>
    <row r="845" spans="2:28" ht="21" customHeight="1">
      <c r="B845" s="105"/>
      <c r="C845" s="105"/>
      <c r="D845" s="105"/>
      <c r="E845" s="105"/>
      <c r="F845" s="114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11"/>
      <c r="T845" s="111"/>
      <c r="U845" s="111"/>
      <c r="V845" s="111"/>
      <c r="W845" s="111"/>
      <c r="X845" s="111"/>
      <c r="Y845" s="111"/>
      <c r="Z845" s="105"/>
      <c r="AA845" s="105"/>
      <c r="AB845" s="105"/>
    </row>
    <row r="846" spans="2:28" ht="21" customHeight="1">
      <c r="B846" s="105"/>
      <c r="C846" s="105"/>
      <c r="D846" s="105"/>
      <c r="E846" s="105"/>
      <c r="F846" s="114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11"/>
      <c r="T846" s="111"/>
      <c r="U846" s="111"/>
      <c r="V846" s="111"/>
      <c r="W846" s="111"/>
      <c r="X846" s="111"/>
      <c r="Y846" s="111"/>
      <c r="Z846" s="105"/>
      <c r="AA846" s="105"/>
      <c r="AB846" s="105"/>
    </row>
    <row r="847" spans="2:28" ht="21" customHeight="1">
      <c r="B847" s="105"/>
      <c r="C847" s="105"/>
      <c r="D847" s="105"/>
      <c r="E847" s="105"/>
      <c r="F847" s="114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11"/>
      <c r="T847" s="111"/>
      <c r="U847" s="111"/>
      <c r="V847" s="111"/>
      <c r="W847" s="111"/>
      <c r="X847" s="111"/>
      <c r="Y847" s="111"/>
      <c r="Z847" s="105"/>
      <c r="AA847" s="105"/>
      <c r="AB847" s="105"/>
    </row>
    <row r="848" spans="2:28" ht="21" customHeight="1">
      <c r="B848" s="105"/>
      <c r="C848" s="105"/>
      <c r="D848" s="105"/>
      <c r="E848" s="105"/>
      <c r="F848" s="114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11"/>
      <c r="T848" s="111"/>
      <c r="U848" s="111"/>
      <c r="V848" s="111"/>
      <c r="W848" s="111"/>
      <c r="X848" s="111"/>
      <c r="Y848" s="111"/>
      <c r="Z848" s="105"/>
      <c r="AA848" s="105"/>
      <c r="AB848" s="105"/>
    </row>
    <row r="849" spans="2:28" ht="21" customHeight="1">
      <c r="B849" s="105"/>
      <c r="C849" s="105"/>
      <c r="D849" s="105"/>
      <c r="E849" s="105"/>
      <c r="F849" s="114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11"/>
      <c r="T849" s="111"/>
      <c r="U849" s="111"/>
      <c r="V849" s="111"/>
      <c r="W849" s="111"/>
      <c r="X849" s="111"/>
      <c r="Y849" s="111"/>
      <c r="Z849" s="105"/>
      <c r="AA849" s="105"/>
      <c r="AB849" s="105"/>
    </row>
    <row r="850" spans="2:28" ht="21" customHeight="1">
      <c r="B850" s="105"/>
      <c r="C850" s="105"/>
      <c r="D850" s="105"/>
      <c r="E850" s="105"/>
      <c r="F850" s="114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11"/>
      <c r="T850" s="111"/>
      <c r="U850" s="111"/>
      <c r="V850" s="111"/>
      <c r="W850" s="111"/>
      <c r="X850" s="111"/>
      <c r="Y850" s="111"/>
      <c r="Z850" s="105"/>
      <c r="AA850" s="105"/>
      <c r="AB850" s="105"/>
    </row>
    <row r="851" spans="2:28" ht="21" customHeight="1">
      <c r="B851" s="105"/>
      <c r="C851" s="105"/>
      <c r="D851" s="105"/>
      <c r="E851" s="105"/>
      <c r="F851" s="114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11"/>
      <c r="T851" s="111"/>
      <c r="U851" s="111"/>
      <c r="V851" s="111"/>
      <c r="W851" s="111"/>
      <c r="X851" s="111"/>
      <c r="Y851" s="111"/>
      <c r="Z851" s="105"/>
      <c r="AA851" s="105"/>
      <c r="AB851" s="105"/>
    </row>
    <row r="852" spans="2:28" ht="21" customHeight="1">
      <c r="B852" s="105"/>
      <c r="C852" s="105"/>
      <c r="D852" s="105"/>
      <c r="E852" s="105"/>
      <c r="F852" s="114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11"/>
      <c r="T852" s="111"/>
      <c r="U852" s="111"/>
      <c r="V852" s="111"/>
      <c r="W852" s="111"/>
      <c r="X852" s="111"/>
      <c r="Y852" s="111"/>
      <c r="Z852" s="105"/>
      <c r="AA852" s="105"/>
      <c r="AB852" s="105"/>
    </row>
    <row r="853" spans="2:28" ht="21" customHeight="1">
      <c r="B853" s="105"/>
      <c r="C853" s="105"/>
      <c r="D853" s="105"/>
      <c r="E853" s="105"/>
      <c r="F853" s="114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11"/>
      <c r="T853" s="111"/>
      <c r="U853" s="111"/>
      <c r="V853" s="111"/>
      <c r="W853" s="111"/>
      <c r="X853" s="111"/>
      <c r="Y853" s="111"/>
      <c r="Z853" s="105"/>
      <c r="AA853" s="105"/>
      <c r="AB853" s="105"/>
    </row>
    <row r="854" spans="2:28" ht="21" customHeight="1">
      <c r="B854" s="105"/>
      <c r="C854" s="105"/>
      <c r="D854" s="105"/>
      <c r="E854" s="105"/>
      <c r="F854" s="114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11"/>
      <c r="T854" s="111"/>
      <c r="U854" s="111"/>
      <c r="V854" s="111"/>
      <c r="W854" s="111"/>
      <c r="X854" s="111"/>
      <c r="Y854" s="111"/>
      <c r="Z854" s="105"/>
      <c r="AA854" s="105"/>
      <c r="AB854" s="105"/>
    </row>
    <row r="855" spans="2:28" ht="21" customHeight="1">
      <c r="B855" s="105"/>
      <c r="C855" s="105"/>
      <c r="D855" s="105"/>
      <c r="E855" s="105"/>
      <c r="F855" s="114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11"/>
      <c r="T855" s="111"/>
      <c r="U855" s="111"/>
      <c r="V855" s="111"/>
      <c r="W855" s="111"/>
      <c r="X855" s="111"/>
      <c r="Y855" s="111"/>
      <c r="Z855" s="105"/>
      <c r="AA855" s="105"/>
      <c r="AB855" s="105"/>
    </row>
    <row r="856" spans="2:28" ht="21" customHeight="1">
      <c r="B856" s="105"/>
      <c r="C856" s="105"/>
      <c r="D856" s="105"/>
      <c r="E856" s="105"/>
      <c r="F856" s="114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11"/>
      <c r="T856" s="111"/>
      <c r="U856" s="111"/>
      <c r="V856" s="111"/>
      <c r="W856" s="111"/>
      <c r="X856" s="111"/>
      <c r="Y856" s="111"/>
      <c r="Z856" s="105"/>
      <c r="AA856" s="105"/>
      <c r="AB856" s="105"/>
    </row>
    <row r="857" spans="2:28" ht="21" customHeight="1">
      <c r="B857" s="105"/>
      <c r="C857" s="105"/>
      <c r="D857" s="105"/>
      <c r="E857" s="105"/>
      <c r="F857" s="114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11"/>
      <c r="T857" s="111"/>
      <c r="U857" s="111"/>
      <c r="V857" s="111"/>
      <c r="W857" s="111"/>
      <c r="X857" s="111"/>
      <c r="Y857" s="111"/>
      <c r="Z857" s="105"/>
      <c r="AA857" s="105"/>
      <c r="AB857" s="105"/>
    </row>
    <row r="858" spans="2:28" ht="21" customHeight="1">
      <c r="B858" s="105"/>
      <c r="C858" s="105"/>
      <c r="D858" s="105"/>
      <c r="E858" s="105"/>
      <c r="F858" s="114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11"/>
      <c r="T858" s="111"/>
      <c r="U858" s="111"/>
      <c r="V858" s="111"/>
      <c r="W858" s="111"/>
      <c r="X858" s="111"/>
      <c r="Y858" s="111"/>
      <c r="Z858" s="105"/>
      <c r="AA858" s="105"/>
      <c r="AB858" s="105"/>
    </row>
    <row r="859" spans="2:28" ht="21" customHeight="1">
      <c r="B859" s="105"/>
      <c r="C859" s="105"/>
      <c r="D859" s="105"/>
      <c r="E859" s="105"/>
      <c r="F859" s="114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11"/>
      <c r="T859" s="111"/>
      <c r="U859" s="111"/>
      <c r="V859" s="111"/>
      <c r="W859" s="111"/>
      <c r="X859" s="111"/>
      <c r="Y859" s="111"/>
      <c r="Z859" s="105"/>
      <c r="AA859" s="105"/>
      <c r="AB859" s="105"/>
    </row>
    <row r="860" spans="2:28" ht="21" customHeight="1">
      <c r="B860" s="105"/>
      <c r="C860" s="105"/>
      <c r="D860" s="105"/>
      <c r="E860" s="105"/>
      <c r="F860" s="114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11"/>
      <c r="T860" s="111"/>
      <c r="U860" s="111"/>
      <c r="V860" s="111"/>
      <c r="W860" s="111"/>
      <c r="X860" s="111"/>
      <c r="Y860" s="111"/>
      <c r="Z860" s="105"/>
      <c r="AA860" s="105"/>
      <c r="AB860" s="105"/>
    </row>
    <row r="861" spans="2:28" ht="21" customHeight="1">
      <c r="B861" s="105"/>
      <c r="C861" s="105"/>
      <c r="D861" s="105"/>
      <c r="E861" s="105"/>
      <c r="F861" s="114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11"/>
      <c r="T861" s="111"/>
      <c r="U861" s="111"/>
      <c r="V861" s="111"/>
      <c r="W861" s="111"/>
      <c r="X861" s="111"/>
      <c r="Y861" s="111"/>
      <c r="Z861" s="105"/>
      <c r="AA861" s="105"/>
      <c r="AB861" s="105"/>
    </row>
    <row r="862" spans="2:28" ht="21" customHeight="1">
      <c r="B862" s="105"/>
      <c r="C862" s="105"/>
      <c r="D862" s="105"/>
      <c r="E862" s="105"/>
      <c r="F862" s="114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11"/>
      <c r="T862" s="111"/>
      <c r="U862" s="111"/>
      <c r="V862" s="111"/>
      <c r="W862" s="111"/>
      <c r="X862" s="111"/>
      <c r="Y862" s="111"/>
      <c r="Z862" s="105"/>
      <c r="AA862" s="105"/>
      <c r="AB862" s="105"/>
    </row>
    <row r="863" spans="2:28" ht="21" customHeight="1">
      <c r="B863" s="105"/>
      <c r="C863" s="105"/>
      <c r="D863" s="105"/>
      <c r="E863" s="105"/>
      <c r="F863" s="114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11"/>
      <c r="T863" s="111"/>
      <c r="U863" s="111"/>
      <c r="V863" s="111"/>
      <c r="W863" s="111"/>
      <c r="X863" s="111"/>
      <c r="Y863" s="111"/>
      <c r="Z863" s="105"/>
      <c r="AA863" s="105"/>
      <c r="AB863" s="105"/>
    </row>
    <row r="864" spans="2:28" ht="21" customHeight="1">
      <c r="B864" s="105"/>
      <c r="C864" s="105"/>
      <c r="D864" s="105"/>
      <c r="E864" s="105"/>
      <c r="F864" s="114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11"/>
      <c r="T864" s="111"/>
      <c r="U864" s="111"/>
      <c r="V864" s="111"/>
      <c r="W864" s="111"/>
      <c r="X864" s="111"/>
      <c r="Y864" s="111"/>
      <c r="Z864" s="105"/>
      <c r="AA864" s="105"/>
      <c r="AB864" s="105"/>
    </row>
    <row r="865" spans="2:28" ht="21" customHeight="1">
      <c r="B865" s="105"/>
      <c r="C865" s="105"/>
      <c r="D865" s="105"/>
      <c r="E865" s="105"/>
      <c r="F865" s="114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11"/>
      <c r="T865" s="111"/>
      <c r="U865" s="111"/>
      <c r="V865" s="111"/>
      <c r="W865" s="111"/>
      <c r="X865" s="111"/>
      <c r="Y865" s="111"/>
      <c r="Z865" s="105"/>
      <c r="AA865" s="105"/>
      <c r="AB865" s="105"/>
    </row>
    <row r="866" spans="2:28" ht="21" customHeight="1">
      <c r="B866" s="105"/>
      <c r="C866" s="105"/>
      <c r="D866" s="105"/>
      <c r="E866" s="105"/>
      <c r="F866" s="114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11"/>
      <c r="T866" s="111"/>
      <c r="U866" s="111"/>
      <c r="V866" s="111"/>
      <c r="W866" s="111"/>
      <c r="X866" s="111"/>
      <c r="Y866" s="111"/>
      <c r="Z866" s="105"/>
      <c r="AA866" s="105"/>
      <c r="AB866" s="105"/>
    </row>
    <row r="867" spans="2:28" ht="21" customHeight="1">
      <c r="B867" s="105"/>
      <c r="C867" s="105"/>
      <c r="D867" s="105"/>
      <c r="E867" s="105"/>
      <c r="F867" s="114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11"/>
      <c r="T867" s="111"/>
      <c r="U867" s="111"/>
      <c r="V867" s="111"/>
      <c r="W867" s="111"/>
      <c r="X867" s="111"/>
      <c r="Y867" s="111"/>
      <c r="Z867" s="105"/>
      <c r="AA867" s="105"/>
      <c r="AB867" s="105"/>
    </row>
    <row r="868" spans="2:28" ht="21" customHeight="1">
      <c r="B868" s="105"/>
      <c r="C868" s="105"/>
      <c r="D868" s="105"/>
      <c r="E868" s="105"/>
      <c r="F868" s="114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11"/>
      <c r="T868" s="111"/>
      <c r="U868" s="111"/>
      <c r="V868" s="111"/>
      <c r="W868" s="111"/>
      <c r="X868" s="111"/>
      <c r="Y868" s="111"/>
      <c r="Z868" s="105"/>
      <c r="AA868" s="105"/>
      <c r="AB868" s="105"/>
    </row>
    <row r="869" spans="2:28" ht="21" customHeight="1">
      <c r="B869" s="105"/>
      <c r="C869" s="105"/>
      <c r="D869" s="105"/>
      <c r="E869" s="105"/>
      <c r="F869" s="114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11"/>
      <c r="T869" s="111"/>
      <c r="U869" s="111"/>
      <c r="V869" s="111"/>
      <c r="W869" s="111"/>
      <c r="X869" s="111"/>
      <c r="Y869" s="111"/>
      <c r="Z869" s="105"/>
      <c r="AA869" s="105"/>
      <c r="AB869" s="105"/>
    </row>
    <row r="870" spans="2:28" ht="21" customHeight="1">
      <c r="B870" s="105"/>
      <c r="C870" s="105"/>
      <c r="D870" s="105"/>
      <c r="E870" s="105"/>
      <c r="F870" s="114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11"/>
      <c r="T870" s="111"/>
      <c r="U870" s="111"/>
      <c r="V870" s="111"/>
      <c r="W870" s="111"/>
      <c r="X870" s="111"/>
      <c r="Y870" s="111"/>
      <c r="Z870" s="105"/>
      <c r="AA870" s="105"/>
      <c r="AB870" s="105"/>
    </row>
    <row r="871" spans="2:28" ht="21" customHeight="1">
      <c r="B871" s="105"/>
      <c r="C871" s="105"/>
      <c r="D871" s="105"/>
      <c r="E871" s="105"/>
      <c r="F871" s="114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11"/>
      <c r="T871" s="111"/>
      <c r="U871" s="111"/>
      <c r="V871" s="111"/>
      <c r="W871" s="111"/>
      <c r="X871" s="111"/>
      <c r="Y871" s="111"/>
      <c r="Z871" s="105"/>
      <c r="AA871" s="105"/>
      <c r="AB871" s="105"/>
    </row>
    <row r="872" spans="2:28" ht="21" customHeight="1">
      <c r="B872" s="105"/>
      <c r="C872" s="105"/>
      <c r="D872" s="105"/>
      <c r="E872" s="105"/>
      <c r="F872" s="114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11"/>
      <c r="T872" s="111"/>
      <c r="U872" s="111"/>
      <c r="V872" s="111"/>
      <c r="W872" s="111"/>
      <c r="X872" s="111"/>
      <c r="Y872" s="111"/>
      <c r="Z872" s="105"/>
      <c r="AA872" s="105"/>
      <c r="AB872" s="105"/>
    </row>
    <row r="873" spans="2:28" ht="21" customHeight="1">
      <c r="B873" s="105"/>
      <c r="C873" s="105"/>
      <c r="D873" s="105"/>
      <c r="E873" s="105"/>
      <c r="F873" s="114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11"/>
      <c r="T873" s="111"/>
      <c r="U873" s="111"/>
      <c r="V873" s="111"/>
      <c r="W873" s="111"/>
      <c r="X873" s="111"/>
      <c r="Y873" s="111"/>
      <c r="Z873" s="105"/>
      <c r="AA873" s="105"/>
      <c r="AB873" s="105"/>
    </row>
    <row r="874" spans="2:28" ht="21" customHeight="1">
      <c r="B874" s="105"/>
      <c r="C874" s="105"/>
      <c r="D874" s="105"/>
      <c r="E874" s="105"/>
      <c r="F874" s="114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11"/>
      <c r="T874" s="111"/>
      <c r="U874" s="111"/>
      <c r="V874" s="111"/>
      <c r="W874" s="111"/>
      <c r="X874" s="111"/>
      <c r="Y874" s="111"/>
      <c r="Z874" s="105"/>
      <c r="AA874" s="105"/>
      <c r="AB874" s="105"/>
    </row>
    <row r="875" spans="2:28" ht="21" customHeight="1">
      <c r="B875" s="105"/>
      <c r="C875" s="105"/>
      <c r="D875" s="105"/>
      <c r="E875" s="105"/>
      <c r="F875" s="114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11"/>
      <c r="T875" s="111"/>
      <c r="U875" s="111"/>
      <c r="V875" s="111"/>
      <c r="W875" s="111"/>
      <c r="X875" s="111"/>
      <c r="Y875" s="111"/>
      <c r="Z875" s="105"/>
      <c r="AA875" s="105"/>
      <c r="AB875" s="105"/>
    </row>
    <row r="876" spans="2:28" ht="21" customHeight="1">
      <c r="B876" s="105"/>
      <c r="C876" s="105"/>
      <c r="D876" s="105"/>
      <c r="E876" s="105"/>
      <c r="F876" s="114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11"/>
      <c r="T876" s="111"/>
      <c r="U876" s="111"/>
      <c r="V876" s="111"/>
      <c r="W876" s="111"/>
      <c r="X876" s="111"/>
      <c r="Y876" s="111"/>
      <c r="Z876" s="105"/>
      <c r="AA876" s="105"/>
      <c r="AB876" s="105"/>
    </row>
    <row r="877" spans="2:28" ht="21" customHeight="1">
      <c r="B877" s="105"/>
      <c r="C877" s="105"/>
      <c r="D877" s="105"/>
      <c r="E877" s="105"/>
      <c r="F877" s="114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11"/>
      <c r="T877" s="111"/>
      <c r="U877" s="111"/>
      <c r="V877" s="111"/>
      <c r="W877" s="111"/>
      <c r="X877" s="111"/>
      <c r="Y877" s="111"/>
      <c r="Z877" s="105"/>
      <c r="AA877" s="105"/>
      <c r="AB877" s="105"/>
    </row>
    <row r="878" spans="2:28" ht="21" customHeight="1">
      <c r="B878" s="105"/>
      <c r="C878" s="105"/>
      <c r="D878" s="105"/>
      <c r="E878" s="105"/>
      <c r="F878" s="114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11"/>
      <c r="T878" s="111"/>
      <c r="U878" s="111"/>
      <c r="V878" s="111"/>
      <c r="W878" s="111"/>
      <c r="X878" s="111"/>
      <c r="Y878" s="111"/>
      <c r="Z878" s="105"/>
      <c r="AA878" s="105"/>
      <c r="AB878" s="105"/>
    </row>
    <row r="879" spans="2:28" ht="21" customHeight="1">
      <c r="B879" s="105"/>
      <c r="C879" s="105"/>
      <c r="D879" s="105"/>
      <c r="E879" s="105"/>
      <c r="F879" s="114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11"/>
      <c r="T879" s="111"/>
      <c r="U879" s="111"/>
      <c r="V879" s="111"/>
      <c r="W879" s="111"/>
      <c r="X879" s="111"/>
      <c r="Y879" s="111"/>
      <c r="Z879" s="105"/>
      <c r="AA879" s="105"/>
      <c r="AB879" s="105"/>
    </row>
    <row r="880" spans="2:28" ht="21" customHeight="1">
      <c r="B880" s="105"/>
      <c r="C880" s="105"/>
      <c r="D880" s="105"/>
      <c r="E880" s="105"/>
      <c r="F880" s="114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11"/>
      <c r="T880" s="111"/>
      <c r="U880" s="111"/>
      <c r="V880" s="111"/>
      <c r="W880" s="111"/>
      <c r="X880" s="111"/>
      <c r="Y880" s="111"/>
      <c r="Z880" s="105"/>
      <c r="AA880" s="105"/>
      <c r="AB880" s="105"/>
    </row>
    <row r="881" spans="2:28" ht="21" customHeight="1">
      <c r="B881" s="105"/>
      <c r="C881" s="105"/>
      <c r="D881" s="105"/>
      <c r="E881" s="105"/>
      <c r="F881" s="114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11"/>
      <c r="T881" s="111"/>
      <c r="U881" s="111"/>
      <c r="V881" s="111"/>
      <c r="W881" s="111"/>
      <c r="X881" s="111"/>
      <c r="Y881" s="111"/>
      <c r="Z881" s="105"/>
      <c r="AA881" s="105"/>
      <c r="AB881" s="105"/>
    </row>
    <row r="882" spans="2:28" ht="21" customHeight="1">
      <c r="B882" s="105"/>
      <c r="C882" s="105"/>
      <c r="D882" s="105"/>
      <c r="E882" s="105"/>
      <c r="F882" s="114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11"/>
      <c r="T882" s="111"/>
      <c r="U882" s="111"/>
      <c r="V882" s="111"/>
      <c r="W882" s="111"/>
      <c r="X882" s="111"/>
      <c r="Y882" s="111"/>
      <c r="Z882" s="105"/>
      <c r="AA882" s="105"/>
      <c r="AB882" s="105"/>
    </row>
    <row r="883" spans="2:28" ht="21" customHeight="1">
      <c r="B883" s="105"/>
      <c r="C883" s="105"/>
      <c r="D883" s="105"/>
      <c r="E883" s="105"/>
      <c r="F883" s="114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11"/>
      <c r="T883" s="111"/>
      <c r="U883" s="111"/>
      <c r="V883" s="111"/>
      <c r="W883" s="111"/>
      <c r="X883" s="111"/>
      <c r="Y883" s="111"/>
      <c r="Z883" s="105"/>
      <c r="AA883" s="105"/>
      <c r="AB883" s="105"/>
    </row>
    <row r="884" spans="2:28" ht="21" customHeight="1">
      <c r="B884" s="105"/>
      <c r="C884" s="105"/>
      <c r="D884" s="105"/>
      <c r="E884" s="105"/>
      <c r="F884" s="114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11"/>
      <c r="T884" s="111"/>
      <c r="U884" s="111"/>
      <c r="V884" s="111"/>
      <c r="W884" s="111"/>
      <c r="X884" s="111"/>
      <c r="Y884" s="111"/>
      <c r="Z884" s="105"/>
      <c r="AA884" s="105"/>
      <c r="AB884" s="105"/>
    </row>
    <row r="885" spans="2:28" ht="21" customHeight="1">
      <c r="B885" s="105"/>
      <c r="C885" s="105"/>
      <c r="D885" s="105"/>
      <c r="E885" s="105"/>
      <c r="F885" s="114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11"/>
      <c r="T885" s="111"/>
      <c r="U885" s="111"/>
      <c r="V885" s="111"/>
      <c r="W885" s="111"/>
      <c r="X885" s="111"/>
      <c r="Y885" s="111"/>
      <c r="Z885" s="105"/>
      <c r="AA885" s="105"/>
      <c r="AB885" s="105"/>
    </row>
    <row r="886" spans="2:28" ht="21" customHeight="1">
      <c r="B886" s="105"/>
      <c r="C886" s="105"/>
      <c r="D886" s="105"/>
      <c r="E886" s="105"/>
      <c r="F886" s="114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11"/>
      <c r="T886" s="111"/>
      <c r="U886" s="111"/>
      <c r="V886" s="111"/>
      <c r="W886" s="111"/>
      <c r="X886" s="111"/>
      <c r="Y886" s="111"/>
      <c r="Z886" s="105"/>
      <c r="AA886" s="105"/>
      <c r="AB886" s="105"/>
    </row>
    <row r="887" spans="2:28" ht="21" customHeight="1">
      <c r="B887" s="105"/>
      <c r="C887" s="105"/>
      <c r="D887" s="105"/>
      <c r="E887" s="105"/>
      <c r="F887" s="114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11"/>
      <c r="T887" s="111"/>
      <c r="U887" s="111"/>
      <c r="V887" s="111"/>
      <c r="W887" s="111"/>
      <c r="X887" s="111"/>
      <c r="Y887" s="111"/>
      <c r="Z887" s="105"/>
      <c r="AA887" s="105"/>
      <c r="AB887" s="105"/>
    </row>
    <row r="888" spans="2:28" ht="21" customHeight="1">
      <c r="B888" s="105"/>
      <c r="C888" s="105"/>
      <c r="D888" s="105"/>
      <c r="E888" s="105"/>
      <c r="F888" s="114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11"/>
      <c r="T888" s="111"/>
      <c r="U888" s="111"/>
      <c r="V888" s="111"/>
      <c r="W888" s="111"/>
      <c r="X888" s="111"/>
      <c r="Y888" s="111"/>
      <c r="Z888" s="105"/>
      <c r="AA888" s="105"/>
      <c r="AB888" s="105"/>
    </row>
    <row r="889" spans="2:28" ht="21" customHeight="1">
      <c r="B889" s="105"/>
      <c r="C889" s="105"/>
      <c r="D889" s="105"/>
      <c r="E889" s="105"/>
      <c r="F889" s="114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11"/>
      <c r="T889" s="111"/>
      <c r="U889" s="111"/>
      <c r="V889" s="111"/>
      <c r="W889" s="111"/>
      <c r="X889" s="111"/>
      <c r="Y889" s="111"/>
      <c r="Z889" s="105"/>
      <c r="AA889" s="105"/>
      <c r="AB889" s="105"/>
    </row>
    <row r="890" spans="2:28" ht="21" customHeight="1">
      <c r="B890" s="105"/>
      <c r="C890" s="105"/>
      <c r="D890" s="105"/>
      <c r="E890" s="105"/>
      <c r="F890" s="114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11"/>
      <c r="T890" s="111"/>
      <c r="U890" s="111"/>
      <c r="V890" s="111"/>
      <c r="W890" s="111"/>
      <c r="X890" s="111"/>
      <c r="Y890" s="111"/>
      <c r="Z890" s="105"/>
      <c r="AA890" s="105"/>
      <c r="AB890" s="105"/>
    </row>
    <row r="891" spans="2:28" ht="21" customHeight="1">
      <c r="B891" s="105"/>
      <c r="C891" s="105"/>
      <c r="D891" s="105"/>
      <c r="E891" s="105"/>
      <c r="F891" s="114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11"/>
      <c r="T891" s="111"/>
      <c r="U891" s="111"/>
      <c r="V891" s="111"/>
      <c r="W891" s="111"/>
      <c r="X891" s="111"/>
      <c r="Y891" s="111"/>
      <c r="Z891" s="105"/>
      <c r="AA891" s="105"/>
      <c r="AB891" s="105"/>
    </row>
    <row r="892" spans="2:28" ht="21" customHeight="1">
      <c r="B892" s="105"/>
      <c r="C892" s="105"/>
      <c r="D892" s="105"/>
      <c r="E892" s="105"/>
      <c r="F892" s="114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11"/>
      <c r="T892" s="111"/>
      <c r="U892" s="111"/>
      <c r="V892" s="111"/>
      <c r="W892" s="111"/>
      <c r="X892" s="111"/>
      <c r="Y892" s="111"/>
      <c r="Z892" s="105"/>
      <c r="AA892" s="105"/>
      <c r="AB892" s="105"/>
    </row>
    <row r="893" spans="2:28" ht="21" customHeight="1">
      <c r="B893" s="105"/>
      <c r="C893" s="105"/>
      <c r="D893" s="105"/>
      <c r="E893" s="105"/>
      <c r="F893" s="114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11"/>
      <c r="T893" s="111"/>
      <c r="U893" s="111"/>
      <c r="V893" s="111"/>
      <c r="W893" s="111"/>
      <c r="X893" s="111"/>
      <c r="Y893" s="111"/>
      <c r="Z893" s="105"/>
      <c r="AA893" s="105"/>
      <c r="AB893" s="105"/>
    </row>
    <row r="894" spans="2:28" ht="21" customHeight="1">
      <c r="B894" s="105"/>
      <c r="C894" s="105"/>
      <c r="D894" s="105"/>
      <c r="E894" s="105"/>
      <c r="F894" s="114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11"/>
      <c r="T894" s="111"/>
      <c r="U894" s="111"/>
      <c r="V894" s="111"/>
      <c r="W894" s="111"/>
      <c r="X894" s="111"/>
      <c r="Y894" s="111"/>
      <c r="Z894" s="105"/>
      <c r="AA894" s="105"/>
      <c r="AB894" s="105"/>
    </row>
    <row r="895" spans="2:28" ht="21" customHeight="1">
      <c r="B895" s="105"/>
      <c r="C895" s="105"/>
      <c r="D895" s="105"/>
      <c r="E895" s="105"/>
      <c r="F895" s="114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11"/>
      <c r="T895" s="111"/>
      <c r="U895" s="111"/>
      <c r="V895" s="111"/>
      <c r="W895" s="111"/>
      <c r="X895" s="111"/>
      <c r="Y895" s="111"/>
      <c r="Z895" s="105"/>
      <c r="AA895" s="105"/>
      <c r="AB895" s="105"/>
    </row>
    <row r="896" spans="2:28" ht="21" customHeight="1">
      <c r="B896" s="105"/>
      <c r="C896" s="105"/>
      <c r="D896" s="105"/>
      <c r="E896" s="105"/>
      <c r="F896" s="114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11"/>
      <c r="T896" s="111"/>
      <c r="U896" s="111"/>
      <c r="V896" s="111"/>
      <c r="W896" s="111"/>
      <c r="X896" s="111"/>
      <c r="Y896" s="111"/>
      <c r="Z896" s="105"/>
      <c r="AA896" s="105"/>
      <c r="AB896" s="105"/>
    </row>
    <row r="897" spans="2:28" ht="21" customHeight="1">
      <c r="B897" s="105"/>
      <c r="C897" s="105"/>
      <c r="D897" s="105"/>
      <c r="E897" s="105"/>
      <c r="F897" s="114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11"/>
      <c r="T897" s="111"/>
      <c r="U897" s="111"/>
      <c r="V897" s="111"/>
      <c r="W897" s="111"/>
      <c r="X897" s="111"/>
      <c r="Y897" s="111"/>
      <c r="Z897" s="105"/>
      <c r="AA897" s="105"/>
      <c r="AB897" s="105"/>
    </row>
    <row r="898" spans="2:28" ht="21" customHeight="1">
      <c r="B898" s="105"/>
      <c r="C898" s="105"/>
      <c r="D898" s="105"/>
      <c r="E898" s="105"/>
      <c r="F898" s="114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11"/>
      <c r="T898" s="111"/>
      <c r="U898" s="111"/>
      <c r="V898" s="111"/>
      <c r="W898" s="111"/>
      <c r="X898" s="111"/>
      <c r="Y898" s="111"/>
      <c r="Z898" s="105"/>
      <c r="AA898" s="105"/>
      <c r="AB898" s="105"/>
    </row>
    <row r="899" spans="2:28" ht="21" customHeight="1">
      <c r="B899" s="105"/>
      <c r="C899" s="105"/>
      <c r="D899" s="105"/>
      <c r="E899" s="105"/>
      <c r="F899" s="114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11"/>
      <c r="T899" s="111"/>
      <c r="U899" s="111"/>
      <c r="V899" s="111"/>
      <c r="W899" s="111"/>
      <c r="X899" s="111"/>
      <c r="Y899" s="111"/>
      <c r="Z899" s="105"/>
      <c r="AA899" s="105"/>
      <c r="AB899" s="105"/>
    </row>
    <row r="900" spans="2:28" ht="21" customHeight="1">
      <c r="B900" s="105"/>
      <c r="C900" s="105"/>
      <c r="D900" s="105"/>
      <c r="E900" s="105"/>
      <c r="F900" s="114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11"/>
      <c r="T900" s="111"/>
      <c r="U900" s="111"/>
      <c r="V900" s="111"/>
      <c r="W900" s="111"/>
      <c r="X900" s="111"/>
      <c r="Y900" s="111"/>
      <c r="Z900" s="105"/>
      <c r="AA900" s="105"/>
      <c r="AB900" s="105"/>
    </row>
    <row r="901" spans="2:28" ht="21" customHeight="1">
      <c r="B901" s="105"/>
      <c r="C901" s="105"/>
      <c r="D901" s="105"/>
      <c r="E901" s="105"/>
      <c r="F901" s="114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11"/>
      <c r="T901" s="111"/>
      <c r="U901" s="111"/>
      <c r="V901" s="111"/>
      <c r="W901" s="111"/>
      <c r="X901" s="111"/>
      <c r="Y901" s="111"/>
      <c r="Z901" s="105"/>
      <c r="AA901" s="105"/>
      <c r="AB901" s="105"/>
    </row>
    <row r="902" spans="2:28" ht="21" customHeight="1">
      <c r="B902" s="105"/>
      <c r="C902" s="105"/>
      <c r="D902" s="105"/>
      <c r="E902" s="105"/>
      <c r="F902" s="114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11"/>
      <c r="T902" s="111"/>
      <c r="U902" s="111"/>
      <c r="V902" s="111"/>
      <c r="W902" s="111"/>
      <c r="X902" s="111"/>
      <c r="Y902" s="111"/>
      <c r="Z902" s="105"/>
      <c r="AA902" s="105"/>
      <c r="AB902" s="105"/>
    </row>
    <row r="903" spans="2:28" ht="21" customHeight="1">
      <c r="B903" s="105"/>
      <c r="C903" s="105"/>
      <c r="D903" s="105"/>
      <c r="E903" s="105"/>
      <c r="F903" s="114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11"/>
      <c r="T903" s="111"/>
      <c r="U903" s="111"/>
      <c r="V903" s="111"/>
      <c r="W903" s="111"/>
      <c r="X903" s="111"/>
      <c r="Y903" s="111"/>
      <c r="Z903" s="105"/>
      <c r="AA903" s="105"/>
      <c r="AB903" s="105"/>
    </row>
    <row r="904" spans="2:28" ht="21" customHeight="1">
      <c r="B904" s="105"/>
      <c r="C904" s="105"/>
      <c r="D904" s="105"/>
      <c r="E904" s="105"/>
      <c r="F904" s="114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11"/>
      <c r="T904" s="111"/>
      <c r="U904" s="111"/>
      <c r="V904" s="111"/>
      <c r="W904" s="111"/>
      <c r="X904" s="111"/>
      <c r="Y904" s="111"/>
      <c r="Z904" s="105"/>
      <c r="AA904" s="105"/>
      <c r="AB904" s="105"/>
    </row>
    <row r="905" spans="2:28" ht="21" customHeight="1">
      <c r="B905" s="105"/>
      <c r="C905" s="105"/>
      <c r="D905" s="105"/>
      <c r="E905" s="105"/>
      <c r="F905" s="114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11"/>
      <c r="T905" s="111"/>
      <c r="U905" s="111"/>
      <c r="V905" s="111"/>
      <c r="W905" s="111"/>
      <c r="X905" s="111"/>
      <c r="Y905" s="111"/>
      <c r="Z905" s="105"/>
      <c r="AA905" s="105"/>
      <c r="AB905" s="105"/>
    </row>
    <row r="906" spans="2:28" ht="21" customHeight="1">
      <c r="B906" s="105"/>
      <c r="C906" s="105"/>
      <c r="D906" s="105"/>
      <c r="E906" s="105"/>
      <c r="F906" s="114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11"/>
      <c r="T906" s="111"/>
      <c r="U906" s="111"/>
      <c r="V906" s="111"/>
      <c r="W906" s="111"/>
      <c r="X906" s="111"/>
      <c r="Y906" s="111"/>
      <c r="Z906" s="105"/>
      <c r="AA906" s="105"/>
      <c r="AB906" s="105"/>
    </row>
    <row r="907" spans="2:28" ht="21" customHeight="1">
      <c r="B907" s="105"/>
      <c r="C907" s="105"/>
      <c r="D907" s="105"/>
      <c r="E907" s="105"/>
      <c r="F907" s="114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11"/>
      <c r="T907" s="111"/>
      <c r="U907" s="111"/>
      <c r="V907" s="111"/>
      <c r="W907" s="111"/>
      <c r="X907" s="111"/>
      <c r="Y907" s="111"/>
      <c r="Z907" s="105"/>
      <c r="AA907" s="105"/>
      <c r="AB907" s="105"/>
    </row>
    <row r="908" spans="2:28" ht="21" customHeight="1">
      <c r="B908" s="105"/>
      <c r="C908" s="105"/>
      <c r="D908" s="105"/>
      <c r="E908" s="105"/>
      <c r="F908" s="114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11"/>
      <c r="T908" s="111"/>
      <c r="U908" s="111"/>
      <c r="V908" s="111"/>
      <c r="W908" s="111"/>
      <c r="X908" s="111"/>
      <c r="Y908" s="111"/>
      <c r="Z908" s="105"/>
      <c r="AA908" s="105"/>
      <c r="AB908" s="105"/>
    </row>
    <row r="909" spans="2:28" ht="21" customHeight="1">
      <c r="B909" s="105"/>
      <c r="C909" s="105"/>
      <c r="D909" s="105"/>
      <c r="E909" s="105"/>
      <c r="F909" s="114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11"/>
      <c r="T909" s="111"/>
      <c r="U909" s="111"/>
      <c r="V909" s="111"/>
      <c r="W909" s="111"/>
      <c r="X909" s="111"/>
      <c r="Y909" s="111"/>
      <c r="Z909" s="105"/>
      <c r="AA909" s="105"/>
      <c r="AB909" s="105"/>
    </row>
    <row r="910" spans="2:28" ht="21" customHeight="1">
      <c r="B910" s="105"/>
      <c r="C910" s="105"/>
      <c r="D910" s="105"/>
      <c r="E910" s="105"/>
      <c r="F910" s="114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11"/>
      <c r="T910" s="111"/>
      <c r="U910" s="111"/>
      <c r="V910" s="111"/>
      <c r="W910" s="111"/>
      <c r="X910" s="111"/>
      <c r="Y910" s="111"/>
      <c r="Z910" s="105"/>
      <c r="AA910" s="105"/>
      <c r="AB910" s="105"/>
    </row>
    <row r="911" spans="2:28" ht="21" customHeight="1">
      <c r="B911" s="105"/>
      <c r="C911" s="105"/>
      <c r="D911" s="105"/>
      <c r="E911" s="105"/>
      <c r="F911" s="114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11"/>
      <c r="T911" s="111"/>
      <c r="U911" s="111"/>
      <c r="V911" s="111"/>
      <c r="W911" s="111"/>
      <c r="X911" s="111"/>
      <c r="Y911" s="111"/>
      <c r="Z911" s="105"/>
      <c r="AA911" s="105"/>
      <c r="AB911" s="105"/>
    </row>
    <row r="912" spans="2:28" ht="21" customHeight="1">
      <c r="B912" s="105"/>
      <c r="C912" s="105"/>
      <c r="D912" s="105"/>
      <c r="E912" s="105"/>
      <c r="F912" s="114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11"/>
      <c r="T912" s="111"/>
      <c r="U912" s="111"/>
      <c r="V912" s="111"/>
      <c r="W912" s="111"/>
      <c r="X912" s="111"/>
      <c r="Y912" s="111"/>
      <c r="Z912" s="105"/>
      <c r="AA912" s="105"/>
      <c r="AB912" s="105"/>
    </row>
    <row r="913" spans="2:28" ht="21" customHeight="1">
      <c r="B913" s="105"/>
      <c r="C913" s="105"/>
      <c r="D913" s="105"/>
      <c r="E913" s="105"/>
      <c r="F913" s="114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11"/>
      <c r="T913" s="111"/>
      <c r="U913" s="111"/>
      <c r="V913" s="111"/>
      <c r="W913" s="111"/>
      <c r="X913" s="111"/>
      <c r="Y913" s="111"/>
      <c r="Z913" s="105"/>
      <c r="AA913" s="105"/>
      <c r="AB913" s="105"/>
    </row>
    <row r="914" spans="2:28" ht="21" customHeight="1">
      <c r="B914" s="105"/>
      <c r="C914" s="105"/>
      <c r="D914" s="105"/>
      <c r="E914" s="105"/>
      <c r="F914" s="114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11"/>
      <c r="T914" s="111"/>
      <c r="U914" s="111"/>
      <c r="V914" s="111"/>
      <c r="W914" s="111"/>
      <c r="X914" s="111"/>
      <c r="Y914" s="111"/>
      <c r="Z914" s="105"/>
      <c r="AA914" s="105"/>
      <c r="AB914" s="105"/>
    </row>
    <row r="915" spans="2:28" ht="21" customHeight="1">
      <c r="B915" s="105"/>
      <c r="C915" s="105"/>
      <c r="D915" s="105"/>
      <c r="E915" s="105"/>
      <c r="F915" s="114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11"/>
      <c r="T915" s="111"/>
      <c r="U915" s="111"/>
      <c r="V915" s="111"/>
      <c r="W915" s="111"/>
      <c r="X915" s="111"/>
      <c r="Y915" s="111"/>
      <c r="Z915" s="105"/>
      <c r="AA915" s="105"/>
      <c r="AB915" s="105"/>
    </row>
    <row r="916" spans="2:28" ht="21" customHeight="1">
      <c r="B916" s="105"/>
      <c r="C916" s="105"/>
      <c r="D916" s="105"/>
      <c r="E916" s="105"/>
      <c r="F916" s="114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11"/>
      <c r="T916" s="111"/>
      <c r="U916" s="111"/>
      <c r="V916" s="111"/>
      <c r="W916" s="111"/>
      <c r="X916" s="111"/>
      <c r="Y916" s="111"/>
      <c r="Z916" s="105"/>
      <c r="AA916" s="105"/>
      <c r="AB916" s="105"/>
    </row>
    <row r="917" spans="2:28" ht="21" customHeight="1">
      <c r="B917" s="105"/>
      <c r="C917" s="105"/>
      <c r="D917" s="105"/>
      <c r="E917" s="105"/>
      <c r="F917" s="114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11"/>
      <c r="T917" s="111"/>
      <c r="U917" s="111"/>
      <c r="V917" s="111"/>
      <c r="W917" s="111"/>
      <c r="X917" s="111"/>
      <c r="Y917" s="111"/>
      <c r="Z917" s="105"/>
      <c r="AA917" s="105"/>
      <c r="AB917" s="105"/>
    </row>
    <row r="918" spans="2:28" ht="21" customHeight="1">
      <c r="B918" s="105"/>
      <c r="C918" s="105"/>
      <c r="D918" s="105"/>
      <c r="E918" s="105"/>
      <c r="F918" s="114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11"/>
      <c r="T918" s="111"/>
      <c r="U918" s="111"/>
      <c r="V918" s="111"/>
      <c r="W918" s="111"/>
      <c r="X918" s="111"/>
      <c r="Y918" s="111"/>
      <c r="Z918" s="105"/>
      <c r="AA918" s="105"/>
      <c r="AB918" s="105"/>
    </row>
    <row r="919" spans="2:28" ht="21" customHeight="1">
      <c r="B919" s="105"/>
      <c r="C919" s="105"/>
      <c r="D919" s="105"/>
      <c r="E919" s="105"/>
      <c r="F919" s="114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11"/>
      <c r="T919" s="111"/>
      <c r="U919" s="111"/>
      <c r="V919" s="111"/>
      <c r="W919" s="111"/>
      <c r="X919" s="111"/>
      <c r="Y919" s="111"/>
      <c r="Z919" s="105"/>
      <c r="AA919" s="105"/>
      <c r="AB919" s="105"/>
    </row>
    <row r="920" spans="2:28" ht="21" customHeight="1">
      <c r="B920" s="105"/>
      <c r="C920" s="105"/>
      <c r="D920" s="105"/>
      <c r="E920" s="105"/>
      <c r="F920" s="114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11"/>
      <c r="T920" s="111"/>
      <c r="U920" s="111"/>
      <c r="V920" s="111"/>
      <c r="W920" s="111"/>
      <c r="X920" s="111"/>
      <c r="Y920" s="111"/>
      <c r="Z920" s="105"/>
      <c r="AA920" s="105"/>
      <c r="AB920" s="105"/>
    </row>
    <row r="921" spans="2:28" ht="21" customHeight="1">
      <c r="B921" s="105"/>
      <c r="C921" s="105"/>
      <c r="D921" s="105"/>
      <c r="E921" s="105"/>
      <c r="F921" s="114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11"/>
      <c r="T921" s="111"/>
      <c r="U921" s="111"/>
      <c r="V921" s="111"/>
      <c r="W921" s="111"/>
      <c r="X921" s="111"/>
      <c r="Y921" s="111"/>
      <c r="Z921" s="105"/>
      <c r="AA921" s="105"/>
      <c r="AB921" s="105"/>
    </row>
    <row r="922" spans="2:28" ht="21" customHeight="1">
      <c r="B922" s="105"/>
      <c r="C922" s="105"/>
      <c r="D922" s="105"/>
      <c r="E922" s="105"/>
      <c r="F922" s="114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11"/>
      <c r="T922" s="111"/>
      <c r="U922" s="111"/>
      <c r="V922" s="111"/>
      <c r="W922" s="111"/>
      <c r="X922" s="111"/>
      <c r="Y922" s="111"/>
      <c r="Z922" s="105"/>
      <c r="AA922" s="105"/>
      <c r="AB922" s="105"/>
    </row>
    <row r="923" spans="2:28" ht="21" customHeight="1">
      <c r="B923" s="105"/>
      <c r="C923" s="105"/>
      <c r="D923" s="105"/>
      <c r="E923" s="105"/>
      <c r="F923" s="114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11"/>
      <c r="T923" s="111"/>
      <c r="U923" s="111"/>
      <c r="V923" s="111"/>
      <c r="W923" s="111"/>
      <c r="X923" s="111"/>
      <c r="Y923" s="111"/>
      <c r="Z923" s="105"/>
      <c r="AA923" s="105"/>
      <c r="AB923" s="105"/>
    </row>
    <row r="924" spans="2:28" ht="21" customHeight="1">
      <c r="B924" s="105"/>
      <c r="C924" s="105"/>
      <c r="D924" s="105"/>
      <c r="E924" s="105"/>
      <c r="F924" s="114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11"/>
      <c r="T924" s="111"/>
      <c r="U924" s="111"/>
      <c r="V924" s="111"/>
      <c r="W924" s="111"/>
      <c r="X924" s="111"/>
      <c r="Y924" s="111"/>
      <c r="Z924" s="105"/>
      <c r="AA924" s="105"/>
      <c r="AB924" s="105"/>
    </row>
    <row r="925" spans="2:28" ht="21" customHeight="1">
      <c r="B925" s="105"/>
      <c r="C925" s="105"/>
      <c r="D925" s="105"/>
      <c r="E925" s="105"/>
      <c r="F925" s="114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11"/>
      <c r="T925" s="111"/>
      <c r="U925" s="111"/>
      <c r="V925" s="111"/>
      <c r="W925" s="111"/>
      <c r="X925" s="111"/>
      <c r="Y925" s="111"/>
      <c r="Z925" s="105"/>
      <c r="AA925" s="105"/>
      <c r="AB925" s="105"/>
    </row>
    <row r="926" spans="2:28" ht="21" customHeight="1">
      <c r="B926" s="105"/>
      <c r="C926" s="105"/>
      <c r="D926" s="105"/>
      <c r="E926" s="105"/>
      <c r="F926" s="114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11"/>
      <c r="T926" s="111"/>
      <c r="U926" s="111"/>
      <c r="V926" s="111"/>
      <c r="W926" s="111"/>
      <c r="X926" s="111"/>
      <c r="Y926" s="111"/>
      <c r="Z926" s="105"/>
      <c r="AA926" s="105"/>
      <c r="AB926" s="105"/>
    </row>
    <row r="927" spans="2:28" ht="21" customHeight="1">
      <c r="B927" s="105"/>
      <c r="C927" s="105"/>
      <c r="D927" s="105"/>
      <c r="E927" s="105"/>
      <c r="F927" s="114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11"/>
      <c r="T927" s="111"/>
      <c r="U927" s="111"/>
      <c r="V927" s="111"/>
      <c r="W927" s="111"/>
      <c r="X927" s="111"/>
      <c r="Y927" s="111"/>
      <c r="Z927" s="105"/>
      <c r="AA927" s="105"/>
      <c r="AB927" s="105"/>
    </row>
    <row r="928" spans="2:28" ht="21" customHeight="1">
      <c r="B928" s="105"/>
      <c r="C928" s="105"/>
      <c r="D928" s="105"/>
      <c r="E928" s="105"/>
      <c r="F928" s="114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11"/>
      <c r="T928" s="111"/>
      <c r="U928" s="111"/>
      <c r="V928" s="111"/>
      <c r="W928" s="111"/>
      <c r="X928" s="111"/>
      <c r="Y928" s="111"/>
      <c r="Z928" s="105"/>
      <c r="AA928" s="105"/>
      <c r="AB928" s="105"/>
    </row>
    <row r="929" spans="2:28" ht="21" customHeight="1">
      <c r="B929" s="105"/>
      <c r="C929" s="105"/>
      <c r="D929" s="105"/>
      <c r="E929" s="105"/>
      <c r="F929" s="114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11"/>
      <c r="T929" s="111"/>
      <c r="U929" s="111"/>
      <c r="V929" s="111"/>
      <c r="W929" s="111"/>
      <c r="X929" s="111"/>
      <c r="Y929" s="111"/>
      <c r="Z929" s="105"/>
      <c r="AA929" s="105"/>
      <c r="AB929" s="105"/>
    </row>
    <row r="930" spans="2:28" ht="21" customHeight="1">
      <c r="B930" s="105"/>
      <c r="C930" s="105"/>
      <c r="D930" s="105"/>
      <c r="E930" s="105"/>
      <c r="F930" s="114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11"/>
      <c r="T930" s="111"/>
      <c r="U930" s="111"/>
      <c r="V930" s="111"/>
      <c r="W930" s="111"/>
      <c r="X930" s="111"/>
      <c r="Y930" s="111"/>
      <c r="Z930" s="105"/>
      <c r="AA930" s="105"/>
      <c r="AB930" s="105"/>
    </row>
    <row r="931" spans="2:28" ht="21" customHeight="1">
      <c r="B931" s="105"/>
      <c r="C931" s="105"/>
      <c r="D931" s="105"/>
      <c r="E931" s="105"/>
      <c r="F931" s="114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11"/>
      <c r="T931" s="111"/>
      <c r="U931" s="111"/>
      <c r="V931" s="111"/>
      <c r="W931" s="111"/>
      <c r="X931" s="111"/>
      <c r="Y931" s="111"/>
      <c r="Z931" s="105"/>
      <c r="AA931" s="105"/>
      <c r="AB931" s="105"/>
    </row>
    <row r="932" spans="2:28" ht="21" customHeight="1">
      <c r="B932" s="105"/>
      <c r="C932" s="105"/>
      <c r="D932" s="105"/>
      <c r="E932" s="105"/>
      <c r="F932" s="114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11"/>
      <c r="T932" s="111"/>
      <c r="U932" s="111"/>
      <c r="V932" s="111"/>
      <c r="W932" s="111"/>
      <c r="X932" s="111"/>
      <c r="Y932" s="111"/>
      <c r="Z932" s="105"/>
      <c r="AA932" s="105"/>
      <c r="AB932" s="105"/>
    </row>
    <row r="933" spans="2:28" ht="21" customHeight="1">
      <c r="B933" s="105"/>
      <c r="C933" s="105"/>
      <c r="D933" s="105"/>
      <c r="E933" s="105"/>
      <c r="F933" s="114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11"/>
      <c r="T933" s="111"/>
      <c r="U933" s="111"/>
      <c r="V933" s="111"/>
      <c r="W933" s="111"/>
      <c r="X933" s="111"/>
      <c r="Y933" s="111"/>
      <c r="Z933" s="105"/>
      <c r="AA933" s="105"/>
      <c r="AB933" s="105"/>
    </row>
    <row r="934" spans="2:28" ht="21" customHeight="1">
      <c r="B934" s="105"/>
      <c r="C934" s="105"/>
      <c r="D934" s="105"/>
      <c r="E934" s="105"/>
      <c r="F934" s="114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11"/>
      <c r="T934" s="111"/>
      <c r="U934" s="111"/>
      <c r="V934" s="111"/>
      <c r="W934" s="111"/>
      <c r="X934" s="111"/>
      <c r="Y934" s="111"/>
      <c r="Z934" s="105"/>
      <c r="AA934" s="105"/>
      <c r="AB934" s="105"/>
    </row>
    <row r="935" spans="2:28" ht="21" customHeight="1">
      <c r="B935" s="105"/>
      <c r="C935" s="105"/>
      <c r="D935" s="105"/>
      <c r="E935" s="105"/>
      <c r="F935" s="114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11"/>
      <c r="T935" s="111"/>
      <c r="U935" s="111"/>
      <c r="V935" s="111"/>
      <c r="W935" s="111"/>
      <c r="X935" s="111"/>
      <c r="Y935" s="111"/>
      <c r="Z935" s="105"/>
      <c r="AA935" s="105"/>
      <c r="AB935" s="105"/>
    </row>
    <row r="936" spans="2:28" ht="21" customHeight="1">
      <c r="B936" s="105"/>
      <c r="C936" s="105"/>
      <c r="D936" s="105"/>
      <c r="E936" s="105"/>
      <c r="F936" s="114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11"/>
      <c r="T936" s="111"/>
      <c r="U936" s="111"/>
      <c r="V936" s="111"/>
      <c r="W936" s="111"/>
      <c r="X936" s="111"/>
      <c r="Y936" s="111"/>
      <c r="Z936" s="105"/>
      <c r="AA936" s="105"/>
      <c r="AB936" s="105"/>
    </row>
    <row r="937" spans="2:28" ht="21" customHeight="1">
      <c r="B937" s="105"/>
      <c r="C937" s="105"/>
      <c r="D937" s="105"/>
      <c r="E937" s="105"/>
      <c r="F937" s="114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11"/>
      <c r="T937" s="111"/>
      <c r="U937" s="111"/>
      <c r="V937" s="111"/>
      <c r="W937" s="111"/>
      <c r="X937" s="111"/>
      <c r="Y937" s="111"/>
      <c r="Z937" s="105"/>
      <c r="AA937" s="105"/>
      <c r="AB937" s="105"/>
    </row>
    <row r="938" spans="2:28" ht="21" customHeight="1">
      <c r="B938" s="105"/>
      <c r="C938" s="105"/>
      <c r="D938" s="105"/>
      <c r="E938" s="105"/>
      <c r="F938" s="114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11"/>
      <c r="T938" s="111"/>
      <c r="U938" s="111"/>
      <c r="V938" s="111"/>
      <c r="W938" s="111"/>
      <c r="X938" s="111"/>
      <c r="Y938" s="111"/>
      <c r="Z938" s="105"/>
      <c r="AA938" s="105"/>
      <c r="AB938" s="105"/>
    </row>
    <row r="939" spans="2:28" ht="21" customHeight="1">
      <c r="B939" s="105"/>
      <c r="C939" s="105"/>
      <c r="D939" s="105"/>
      <c r="E939" s="105"/>
      <c r="F939" s="114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11"/>
      <c r="T939" s="111"/>
      <c r="U939" s="111"/>
      <c r="V939" s="111"/>
      <c r="W939" s="111"/>
      <c r="X939" s="111"/>
      <c r="Y939" s="111"/>
      <c r="Z939" s="105"/>
      <c r="AA939" s="105"/>
      <c r="AB939" s="105"/>
    </row>
    <row r="940" spans="2:28" ht="21" customHeight="1">
      <c r="B940" s="105"/>
      <c r="C940" s="105"/>
      <c r="D940" s="105"/>
      <c r="E940" s="105"/>
      <c r="F940" s="114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11"/>
      <c r="T940" s="111"/>
      <c r="U940" s="111"/>
      <c r="V940" s="111"/>
      <c r="W940" s="111"/>
      <c r="X940" s="111"/>
      <c r="Y940" s="111"/>
      <c r="Z940" s="105"/>
      <c r="AA940" s="105"/>
      <c r="AB940" s="105"/>
    </row>
    <row r="941" spans="2:28" ht="21" customHeight="1">
      <c r="B941" s="105"/>
      <c r="C941" s="105"/>
      <c r="D941" s="105"/>
      <c r="E941" s="105"/>
      <c r="F941" s="114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11"/>
      <c r="T941" s="111"/>
      <c r="U941" s="111"/>
      <c r="V941" s="111"/>
      <c r="W941" s="111"/>
      <c r="X941" s="111"/>
      <c r="Y941" s="111"/>
      <c r="Z941" s="105"/>
      <c r="AA941" s="105"/>
      <c r="AB941" s="105"/>
    </row>
    <row r="942" spans="2:28" ht="21" customHeight="1">
      <c r="B942" s="105"/>
      <c r="C942" s="105"/>
      <c r="D942" s="105"/>
      <c r="E942" s="105"/>
      <c r="F942" s="114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11"/>
      <c r="T942" s="111"/>
      <c r="U942" s="111"/>
      <c r="V942" s="111"/>
      <c r="W942" s="111"/>
      <c r="X942" s="111"/>
      <c r="Y942" s="111"/>
      <c r="Z942" s="105"/>
      <c r="AA942" s="105"/>
      <c r="AB942" s="105"/>
    </row>
    <row r="943" spans="2:28" ht="21" customHeight="1">
      <c r="B943" s="105"/>
      <c r="C943" s="105"/>
      <c r="D943" s="105"/>
      <c r="E943" s="105"/>
      <c r="F943" s="114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11"/>
      <c r="T943" s="111"/>
      <c r="U943" s="111"/>
      <c r="V943" s="111"/>
      <c r="W943" s="111"/>
      <c r="X943" s="111"/>
      <c r="Y943" s="111"/>
      <c r="Z943" s="105"/>
      <c r="AA943" s="105"/>
      <c r="AB943" s="105"/>
    </row>
    <row r="944" spans="2:28" ht="21" customHeight="1">
      <c r="B944" s="105"/>
      <c r="C944" s="105"/>
      <c r="D944" s="105"/>
      <c r="E944" s="105"/>
      <c r="F944" s="114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11"/>
      <c r="T944" s="111"/>
      <c r="U944" s="111"/>
      <c r="V944" s="111"/>
      <c r="W944" s="111"/>
      <c r="X944" s="111"/>
      <c r="Y944" s="111"/>
      <c r="Z944" s="105"/>
      <c r="AA944" s="105"/>
      <c r="AB944" s="105"/>
    </row>
    <row r="945" spans="2:28" ht="21" customHeight="1">
      <c r="B945" s="105"/>
      <c r="C945" s="105"/>
      <c r="D945" s="105"/>
      <c r="E945" s="105"/>
      <c r="F945" s="114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11"/>
      <c r="T945" s="111"/>
      <c r="U945" s="111"/>
      <c r="V945" s="111"/>
      <c r="W945" s="111"/>
      <c r="X945" s="111"/>
      <c r="Y945" s="111"/>
      <c r="Z945" s="105"/>
      <c r="AA945" s="105"/>
      <c r="AB945" s="105"/>
    </row>
    <row r="946" spans="2:28" ht="21" customHeight="1">
      <c r="B946" s="105"/>
      <c r="C946" s="105"/>
      <c r="D946" s="105"/>
      <c r="E946" s="105"/>
      <c r="F946" s="114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11"/>
      <c r="T946" s="111"/>
      <c r="U946" s="111"/>
      <c r="V946" s="111"/>
      <c r="W946" s="111"/>
      <c r="X946" s="111"/>
      <c r="Y946" s="111"/>
      <c r="Z946" s="105"/>
      <c r="AA946" s="105"/>
      <c r="AB946" s="105"/>
    </row>
    <row r="947" spans="2:28" ht="21" customHeight="1">
      <c r="B947" s="105"/>
      <c r="C947" s="105"/>
      <c r="D947" s="105"/>
      <c r="E947" s="105"/>
      <c r="F947" s="114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11"/>
      <c r="T947" s="111"/>
      <c r="U947" s="111"/>
      <c r="V947" s="111"/>
      <c r="W947" s="111"/>
      <c r="X947" s="111"/>
      <c r="Y947" s="111"/>
      <c r="Z947" s="105"/>
      <c r="AA947" s="105"/>
      <c r="AB947" s="105"/>
    </row>
    <row r="948" spans="2:28" ht="21" customHeight="1">
      <c r="B948" s="105"/>
      <c r="C948" s="105"/>
      <c r="D948" s="105"/>
      <c r="E948" s="105"/>
      <c r="F948" s="114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11"/>
      <c r="T948" s="111"/>
      <c r="U948" s="111"/>
      <c r="V948" s="111"/>
      <c r="W948" s="111"/>
      <c r="X948" s="111"/>
      <c r="Y948" s="111"/>
      <c r="Z948" s="105"/>
      <c r="AA948" s="105"/>
      <c r="AB948" s="105"/>
    </row>
    <row r="949" spans="2:28" ht="21" customHeight="1">
      <c r="B949" s="105"/>
      <c r="C949" s="105"/>
      <c r="D949" s="105"/>
      <c r="E949" s="105"/>
      <c r="F949" s="114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11"/>
      <c r="T949" s="111"/>
      <c r="U949" s="111"/>
      <c r="V949" s="111"/>
      <c r="W949" s="111"/>
      <c r="X949" s="111"/>
      <c r="Y949" s="111"/>
      <c r="Z949" s="105"/>
      <c r="AA949" s="105"/>
      <c r="AB949" s="105"/>
    </row>
    <row r="950" spans="2:28" ht="21" customHeight="1">
      <c r="B950" s="105"/>
      <c r="C950" s="105"/>
      <c r="D950" s="105"/>
      <c r="E950" s="105"/>
      <c r="F950" s="114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11"/>
      <c r="T950" s="111"/>
      <c r="U950" s="111"/>
      <c r="V950" s="111"/>
      <c r="W950" s="111"/>
      <c r="X950" s="111"/>
      <c r="Y950" s="111"/>
      <c r="Z950" s="105"/>
      <c r="AA950" s="105"/>
      <c r="AB950" s="105"/>
    </row>
    <row r="951" spans="2:28" ht="21" customHeight="1">
      <c r="B951" s="105"/>
      <c r="C951" s="105"/>
      <c r="D951" s="105"/>
      <c r="E951" s="105"/>
      <c r="F951" s="114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11"/>
      <c r="T951" s="111"/>
      <c r="U951" s="111"/>
      <c r="V951" s="111"/>
      <c r="W951" s="111"/>
      <c r="X951" s="111"/>
      <c r="Y951" s="111"/>
      <c r="Z951" s="105"/>
      <c r="AA951" s="105"/>
      <c r="AB951" s="105"/>
    </row>
    <row r="952" spans="2:28" ht="21" customHeight="1">
      <c r="B952" s="105"/>
      <c r="C952" s="105"/>
      <c r="D952" s="105"/>
      <c r="E952" s="105"/>
      <c r="F952" s="114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11"/>
      <c r="T952" s="111"/>
      <c r="U952" s="111"/>
      <c r="V952" s="111"/>
      <c r="W952" s="111"/>
      <c r="X952" s="111"/>
      <c r="Y952" s="111"/>
      <c r="Z952" s="105"/>
      <c r="AA952" s="105"/>
      <c r="AB952" s="105"/>
    </row>
    <row r="953" spans="2:28" ht="21" customHeight="1">
      <c r="B953" s="105"/>
      <c r="C953" s="105"/>
      <c r="D953" s="105"/>
      <c r="E953" s="105"/>
      <c r="F953" s="114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11"/>
      <c r="T953" s="111"/>
      <c r="U953" s="111"/>
      <c r="V953" s="111"/>
      <c r="W953" s="111"/>
      <c r="X953" s="111"/>
      <c r="Y953" s="111"/>
      <c r="Z953" s="105"/>
      <c r="AA953" s="105"/>
      <c r="AB953" s="105"/>
    </row>
    <row r="954" spans="2:28" ht="21" customHeight="1">
      <c r="B954" s="105"/>
      <c r="C954" s="105"/>
      <c r="D954" s="105"/>
      <c r="E954" s="105"/>
      <c r="F954" s="114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11"/>
      <c r="T954" s="111"/>
      <c r="U954" s="111"/>
      <c r="V954" s="111"/>
      <c r="W954" s="111"/>
      <c r="X954" s="111"/>
      <c r="Y954" s="111"/>
      <c r="Z954" s="105"/>
      <c r="AA954" s="105"/>
      <c r="AB954" s="105"/>
    </row>
    <row r="955" spans="2:28" ht="21" customHeight="1">
      <c r="B955" s="105"/>
      <c r="C955" s="105"/>
      <c r="D955" s="105"/>
      <c r="E955" s="105"/>
      <c r="F955" s="114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11"/>
      <c r="T955" s="111"/>
      <c r="U955" s="111"/>
      <c r="V955" s="111"/>
      <c r="W955" s="111"/>
      <c r="X955" s="111"/>
      <c r="Y955" s="111"/>
      <c r="Z955" s="105"/>
      <c r="AA955" s="105"/>
      <c r="AB955" s="105"/>
    </row>
    <row r="956" spans="2:28" ht="21" customHeight="1">
      <c r="B956" s="105"/>
      <c r="C956" s="105"/>
      <c r="D956" s="105"/>
      <c r="E956" s="105"/>
      <c r="F956" s="114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11"/>
      <c r="T956" s="111"/>
      <c r="U956" s="111"/>
      <c r="V956" s="111"/>
      <c r="W956" s="111"/>
      <c r="X956" s="111"/>
      <c r="Y956" s="111"/>
      <c r="Z956" s="105"/>
      <c r="AA956" s="105"/>
      <c r="AB956" s="105"/>
    </row>
    <row r="957" spans="2:28" ht="21" customHeight="1">
      <c r="B957" s="105"/>
      <c r="C957" s="105"/>
      <c r="D957" s="105"/>
      <c r="E957" s="105"/>
      <c r="F957" s="114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11"/>
      <c r="T957" s="111"/>
      <c r="U957" s="111"/>
      <c r="V957" s="111"/>
      <c r="W957" s="111"/>
      <c r="X957" s="111"/>
      <c r="Y957" s="111"/>
      <c r="Z957" s="105"/>
      <c r="AA957" s="105"/>
      <c r="AB957" s="105"/>
    </row>
    <row r="958" spans="2:28" ht="21" customHeight="1">
      <c r="B958" s="105"/>
      <c r="C958" s="105"/>
      <c r="D958" s="105"/>
      <c r="E958" s="105"/>
      <c r="F958" s="114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11"/>
      <c r="T958" s="111"/>
      <c r="U958" s="111"/>
      <c r="V958" s="111"/>
      <c r="W958" s="111"/>
      <c r="X958" s="111"/>
      <c r="Y958" s="111"/>
      <c r="Z958" s="105"/>
      <c r="AA958" s="105"/>
      <c r="AB958" s="105"/>
    </row>
    <row r="959" spans="2:28" ht="21" customHeight="1">
      <c r="B959" s="105"/>
      <c r="C959" s="105"/>
      <c r="D959" s="105"/>
      <c r="E959" s="105"/>
      <c r="F959" s="114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11"/>
      <c r="T959" s="111"/>
      <c r="U959" s="111"/>
      <c r="V959" s="111"/>
      <c r="W959" s="111"/>
      <c r="X959" s="111"/>
      <c r="Y959" s="111"/>
      <c r="Z959" s="105"/>
      <c r="AA959" s="105"/>
      <c r="AB959" s="105"/>
    </row>
    <row r="960" spans="2:28" ht="21" customHeight="1">
      <c r="B960" s="105"/>
      <c r="C960" s="105"/>
      <c r="D960" s="105"/>
      <c r="E960" s="105"/>
      <c r="F960" s="114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11"/>
      <c r="T960" s="111"/>
      <c r="U960" s="111"/>
      <c r="V960" s="111"/>
      <c r="W960" s="111"/>
      <c r="X960" s="111"/>
      <c r="Y960" s="111"/>
      <c r="Z960" s="105"/>
      <c r="AA960" s="105"/>
      <c r="AB960" s="105"/>
    </row>
    <row r="961" spans="2:28" ht="21" customHeight="1">
      <c r="B961" s="105"/>
      <c r="C961" s="105"/>
      <c r="D961" s="105"/>
      <c r="E961" s="105"/>
      <c r="F961" s="114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11"/>
      <c r="T961" s="111"/>
      <c r="U961" s="111"/>
      <c r="V961" s="111"/>
      <c r="W961" s="111"/>
      <c r="X961" s="111"/>
      <c r="Y961" s="111"/>
      <c r="Z961" s="105"/>
      <c r="AA961" s="105"/>
      <c r="AB961" s="105"/>
    </row>
    <row r="962" spans="2:28" ht="21" customHeight="1">
      <c r="B962" s="105"/>
      <c r="C962" s="105"/>
      <c r="D962" s="105"/>
      <c r="E962" s="105"/>
      <c r="F962" s="114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11"/>
      <c r="T962" s="111"/>
      <c r="U962" s="111"/>
      <c r="V962" s="111"/>
      <c r="W962" s="111"/>
      <c r="X962" s="111"/>
      <c r="Y962" s="111"/>
      <c r="Z962" s="105"/>
      <c r="AA962" s="105"/>
      <c r="AB962" s="105"/>
    </row>
    <row r="963" spans="2:28" ht="21" customHeight="1">
      <c r="B963" s="105"/>
      <c r="C963" s="105"/>
      <c r="D963" s="105"/>
      <c r="E963" s="105"/>
      <c r="F963" s="114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11"/>
      <c r="T963" s="111"/>
      <c r="U963" s="111"/>
      <c r="V963" s="111"/>
      <c r="W963" s="111"/>
      <c r="X963" s="111"/>
      <c r="Y963" s="111"/>
      <c r="Z963" s="105"/>
      <c r="AA963" s="105"/>
      <c r="AB963" s="105"/>
    </row>
    <row r="964" spans="2:28" ht="21" customHeight="1">
      <c r="B964" s="105"/>
      <c r="C964" s="105"/>
      <c r="D964" s="105"/>
      <c r="E964" s="105"/>
      <c r="F964" s="114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11"/>
      <c r="T964" s="111"/>
      <c r="U964" s="111"/>
      <c r="V964" s="111"/>
      <c r="W964" s="111"/>
      <c r="X964" s="111"/>
      <c r="Y964" s="111"/>
      <c r="Z964" s="105"/>
      <c r="AA964" s="105"/>
      <c r="AB964" s="105"/>
    </row>
    <row r="965" spans="2:28" ht="21" customHeight="1">
      <c r="B965" s="105"/>
      <c r="C965" s="105"/>
      <c r="D965" s="105"/>
      <c r="E965" s="105"/>
      <c r="F965" s="114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11"/>
      <c r="T965" s="111"/>
      <c r="U965" s="111"/>
      <c r="V965" s="111"/>
      <c r="W965" s="111"/>
      <c r="X965" s="111"/>
      <c r="Y965" s="111"/>
      <c r="Z965" s="105"/>
      <c r="AA965" s="105"/>
      <c r="AB965" s="105"/>
    </row>
    <row r="966" spans="2:28" ht="21" customHeight="1">
      <c r="B966" s="105"/>
      <c r="C966" s="105"/>
      <c r="D966" s="105"/>
      <c r="E966" s="105"/>
      <c r="F966" s="114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11"/>
      <c r="T966" s="111"/>
      <c r="U966" s="111"/>
      <c r="V966" s="111"/>
      <c r="W966" s="111"/>
      <c r="X966" s="111"/>
      <c r="Y966" s="111"/>
      <c r="Z966" s="105"/>
      <c r="AA966" s="105"/>
      <c r="AB966" s="105"/>
    </row>
    <row r="967" spans="2:28" ht="21" customHeight="1">
      <c r="B967" s="105"/>
      <c r="C967" s="105"/>
      <c r="D967" s="105"/>
      <c r="E967" s="105"/>
      <c r="F967" s="114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11"/>
      <c r="T967" s="111"/>
      <c r="U967" s="111"/>
      <c r="V967" s="111"/>
      <c r="W967" s="111"/>
      <c r="X967" s="111"/>
      <c r="Y967" s="111"/>
      <c r="Z967" s="105"/>
      <c r="AA967" s="105"/>
      <c r="AB967" s="105"/>
    </row>
    <row r="968" spans="2:28" ht="21" customHeight="1">
      <c r="B968" s="105"/>
      <c r="C968" s="105"/>
      <c r="D968" s="105"/>
      <c r="E968" s="105"/>
      <c r="F968" s="114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11"/>
      <c r="T968" s="111"/>
      <c r="U968" s="111"/>
      <c r="V968" s="111"/>
      <c r="W968" s="111"/>
      <c r="X968" s="111"/>
      <c r="Y968" s="111"/>
      <c r="Z968" s="105"/>
      <c r="AA968" s="105"/>
      <c r="AB968" s="105"/>
    </row>
    <row r="969" spans="2:28" ht="21" customHeight="1">
      <c r="B969" s="105"/>
      <c r="C969" s="105"/>
      <c r="D969" s="105"/>
      <c r="E969" s="105"/>
      <c r="F969" s="114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11"/>
      <c r="T969" s="111"/>
      <c r="U969" s="111"/>
      <c r="V969" s="111"/>
      <c r="W969" s="111"/>
      <c r="X969" s="111"/>
      <c r="Y969" s="111"/>
      <c r="Z969" s="105"/>
      <c r="AA969" s="105"/>
      <c r="AB969" s="105"/>
    </row>
    <row r="970" spans="2:28" ht="21" customHeight="1">
      <c r="B970" s="105"/>
      <c r="C970" s="105"/>
      <c r="D970" s="105"/>
      <c r="E970" s="105"/>
      <c r="F970" s="114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11"/>
      <c r="T970" s="111"/>
      <c r="U970" s="111"/>
      <c r="V970" s="111"/>
      <c r="W970" s="111"/>
      <c r="X970" s="111"/>
      <c r="Y970" s="111"/>
      <c r="Z970" s="105"/>
      <c r="AA970" s="105"/>
      <c r="AB970" s="105"/>
    </row>
    <row r="971" spans="2:28" ht="21" customHeight="1">
      <c r="B971" s="105"/>
      <c r="C971" s="105"/>
      <c r="D971" s="105"/>
      <c r="E971" s="105"/>
      <c r="F971" s="114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11"/>
      <c r="T971" s="111"/>
      <c r="U971" s="111"/>
      <c r="V971" s="111"/>
      <c r="W971" s="111"/>
      <c r="X971" s="111"/>
      <c r="Y971" s="111"/>
      <c r="Z971" s="105"/>
      <c r="AA971" s="105"/>
      <c r="AB971" s="105"/>
    </row>
    <row r="972" spans="2:28" ht="21" customHeight="1">
      <c r="B972" s="105"/>
      <c r="C972" s="105"/>
      <c r="D972" s="105"/>
      <c r="E972" s="105"/>
      <c r="F972" s="114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11"/>
      <c r="T972" s="111"/>
      <c r="U972" s="111"/>
      <c r="V972" s="111"/>
      <c r="W972" s="111"/>
      <c r="X972" s="111"/>
      <c r="Y972" s="111"/>
      <c r="Z972" s="105"/>
      <c r="AA972" s="105"/>
      <c r="AB972" s="105"/>
    </row>
    <row r="973" spans="2:28" ht="21" customHeight="1">
      <c r="B973" s="105"/>
      <c r="C973" s="105"/>
      <c r="D973" s="105"/>
      <c r="E973" s="105"/>
      <c r="F973" s="114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11"/>
      <c r="T973" s="111"/>
      <c r="U973" s="111"/>
      <c r="V973" s="111"/>
      <c r="W973" s="111"/>
      <c r="X973" s="111"/>
      <c r="Y973" s="111"/>
      <c r="Z973" s="105"/>
      <c r="AA973" s="105"/>
      <c r="AB973" s="105"/>
    </row>
    <row r="974" spans="2:28" ht="21" customHeight="1">
      <c r="B974" s="105"/>
      <c r="C974" s="105"/>
      <c r="D974" s="105"/>
      <c r="E974" s="105"/>
      <c r="F974" s="114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11"/>
      <c r="T974" s="111"/>
      <c r="U974" s="111"/>
      <c r="V974" s="111"/>
      <c r="W974" s="111"/>
      <c r="X974" s="111"/>
      <c r="Y974" s="111"/>
      <c r="Z974" s="105"/>
      <c r="AA974" s="105"/>
      <c r="AB974" s="105"/>
    </row>
    <row r="975" spans="2:28" ht="21" customHeight="1">
      <c r="B975" s="105"/>
      <c r="C975" s="105"/>
      <c r="D975" s="105"/>
      <c r="E975" s="105"/>
      <c r="F975" s="114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11"/>
      <c r="T975" s="111"/>
      <c r="U975" s="111"/>
      <c r="V975" s="111"/>
      <c r="W975" s="111"/>
      <c r="X975" s="111"/>
      <c r="Y975" s="111"/>
      <c r="Z975" s="105"/>
      <c r="AA975" s="105"/>
      <c r="AB975" s="105"/>
    </row>
    <row r="976" spans="2:28" ht="21" customHeight="1">
      <c r="B976" s="105"/>
      <c r="C976" s="105"/>
      <c r="D976" s="105"/>
      <c r="E976" s="105"/>
      <c r="F976" s="114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11"/>
      <c r="T976" s="111"/>
      <c r="U976" s="111"/>
      <c r="V976" s="111"/>
      <c r="W976" s="111"/>
      <c r="X976" s="111"/>
      <c r="Y976" s="111"/>
      <c r="Z976" s="105"/>
      <c r="AA976" s="105"/>
      <c r="AB976" s="105"/>
    </row>
    <row r="977" spans="2:28" ht="21" customHeight="1">
      <c r="B977" s="105"/>
      <c r="C977" s="105"/>
      <c r="D977" s="105"/>
      <c r="E977" s="105"/>
      <c r="F977" s="114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11"/>
      <c r="T977" s="111"/>
      <c r="U977" s="111"/>
      <c r="V977" s="111"/>
      <c r="W977" s="111"/>
      <c r="X977" s="111"/>
      <c r="Y977" s="111"/>
      <c r="Z977" s="105"/>
      <c r="AA977" s="105"/>
      <c r="AB977" s="105"/>
    </row>
    <row r="978" spans="2:28" ht="21" customHeight="1">
      <c r="B978" s="105"/>
      <c r="C978" s="105"/>
      <c r="D978" s="105"/>
      <c r="E978" s="105"/>
      <c r="F978" s="114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11"/>
      <c r="T978" s="111"/>
      <c r="U978" s="111"/>
      <c r="V978" s="111"/>
      <c r="W978" s="111"/>
      <c r="X978" s="111"/>
      <c r="Y978" s="111"/>
      <c r="Z978" s="105"/>
      <c r="AA978" s="105"/>
      <c r="AB978" s="105"/>
    </row>
    <row r="979" spans="2:28" ht="21" customHeight="1">
      <c r="B979" s="105"/>
      <c r="C979" s="105"/>
      <c r="D979" s="105"/>
      <c r="E979" s="105"/>
      <c r="F979" s="114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11"/>
      <c r="T979" s="111"/>
      <c r="U979" s="111"/>
      <c r="V979" s="111"/>
      <c r="W979" s="111"/>
      <c r="X979" s="111"/>
      <c r="Y979" s="111"/>
      <c r="Z979" s="105"/>
      <c r="AA979" s="105"/>
      <c r="AB979" s="105"/>
    </row>
    <row r="980" spans="2:28" ht="21" customHeight="1">
      <c r="B980" s="105"/>
      <c r="C980" s="105"/>
      <c r="D980" s="105"/>
      <c r="E980" s="105"/>
      <c r="F980" s="114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11"/>
      <c r="T980" s="111"/>
      <c r="U980" s="111"/>
      <c r="V980" s="111"/>
      <c r="W980" s="111"/>
      <c r="X980" s="111"/>
      <c r="Y980" s="111"/>
      <c r="Z980" s="105"/>
      <c r="AA980" s="105"/>
      <c r="AB980" s="105"/>
    </row>
    <row r="981" spans="2:28" ht="21" customHeight="1">
      <c r="B981" s="105"/>
      <c r="C981" s="105"/>
      <c r="D981" s="105"/>
      <c r="E981" s="105"/>
      <c r="F981" s="114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11"/>
      <c r="T981" s="111"/>
      <c r="U981" s="111"/>
      <c r="V981" s="111"/>
      <c r="W981" s="111"/>
      <c r="X981" s="111"/>
      <c r="Y981" s="111"/>
      <c r="Z981" s="105"/>
      <c r="AA981" s="105"/>
      <c r="AB981" s="105"/>
    </row>
    <row r="982" spans="2:28" ht="21" customHeight="1">
      <c r="B982" s="105"/>
      <c r="C982" s="105"/>
      <c r="D982" s="105"/>
      <c r="E982" s="105"/>
      <c r="F982" s="114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11"/>
      <c r="T982" s="111"/>
      <c r="U982" s="111"/>
      <c r="V982" s="111"/>
      <c r="W982" s="111"/>
      <c r="X982" s="111"/>
      <c r="Y982" s="111"/>
      <c r="Z982" s="105"/>
      <c r="AA982" s="105"/>
      <c r="AB982" s="105"/>
    </row>
    <row r="983" spans="2:28" ht="21" customHeight="1">
      <c r="B983" s="105"/>
      <c r="C983" s="105"/>
      <c r="D983" s="105"/>
      <c r="E983" s="105"/>
      <c r="F983" s="114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11"/>
      <c r="T983" s="111"/>
      <c r="U983" s="111"/>
      <c r="V983" s="111"/>
      <c r="W983" s="111"/>
      <c r="X983" s="111"/>
      <c r="Y983" s="111"/>
      <c r="Z983" s="105"/>
      <c r="AA983" s="105"/>
      <c r="AB983" s="105"/>
    </row>
    <row r="984" spans="2:28" ht="21" customHeight="1">
      <c r="B984" s="105"/>
      <c r="C984" s="105"/>
      <c r="D984" s="105"/>
      <c r="E984" s="105"/>
      <c r="F984" s="114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11"/>
      <c r="T984" s="111"/>
      <c r="U984" s="111"/>
      <c r="V984" s="111"/>
      <c r="W984" s="111"/>
      <c r="X984" s="111"/>
      <c r="Y984" s="111"/>
      <c r="Z984" s="105"/>
      <c r="AA984" s="105"/>
      <c r="AB984" s="105"/>
    </row>
    <row r="985" spans="2:28" ht="21" customHeight="1">
      <c r="B985" s="105"/>
      <c r="C985" s="105"/>
      <c r="D985" s="105"/>
      <c r="E985" s="105"/>
      <c r="F985" s="114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11"/>
      <c r="T985" s="111"/>
      <c r="U985" s="111"/>
      <c r="V985" s="111"/>
      <c r="W985" s="111"/>
      <c r="X985" s="111"/>
      <c r="Y985" s="111"/>
      <c r="Z985" s="105"/>
      <c r="AA985" s="105"/>
      <c r="AB985" s="105"/>
    </row>
    <row r="986" spans="2:28" ht="21" customHeight="1">
      <c r="B986" s="105"/>
      <c r="C986" s="105"/>
      <c r="D986" s="105"/>
      <c r="E986" s="105"/>
      <c r="F986" s="114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11"/>
      <c r="T986" s="111"/>
      <c r="U986" s="111"/>
      <c r="V986" s="111"/>
      <c r="W986" s="111"/>
      <c r="X986" s="111"/>
      <c r="Y986" s="111"/>
      <c r="Z986" s="105"/>
      <c r="AA986" s="105"/>
      <c r="AB986" s="105"/>
    </row>
    <row r="987" spans="2:28" ht="21" customHeight="1">
      <c r="B987" s="105"/>
      <c r="C987" s="105"/>
      <c r="D987" s="105"/>
      <c r="E987" s="105"/>
      <c r="F987" s="114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11"/>
      <c r="T987" s="111"/>
      <c r="U987" s="111"/>
      <c r="V987" s="111"/>
      <c r="W987" s="111"/>
      <c r="X987" s="111"/>
      <c r="Y987" s="111"/>
      <c r="Z987" s="105"/>
      <c r="AA987" s="105"/>
      <c r="AB987" s="105"/>
    </row>
    <row r="988" spans="2:28" ht="21" customHeight="1">
      <c r="B988" s="105"/>
      <c r="C988" s="105"/>
      <c r="D988" s="105"/>
      <c r="E988" s="105"/>
      <c r="F988" s="114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11"/>
      <c r="T988" s="111"/>
      <c r="U988" s="111"/>
      <c r="V988" s="111"/>
      <c r="W988" s="111"/>
      <c r="X988" s="111"/>
      <c r="Y988" s="111"/>
      <c r="Z988" s="105"/>
      <c r="AA988" s="105"/>
      <c r="AB988" s="105"/>
    </row>
    <row r="989" spans="2:28" ht="21" customHeight="1">
      <c r="B989" s="105"/>
      <c r="C989" s="105"/>
      <c r="D989" s="105"/>
      <c r="E989" s="105"/>
      <c r="F989" s="114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11"/>
      <c r="T989" s="111"/>
      <c r="U989" s="111"/>
      <c r="V989" s="111"/>
      <c r="W989" s="111"/>
      <c r="X989" s="111"/>
      <c r="Y989" s="111"/>
      <c r="Z989" s="105"/>
      <c r="AA989" s="105"/>
      <c r="AB989" s="105"/>
    </row>
    <row r="990" spans="2:28" ht="21" customHeight="1">
      <c r="B990" s="105"/>
      <c r="C990" s="105"/>
      <c r="D990" s="105"/>
      <c r="E990" s="105"/>
      <c r="F990" s="114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11"/>
      <c r="T990" s="111"/>
      <c r="U990" s="111"/>
      <c r="V990" s="111"/>
      <c r="W990" s="111"/>
      <c r="X990" s="111"/>
      <c r="Y990" s="111"/>
      <c r="Z990" s="105"/>
      <c r="AA990" s="105"/>
      <c r="AB990" s="105"/>
    </row>
    <row r="991" spans="2:28" ht="21" customHeight="1">
      <c r="B991" s="105"/>
      <c r="C991" s="105"/>
      <c r="D991" s="105"/>
      <c r="E991" s="105"/>
      <c r="F991" s="114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11"/>
      <c r="T991" s="111"/>
      <c r="U991" s="111"/>
      <c r="V991" s="111"/>
      <c r="W991" s="111"/>
      <c r="X991" s="111"/>
      <c r="Y991" s="111"/>
      <c r="Z991" s="105"/>
      <c r="AA991" s="105"/>
      <c r="AB991" s="105"/>
    </row>
    <row r="992" spans="2:28" ht="21" customHeight="1">
      <c r="B992" s="105"/>
      <c r="C992" s="105"/>
      <c r="D992" s="105"/>
      <c r="E992" s="105"/>
      <c r="F992" s="114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11"/>
      <c r="T992" s="111"/>
      <c r="U992" s="111"/>
      <c r="V992" s="111"/>
      <c r="W992" s="111"/>
      <c r="X992" s="111"/>
      <c r="Y992" s="111"/>
      <c r="Z992" s="105"/>
      <c r="AA992" s="105"/>
      <c r="AB992" s="105"/>
    </row>
    <row r="993" spans="2:28" ht="21" customHeight="1">
      <c r="B993" s="105"/>
      <c r="C993" s="105"/>
      <c r="D993" s="105"/>
      <c r="E993" s="105"/>
      <c r="F993" s="114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11"/>
      <c r="T993" s="111"/>
      <c r="U993" s="111"/>
      <c r="V993" s="111"/>
      <c r="W993" s="111"/>
      <c r="X993" s="111"/>
      <c r="Y993" s="111"/>
      <c r="Z993" s="105"/>
      <c r="AA993" s="105"/>
      <c r="AB993" s="105"/>
    </row>
    <row r="994" spans="2:28" ht="21" customHeight="1">
      <c r="B994" s="105"/>
      <c r="C994" s="105"/>
      <c r="D994" s="105"/>
      <c r="E994" s="105"/>
      <c r="F994" s="114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11"/>
      <c r="T994" s="111"/>
      <c r="U994" s="111"/>
      <c r="V994" s="111"/>
      <c r="W994" s="111"/>
      <c r="X994" s="111"/>
      <c r="Y994" s="111"/>
      <c r="Z994" s="105"/>
      <c r="AA994" s="105"/>
      <c r="AB994" s="105"/>
    </row>
    <row r="995" spans="2:28" ht="21" customHeight="1">
      <c r="B995" s="105"/>
      <c r="C995" s="105"/>
      <c r="D995" s="105"/>
      <c r="E995" s="105"/>
      <c r="F995" s="114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11"/>
      <c r="T995" s="111"/>
      <c r="U995" s="111"/>
      <c r="V995" s="111"/>
      <c r="W995" s="111"/>
      <c r="X995" s="111"/>
      <c r="Y995" s="111"/>
      <c r="Z995" s="105"/>
      <c r="AA995" s="105"/>
      <c r="AB995" s="105"/>
    </row>
    <row r="996" spans="2:28" ht="21" customHeight="1">
      <c r="B996" s="105"/>
      <c r="C996" s="105"/>
      <c r="D996" s="105"/>
      <c r="E996" s="105"/>
      <c r="F996" s="114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11"/>
      <c r="T996" s="111"/>
      <c r="U996" s="111"/>
      <c r="V996" s="111"/>
      <c r="W996" s="111"/>
      <c r="X996" s="111"/>
      <c r="Y996" s="111"/>
      <c r="Z996" s="105"/>
      <c r="AA996" s="105"/>
      <c r="AB996" s="105"/>
    </row>
    <row r="997" spans="2:28" ht="21" customHeight="1">
      <c r="B997" s="105"/>
      <c r="C997" s="105"/>
      <c r="D997" s="105"/>
      <c r="E997" s="105"/>
      <c r="F997" s="114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11"/>
      <c r="T997" s="111"/>
      <c r="U997" s="111"/>
      <c r="V997" s="111"/>
      <c r="W997" s="111"/>
      <c r="X997" s="111"/>
      <c r="Y997" s="111"/>
      <c r="Z997" s="105"/>
      <c r="AA997" s="105"/>
      <c r="AB997" s="105"/>
    </row>
    <row r="998" spans="2:28" ht="21" customHeight="1">
      <c r="B998" s="105"/>
      <c r="C998" s="105"/>
      <c r="D998" s="105"/>
      <c r="E998" s="105"/>
      <c r="F998" s="114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11"/>
      <c r="T998" s="111"/>
      <c r="U998" s="111"/>
      <c r="V998" s="111"/>
      <c r="W998" s="111"/>
      <c r="X998" s="111"/>
      <c r="Y998" s="111"/>
      <c r="Z998" s="105"/>
      <c r="AA998" s="105"/>
      <c r="AB998" s="105"/>
    </row>
    <row r="999" spans="2:28" ht="21" customHeight="1">
      <c r="B999" s="105"/>
      <c r="C999" s="105"/>
      <c r="D999" s="105"/>
      <c r="E999" s="105"/>
      <c r="F999" s="114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11"/>
      <c r="T999" s="111"/>
      <c r="U999" s="111"/>
      <c r="V999" s="111"/>
      <c r="W999" s="111"/>
      <c r="X999" s="111"/>
      <c r="Y999" s="111"/>
      <c r="Z999" s="105"/>
      <c r="AA999" s="105"/>
      <c r="AB999" s="105"/>
    </row>
    <row r="1000" spans="2:28" ht="21" customHeight="1">
      <c r="B1000" s="105"/>
      <c r="C1000" s="105"/>
      <c r="D1000" s="105"/>
      <c r="E1000" s="105"/>
      <c r="F1000" s="114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11"/>
      <c r="T1000" s="111"/>
      <c r="U1000" s="111"/>
      <c r="V1000" s="111"/>
      <c r="W1000" s="111"/>
      <c r="X1000" s="111"/>
      <c r="Y1000" s="111"/>
      <c r="Z1000" s="105"/>
      <c r="AA1000" s="105"/>
      <c r="AB1000" s="105"/>
    </row>
  </sheetData>
  <pageMargins left="0.7" right="0.7" top="0.75" bottom="0.75" header="0" footer="0"/>
  <pageSetup orientation="portrait"/>
  <colBreaks count="1" manualBreakCount="1">
    <brk id="2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200"/>
  <sheetViews>
    <sheetView workbookViewId="0">
      <pane xSplit="13" ySplit="3" topLeftCell="N380" activePane="bottomRight" state="frozen"/>
      <selection pane="topRight" activeCell="N1" sqref="N1"/>
      <selection pane="bottomLeft" activeCell="A4" sqref="A4"/>
      <selection pane="bottomRight" activeCell="A3" sqref="A3:XFD3"/>
    </sheetView>
  </sheetViews>
  <sheetFormatPr baseColWidth="10" defaultColWidth="14.5" defaultRowHeight="15" customHeight="1"/>
  <cols>
    <col min="1" max="1" width="1.83203125" customWidth="1"/>
    <col min="2" max="2" width="14.1640625" customWidth="1"/>
    <col min="3" max="3" width="94.6640625" customWidth="1"/>
    <col min="4" max="4" width="9.33203125" customWidth="1"/>
    <col min="5" max="5" width="18.1640625" customWidth="1"/>
    <col min="6" max="6" width="14.6640625" hidden="1" customWidth="1"/>
    <col min="7" max="13" width="13.5" hidden="1" customWidth="1"/>
    <col min="14" max="14" width="19.83203125" customWidth="1"/>
    <col min="15" max="15" width="25.33203125" customWidth="1"/>
    <col min="16" max="16" width="19.83203125" customWidth="1"/>
    <col min="17" max="17" width="0.1640625" customWidth="1"/>
    <col min="18" max="18" width="9.5" customWidth="1"/>
    <col min="19" max="22" width="0.1640625" customWidth="1"/>
    <col min="23" max="23" width="21.5" customWidth="1"/>
    <col min="24" max="25" width="0.1640625" customWidth="1"/>
    <col min="26" max="26" width="50.1640625" customWidth="1"/>
    <col min="27" max="27" width="14.5" hidden="1"/>
  </cols>
  <sheetData>
    <row r="1" spans="1:30" ht="53.25" customHeight="1">
      <c r="A1" s="1"/>
      <c r="B1" s="115" t="s">
        <v>686</v>
      </c>
      <c r="C1" s="1"/>
      <c r="D1" s="3"/>
      <c r="E1" s="3"/>
      <c r="F1" s="1"/>
      <c r="G1" s="1"/>
      <c r="H1" s="1"/>
      <c r="I1" s="1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30" ht="27" customHeight="1">
      <c r="A2" s="1"/>
      <c r="B2" s="3"/>
      <c r="C2" s="1"/>
      <c r="D2" s="3"/>
      <c r="E2" s="3"/>
      <c r="F2" s="1"/>
      <c r="G2" s="1">
        <v>6</v>
      </c>
      <c r="H2" s="1">
        <v>7</v>
      </c>
      <c r="I2" s="1">
        <v>8</v>
      </c>
      <c r="J2" s="52">
        <v>9</v>
      </c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116">
        <v>1.18</v>
      </c>
    </row>
    <row r="3" spans="1:30" ht="62.25" customHeight="1">
      <c r="A3" s="14"/>
      <c r="B3" s="117" t="s">
        <v>1</v>
      </c>
      <c r="C3" s="118" t="s">
        <v>2</v>
      </c>
      <c r="D3" s="119" t="s">
        <v>3</v>
      </c>
      <c r="E3" s="120" t="s">
        <v>4</v>
      </c>
      <c r="F3" s="10" t="s">
        <v>5</v>
      </c>
      <c r="G3" s="121">
        <v>45107</v>
      </c>
      <c r="H3" s="121">
        <v>45138</v>
      </c>
      <c r="I3" s="121">
        <v>45169</v>
      </c>
      <c r="J3" s="121">
        <v>45199</v>
      </c>
      <c r="K3" s="121">
        <v>45230</v>
      </c>
      <c r="L3" s="121">
        <v>45260</v>
      </c>
      <c r="M3" s="121">
        <v>45291</v>
      </c>
      <c r="N3" s="121">
        <v>45322</v>
      </c>
      <c r="O3" s="121">
        <v>45351</v>
      </c>
      <c r="P3" s="121">
        <v>45382</v>
      </c>
      <c r="Q3" s="121">
        <v>45412</v>
      </c>
      <c r="R3" s="121">
        <v>45443</v>
      </c>
      <c r="S3" s="121">
        <v>45473</v>
      </c>
      <c r="T3" s="121">
        <v>45504</v>
      </c>
      <c r="U3" s="121">
        <v>45535</v>
      </c>
      <c r="V3" s="121">
        <v>45561</v>
      </c>
      <c r="W3" s="121">
        <v>45591</v>
      </c>
      <c r="X3" s="121">
        <v>45622</v>
      </c>
      <c r="Y3" s="121">
        <v>45652</v>
      </c>
      <c r="Z3" s="122" t="s">
        <v>687</v>
      </c>
      <c r="AB3" s="319" t="s">
        <v>1424</v>
      </c>
      <c r="AC3" s="319" t="s">
        <v>1425</v>
      </c>
      <c r="AD3" s="321" t="s">
        <v>1426</v>
      </c>
    </row>
    <row r="4" spans="1:30" ht="24.75" customHeight="1">
      <c r="A4" s="123"/>
      <c r="B4" s="15"/>
      <c r="C4" s="16" t="s">
        <v>688</v>
      </c>
      <c r="D4" s="23"/>
      <c r="E4" s="24"/>
      <c r="F4" s="3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124"/>
    </row>
    <row r="5" spans="1:30" ht="24.75" customHeight="1">
      <c r="A5" s="123"/>
      <c r="B5" s="125">
        <v>1</v>
      </c>
      <c r="C5" s="29" t="s">
        <v>689</v>
      </c>
      <c r="D5" s="23">
        <v>1</v>
      </c>
      <c r="E5" s="102" t="s">
        <v>312</v>
      </c>
      <c r="F5" s="39"/>
      <c r="G5" s="32"/>
      <c r="H5" s="32"/>
      <c r="I5" s="32"/>
      <c r="J5" s="32"/>
      <c r="K5" s="32"/>
      <c r="L5" s="32"/>
      <c r="M5" s="32"/>
      <c r="N5" s="32">
        <f t="shared" ref="N5:N106" si="0">AA5/$AA$2</f>
        <v>576.27118644067798</v>
      </c>
      <c r="O5" s="32">
        <v>576.27118644067798</v>
      </c>
      <c r="P5" s="32">
        <v>576.27118644067798</v>
      </c>
      <c r="Q5" s="32">
        <v>576.27118644067798</v>
      </c>
      <c r="R5" s="32">
        <v>576.27118644067798</v>
      </c>
      <c r="S5" s="32">
        <v>576.27118644067798</v>
      </c>
      <c r="T5" s="32">
        <v>576.27118644067798</v>
      </c>
      <c r="U5" s="32">
        <v>576.27118644067798</v>
      </c>
      <c r="V5" s="32">
        <v>576.27118644067798</v>
      </c>
      <c r="W5" s="32">
        <v>576.27118644067798</v>
      </c>
      <c r="X5" s="32">
        <v>576.27118644067798</v>
      </c>
      <c r="Y5" s="32">
        <v>576.27118644067798</v>
      </c>
      <c r="Z5" s="124" t="s">
        <v>690</v>
      </c>
      <c r="AA5" s="126">
        <v>680</v>
      </c>
      <c r="AB5" s="16" t="s">
        <v>688</v>
      </c>
    </row>
    <row r="6" spans="1:30" ht="24.75" customHeight="1">
      <c r="A6" s="123"/>
      <c r="B6" s="125">
        <v>2</v>
      </c>
      <c r="C6" s="29" t="s">
        <v>691</v>
      </c>
      <c r="D6" s="23">
        <v>1</v>
      </c>
      <c r="E6" s="102" t="s">
        <v>312</v>
      </c>
      <c r="F6" s="39"/>
      <c r="G6" s="32"/>
      <c r="H6" s="32"/>
      <c r="I6" s="32"/>
      <c r="J6" s="32"/>
      <c r="K6" s="32"/>
      <c r="L6" s="32"/>
      <c r="M6" s="32"/>
      <c r="N6" s="32">
        <f t="shared" si="0"/>
        <v>1135.5932203389832</v>
      </c>
      <c r="O6" s="32">
        <v>1135.5932203389832</v>
      </c>
      <c r="P6" s="32">
        <v>1135.5932203389832</v>
      </c>
      <c r="Q6" s="32">
        <v>1135.5932203389832</v>
      </c>
      <c r="R6" s="32">
        <v>1135.5932203389832</v>
      </c>
      <c r="S6" s="32">
        <v>1135.5932203389832</v>
      </c>
      <c r="T6" s="32">
        <v>1135.5932203389832</v>
      </c>
      <c r="U6" s="32">
        <v>1135.5932203389832</v>
      </c>
      <c r="V6" s="32">
        <v>1135.5932203389832</v>
      </c>
      <c r="W6" s="32">
        <v>1135.5932203389832</v>
      </c>
      <c r="X6" s="32">
        <v>1135.5932203389832</v>
      </c>
      <c r="Y6" s="32">
        <v>1135.5932203389832</v>
      </c>
      <c r="Z6" s="124" t="s">
        <v>690</v>
      </c>
      <c r="AA6" s="126">
        <v>1340</v>
      </c>
      <c r="AB6" s="16" t="s">
        <v>688</v>
      </c>
    </row>
    <row r="7" spans="1:30" ht="24.75" customHeight="1">
      <c r="A7" s="123"/>
      <c r="B7" s="125">
        <v>3</v>
      </c>
      <c r="C7" s="29" t="s">
        <v>692</v>
      </c>
      <c r="D7" s="23">
        <v>1</v>
      </c>
      <c r="E7" s="102" t="s">
        <v>312</v>
      </c>
      <c r="F7" s="39"/>
      <c r="G7" s="32"/>
      <c r="H7" s="32"/>
      <c r="I7" s="32"/>
      <c r="J7" s="32"/>
      <c r="K7" s="32"/>
      <c r="L7" s="32"/>
      <c r="M7" s="32"/>
      <c r="N7" s="32">
        <f t="shared" si="0"/>
        <v>1525.4237288135594</v>
      </c>
      <c r="O7" s="32">
        <v>1525.4237288135594</v>
      </c>
      <c r="P7" s="32">
        <v>1525.4237288135594</v>
      </c>
      <c r="Q7" s="32">
        <v>1525.4237288135594</v>
      </c>
      <c r="R7" s="32">
        <v>1525.4237288135594</v>
      </c>
      <c r="S7" s="32">
        <v>1525.4237288135594</v>
      </c>
      <c r="T7" s="32">
        <v>1525.4237288135594</v>
      </c>
      <c r="U7" s="32">
        <v>1525.4237288135594</v>
      </c>
      <c r="V7" s="32">
        <v>1525.4237288135594</v>
      </c>
      <c r="W7" s="32">
        <v>1525.4237288135594</v>
      </c>
      <c r="X7" s="32">
        <v>1525.4237288135594</v>
      </c>
      <c r="Y7" s="32">
        <v>1525.4237288135594</v>
      </c>
      <c r="Z7" s="124" t="s">
        <v>690</v>
      </c>
      <c r="AA7" s="126">
        <v>1800</v>
      </c>
      <c r="AB7" s="16" t="s">
        <v>688</v>
      </c>
    </row>
    <row r="8" spans="1:30" ht="24.75" customHeight="1">
      <c r="A8" s="123"/>
      <c r="B8" s="125">
        <v>4</v>
      </c>
      <c r="C8" s="29" t="s">
        <v>693</v>
      </c>
      <c r="D8" s="23">
        <v>1</v>
      </c>
      <c r="E8" s="102" t="s">
        <v>312</v>
      </c>
      <c r="F8" s="39"/>
      <c r="G8" s="32"/>
      <c r="H8" s="32"/>
      <c r="I8" s="32"/>
      <c r="J8" s="32"/>
      <c r="K8" s="32"/>
      <c r="L8" s="32"/>
      <c r="M8" s="32"/>
      <c r="N8" s="32">
        <f t="shared" si="0"/>
        <v>2406.7796610169494</v>
      </c>
      <c r="O8" s="32">
        <v>2406.7796610169494</v>
      </c>
      <c r="P8" s="32">
        <v>2406.7796610169494</v>
      </c>
      <c r="Q8" s="32">
        <v>2406.7796610169494</v>
      </c>
      <c r="R8" s="32">
        <v>2406.7796610169494</v>
      </c>
      <c r="S8" s="32">
        <v>2406.7796610169494</v>
      </c>
      <c r="T8" s="32">
        <v>2406.7796610169494</v>
      </c>
      <c r="U8" s="32">
        <v>2406.7796610169494</v>
      </c>
      <c r="V8" s="32">
        <v>2406.7796610169494</v>
      </c>
      <c r="W8" s="32">
        <v>2406.7796610169494</v>
      </c>
      <c r="X8" s="32">
        <v>2406.7796610169494</v>
      </c>
      <c r="Y8" s="32">
        <v>2406.7796610169494</v>
      </c>
      <c r="Z8" s="124" t="s">
        <v>690</v>
      </c>
      <c r="AA8" s="126">
        <v>2840</v>
      </c>
      <c r="AB8" s="16" t="s">
        <v>688</v>
      </c>
    </row>
    <row r="9" spans="1:30" ht="24.75" customHeight="1">
      <c r="A9" s="123"/>
      <c r="B9" s="125">
        <v>5</v>
      </c>
      <c r="C9" s="29" t="s">
        <v>694</v>
      </c>
      <c r="D9" s="23">
        <v>1</v>
      </c>
      <c r="E9" s="102" t="s">
        <v>312</v>
      </c>
      <c r="F9" s="39"/>
      <c r="G9" s="32"/>
      <c r="H9" s="32"/>
      <c r="I9" s="32"/>
      <c r="J9" s="32"/>
      <c r="K9" s="32"/>
      <c r="L9" s="32"/>
      <c r="M9" s="32"/>
      <c r="N9" s="32">
        <f t="shared" si="0"/>
        <v>3745.7627118644068</v>
      </c>
      <c r="O9" s="32">
        <v>3745.7627118644068</v>
      </c>
      <c r="P9" s="32">
        <v>3745.7627118644068</v>
      </c>
      <c r="Q9" s="32">
        <v>3745.7627118644068</v>
      </c>
      <c r="R9" s="32">
        <v>3745.7627118644068</v>
      </c>
      <c r="S9" s="32">
        <v>3745.7627118644068</v>
      </c>
      <c r="T9" s="32">
        <v>3745.7627118644068</v>
      </c>
      <c r="U9" s="32">
        <v>3745.7627118644068</v>
      </c>
      <c r="V9" s="32">
        <v>3745.7627118644068</v>
      </c>
      <c r="W9" s="32">
        <v>3745.7627118644068</v>
      </c>
      <c r="X9" s="32">
        <v>3745.7627118644068</v>
      </c>
      <c r="Y9" s="32">
        <v>3745.7627118644068</v>
      </c>
      <c r="Z9" s="124" t="s">
        <v>690</v>
      </c>
      <c r="AA9" s="126">
        <v>4420</v>
      </c>
      <c r="AB9" s="16" t="s">
        <v>688</v>
      </c>
    </row>
    <row r="10" spans="1:30" ht="24.75" customHeight="1">
      <c r="A10" s="123"/>
      <c r="B10" s="125">
        <v>6</v>
      </c>
      <c r="C10" s="29" t="s">
        <v>695</v>
      </c>
      <c r="D10" s="23">
        <v>1</v>
      </c>
      <c r="E10" s="102" t="s">
        <v>312</v>
      </c>
      <c r="F10" s="39"/>
      <c r="G10" s="32"/>
      <c r="H10" s="32"/>
      <c r="I10" s="32"/>
      <c r="J10" s="32"/>
      <c r="K10" s="32"/>
      <c r="L10" s="32"/>
      <c r="M10" s="32"/>
      <c r="N10" s="32">
        <f t="shared" si="0"/>
        <v>5864.406779661017</v>
      </c>
      <c r="O10" s="32">
        <v>5864.406779661017</v>
      </c>
      <c r="P10" s="32">
        <v>5864.406779661017</v>
      </c>
      <c r="Q10" s="32">
        <v>5864.406779661017</v>
      </c>
      <c r="R10" s="32">
        <v>5864.406779661017</v>
      </c>
      <c r="S10" s="32">
        <v>5864.406779661017</v>
      </c>
      <c r="T10" s="32">
        <v>5864.406779661017</v>
      </c>
      <c r="U10" s="32">
        <v>5864.406779661017</v>
      </c>
      <c r="V10" s="32">
        <v>5864.406779661017</v>
      </c>
      <c r="W10" s="32">
        <v>5864.406779661017</v>
      </c>
      <c r="X10" s="32">
        <v>5864.406779661017</v>
      </c>
      <c r="Y10" s="32">
        <v>5864.406779661017</v>
      </c>
      <c r="Z10" s="124" t="s">
        <v>690</v>
      </c>
      <c r="AA10" s="126">
        <v>6920</v>
      </c>
      <c r="AB10" s="16" t="s">
        <v>688</v>
      </c>
    </row>
    <row r="11" spans="1:30" ht="24.75" customHeight="1">
      <c r="A11" s="123"/>
      <c r="B11" s="125">
        <v>7</v>
      </c>
      <c r="C11" s="29" t="s">
        <v>696</v>
      </c>
      <c r="D11" s="23">
        <v>1</v>
      </c>
      <c r="E11" s="102" t="s">
        <v>312</v>
      </c>
      <c r="F11" s="39"/>
      <c r="G11" s="32"/>
      <c r="H11" s="32"/>
      <c r="I11" s="32"/>
      <c r="J11" s="32"/>
      <c r="K11" s="32"/>
      <c r="L11" s="32"/>
      <c r="M11" s="32"/>
      <c r="N11" s="32">
        <f t="shared" si="0"/>
        <v>6864.406779661017</v>
      </c>
      <c r="O11" s="32">
        <v>6864.406779661017</v>
      </c>
      <c r="P11" s="32">
        <v>6864.406779661017</v>
      </c>
      <c r="Q11" s="32">
        <v>6864.406779661017</v>
      </c>
      <c r="R11" s="32">
        <v>6864.406779661017</v>
      </c>
      <c r="S11" s="32">
        <v>6864.406779661017</v>
      </c>
      <c r="T11" s="32">
        <v>6864.406779661017</v>
      </c>
      <c r="U11" s="32">
        <v>6864.406779661017</v>
      </c>
      <c r="V11" s="32">
        <v>6864.406779661017</v>
      </c>
      <c r="W11" s="32">
        <v>6864.406779661017</v>
      </c>
      <c r="X11" s="32">
        <v>6864.406779661017</v>
      </c>
      <c r="Y11" s="32">
        <v>6864.406779661017</v>
      </c>
      <c r="Z11" s="124" t="s">
        <v>690</v>
      </c>
      <c r="AA11" s="126">
        <v>8100</v>
      </c>
      <c r="AB11" s="16" t="s">
        <v>688</v>
      </c>
    </row>
    <row r="12" spans="1:30" ht="24.75" customHeight="1">
      <c r="A12" s="123"/>
      <c r="B12" s="125">
        <v>8</v>
      </c>
      <c r="C12" s="29" t="s">
        <v>697</v>
      </c>
      <c r="D12" s="23">
        <v>1</v>
      </c>
      <c r="E12" s="102" t="s">
        <v>312</v>
      </c>
      <c r="F12" s="39"/>
      <c r="G12" s="32"/>
      <c r="H12" s="32"/>
      <c r="I12" s="32"/>
      <c r="J12" s="32"/>
      <c r="K12" s="32"/>
      <c r="L12" s="32"/>
      <c r="M12" s="32"/>
      <c r="N12" s="32">
        <f t="shared" si="0"/>
        <v>14771.186440677968</v>
      </c>
      <c r="O12" s="32">
        <v>14771.186440677968</v>
      </c>
      <c r="P12" s="32">
        <v>14771.186440677968</v>
      </c>
      <c r="Q12" s="32">
        <v>14771.186440677968</v>
      </c>
      <c r="R12" s="32">
        <v>14771.186440677968</v>
      </c>
      <c r="S12" s="32">
        <v>14771.186440677968</v>
      </c>
      <c r="T12" s="32">
        <v>14771.186440677968</v>
      </c>
      <c r="U12" s="32">
        <v>14771.186440677968</v>
      </c>
      <c r="V12" s="32">
        <v>14771.186440677968</v>
      </c>
      <c r="W12" s="32">
        <v>14771.186440677968</v>
      </c>
      <c r="X12" s="32">
        <v>14771.186440677968</v>
      </c>
      <c r="Y12" s="32">
        <v>14771.186440677968</v>
      </c>
      <c r="Z12" s="124" t="s">
        <v>690</v>
      </c>
      <c r="AA12" s="126">
        <v>17430</v>
      </c>
      <c r="AB12" s="16" t="s">
        <v>688</v>
      </c>
    </row>
    <row r="13" spans="1:30" ht="24.75" customHeight="1">
      <c r="A13" s="123"/>
      <c r="B13" s="125">
        <v>9</v>
      </c>
      <c r="C13" s="29" t="s">
        <v>698</v>
      </c>
      <c r="D13" s="23">
        <v>1</v>
      </c>
      <c r="E13" s="102" t="s">
        <v>312</v>
      </c>
      <c r="F13" s="39"/>
      <c r="G13" s="32"/>
      <c r="H13" s="32"/>
      <c r="I13" s="32"/>
      <c r="J13" s="32"/>
      <c r="K13" s="32"/>
      <c r="L13" s="32"/>
      <c r="M13" s="32"/>
      <c r="N13" s="32">
        <f t="shared" si="0"/>
        <v>18000</v>
      </c>
      <c r="O13" s="32">
        <v>18000</v>
      </c>
      <c r="P13" s="32">
        <v>18000</v>
      </c>
      <c r="Q13" s="32">
        <v>18000</v>
      </c>
      <c r="R13" s="32">
        <v>18000</v>
      </c>
      <c r="S13" s="32">
        <v>18000</v>
      </c>
      <c r="T13" s="32">
        <v>18000</v>
      </c>
      <c r="U13" s="32">
        <v>18000</v>
      </c>
      <c r="V13" s="32">
        <v>18000</v>
      </c>
      <c r="W13" s="32">
        <v>18000</v>
      </c>
      <c r="X13" s="32">
        <v>18000</v>
      </c>
      <c r="Y13" s="32">
        <v>18000</v>
      </c>
      <c r="Z13" s="124" t="s">
        <v>690</v>
      </c>
      <c r="AA13" s="126">
        <v>21240</v>
      </c>
      <c r="AB13" s="16" t="s">
        <v>688</v>
      </c>
    </row>
    <row r="14" spans="1:30" ht="24.75" customHeight="1">
      <c r="A14" s="123"/>
      <c r="B14" s="125">
        <v>10</v>
      </c>
      <c r="C14" s="29" t="s">
        <v>699</v>
      </c>
      <c r="D14" s="23">
        <v>1</v>
      </c>
      <c r="E14" s="102" t="s">
        <v>312</v>
      </c>
      <c r="F14" s="39"/>
      <c r="G14" s="32"/>
      <c r="H14" s="32"/>
      <c r="I14" s="32"/>
      <c r="J14" s="32"/>
      <c r="K14" s="32"/>
      <c r="L14" s="32"/>
      <c r="M14" s="32"/>
      <c r="N14" s="32">
        <f t="shared" si="0"/>
        <v>27966.101694915254</v>
      </c>
      <c r="O14" s="32">
        <v>27966.101694915254</v>
      </c>
      <c r="P14" s="32">
        <v>27966.101694915254</v>
      </c>
      <c r="Q14" s="32">
        <v>27966.101694915254</v>
      </c>
      <c r="R14" s="32">
        <v>27966.101694915254</v>
      </c>
      <c r="S14" s="32">
        <v>27966.101694915254</v>
      </c>
      <c r="T14" s="32">
        <v>27966.101694915254</v>
      </c>
      <c r="U14" s="32">
        <v>27966.101694915254</v>
      </c>
      <c r="V14" s="32">
        <v>27966.101694915254</v>
      </c>
      <c r="W14" s="32">
        <v>27966.101694915254</v>
      </c>
      <c r="X14" s="32">
        <v>27966.101694915254</v>
      </c>
      <c r="Y14" s="32">
        <v>27966.101694915254</v>
      </c>
      <c r="Z14" s="124" t="s">
        <v>690</v>
      </c>
      <c r="AA14" s="126">
        <v>33000</v>
      </c>
      <c r="AB14" s="16" t="s">
        <v>688</v>
      </c>
    </row>
    <row r="15" spans="1:30" ht="24.75" customHeight="1">
      <c r="A15" s="123"/>
      <c r="B15" s="125">
        <v>11</v>
      </c>
      <c r="C15" s="29" t="s">
        <v>700</v>
      </c>
      <c r="D15" s="23">
        <v>1</v>
      </c>
      <c r="E15" s="102" t="s">
        <v>312</v>
      </c>
      <c r="F15" s="39"/>
      <c r="G15" s="32"/>
      <c r="H15" s="32"/>
      <c r="I15" s="32"/>
      <c r="J15" s="32"/>
      <c r="K15" s="32"/>
      <c r="L15" s="32"/>
      <c r="M15" s="32"/>
      <c r="N15" s="32">
        <f t="shared" si="0"/>
        <v>37677.966101694918</v>
      </c>
      <c r="O15" s="32">
        <v>37677.966101694918</v>
      </c>
      <c r="P15" s="32">
        <v>37677.966101694918</v>
      </c>
      <c r="Q15" s="32">
        <v>37677.966101694918</v>
      </c>
      <c r="R15" s="32">
        <v>37677.966101694918</v>
      </c>
      <c r="S15" s="32">
        <v>37677.966101694918</v>
      </c>
      <c r="T15" s="32">
        <v>37677.966101694918</v>
      </c>
      <c r="U15" s="32">
        <v>37677.966101694918</v>
      </c>
      <c r="V15" s="32">
        <v>37677.966101694918</v>
      </c>
      <c r="W15" s="32">
        <v>37677.966101694918</v>
      </c>
      <c r="X15" s="32">
        <v>37677.966101694918</v>
      </c>
      <c r="Y15" s="32">
        <v>37677.966101694918</v>
      </c>
      <c r="Z15" s="124" t="s">
        <v>690</v>
      </c>
      <c r="AA15" s="126">
        <v>44460</v>
      </c>
      <c r="AB15" s="16" t="s">
        <v>688</v>
      </c>
    </row>
    <row r="16" spans="1:30" ht="24.75" customHeight="1">
      <c r="A16" s="123"/>
      <c r="B16" s="125">
        <v>12</v>
      </c>
      <c r="C16" s="29" t="s">
        <v>701</v>
      </c>
      <c r="D16" s="23">
        <v>1</v>
      </c>
      <c r="E16" s="102" t="s">
        <v>312</v>
      </c>
      <c r="F16" s="39"/>
      <c r="G16" s="32"/>
      <c r="H16" s="32"/>
      <c r="I16" s="32"/>
      <c r="J16" s="32"/>
      <c r="K16" s="32"/>
      <c r="L16" s="32"/>
      <c r="M16" s="32"/>
      <c r="N16" s="32">
        <f t="shared" si="0"/>
        <v>73983.050847457635</v>
      </c>
      <c r="O16" s="32">
        <v>73983.050847457635</v>
      </c>
      <c r="P16" s="32">
        <v>73983.050847457635</v>
      </c>
      <c r="Q16" s="32">
        <v>73983.050847457635</v>
      </c>
      <c r="R16" s="32">
        <v>73983.050847457635</v>
      </c>
      <c r="S16" s="32">
        <v>73983.050847457635</v>
      </c>
      <c r="T16" s="32">
        <v>73983.050847457635</v>
      </c>
      <c r="U16" s="32">
        <v>73983.050847457635</v>
      </c>
      <c r="V16" s="32">
        <v>73983.050847457635</v>
      </c>
      <c r="W16" s="32">
        <v>73983.050847457635</v>
      </c>
      <c r="X16" s="32">
        <v>73983.050847457635</v>
      </c>
      <c r="Y16" s="32">
        <v>73983.050847457635</v>
      </c>
      <c r="Z16" s="124" t="s">
        <v>690</v>
      </c>
      <c r="AA16" s="126">
        <v>87300</v>
      </c>
      <c r="AB16" s="16" t="s">
        <v>688</v>
      </c>
    </row>
    <row r="17" spans="1:28" ht="24.75" customHeight="1">
      <c r="A17" s="123"/>
      <c r="B17" s="125">
        <v>13</v>
      </c>
      <c r="C17" s="29" t="s">
        <v>702</v>
      </c>
      <c r="D17" s="23">
        <v>1</v>
      </c>
      <c r="E17" s="102" t="s">
        <v>312</v>
      </c>
      <c r="F17" s="39"/>
      <c r="G17" s="32"/>
      <c r="H17" s="32"/>
      <c r="I17" s="32"/>
      <c r="J17" s="32"/>
      <c r="K17" s="32"/>
      <c r="L17" s="32"/>
      <c r="M17" s="32"/>
      <c r="N17" s="32">
        <f t="shared" si="0"/>
        <v>114203.38983050849</v>
      </c>
      <c r="O17" s="32">
        <v>114203.38983050849</v>
      </c>
      <c r="P17" s="32">
        <v>114203.38983050849</v>
      </c>
      <c r="Q17" s="32">
        <v>114203.38983050849</v>
      </c>
      <c r="R17" s="32">
        <v>114203.38983050849</v>
      </c>
      <c r="S17" s="32">
        <v>114203.38983050849</v>
      </c>
      <c r="T17" s="32">
        <v>114203.38983050849</v>
      </c>
      <c r="U17" s="32">
        <v>114203.38983050849</v>
      </c>
      <c r="V17" s="32">
        <v>114203.38983050849</v>
      </c>
      <c r="W17" s="32">
        <v>114203.38983050849</v>
      </c>
      <c r="X17" s="32">
        <v>114203.38983050849</v>
      </c>
      <c r="Y17" s="32">
        <v>114203.38983050849</v>
      </c>
      <c r="Z17" s="124" t="s">
        <v>690</v>
      </c>
      <c r="AA17" s="126">
        <v>134760</v>
      </c>
      <c r="AB17" s="16" t="s">
        <v>688</v>
      </c>
    </row>
    <row r="18" spans="1:28" ht="24.75" customHeight="1">
      <c r="A18" s="123"/>
      <c r="B18" s="125">
        <v>14</v>
      </c>
      <c r="C18" s="29" t="s">
        <v>703</v>
      </c>
      <c r="D18" s="23">
        <v>1</v>
      </c>
      <c r="E18" s="102" t="s">
        <v>312</v>
      </c>
      <c r="F18" s="39"/>
      <c r="G18" s="32"/>
      <c r="H18" s="32"/>
      <c r="I18" s="32"/>
      <c r="J18" s="32"/>
      <c r="K18" s="32"/>
      <c r="L18" s="32"/>
      <c r="M18" s="32"/>
      <c r="N18" s="32">
        <f t="shared" si="0"/>
        <v>143872.88135593222</v>
      </c>
      <c r="O18" s="32">
        <v>143872.88135593222</v>
      </c>
      <c r="P18" s="32">
        <v>143872.88135593222</v>
      </c>
      <c r="Q18" s="32">
        <v>143872.88135593222</v>
      </c>
      <c r="R18" s="32">
        <v>143872.88135593222</v>
      </c>
      <c r="S18" s="32">
        <v>143872.88135593222</v>
      </c>
      <c r="T18" s="32">
        <v>143872.88135593222</v>
      </c>
      <c r="U18" s="32">
        <v>143872.88135593222</v>
      </c>
      <c r="V18" s="32">
        <v>143872.88135593222</v>
      </c>
      <c r="W18" s="32">
        <v>143872.88135593222</v>
      </c>
      <c r="X18" s="32">
        <v>143872.88135593222</v>
      </c>
      <c r="Y18" s="32">
        <v>143872.88135593222</v>
      </c>
      <c r="Z18" s="124" t="s">
        <v>690</v>
      </c>
      <c r="AA18" s="126">
        <v>169770</v>
      </c>
      <c r="AB18" s="16" t="s">
        <v>688</v>
      </c>
    </row>
    <row r="19" spans="1:28" ht="24.75" customHeight="1">
      <c r="A19" s="123"/>
      <c r="B19" s="125">
        <v>15</v>
      </c>
      <c r="C19" s="29" t="s">
        <v>704</v>
      </c>
      <c r="D19" s="23">
        <v>1</v>
      </c>
      <c r="E19" s="102" t="s">
        <v>312</v>
      </c>
      <c r="F19" s="39"/>
      <c r="G19" s="32"/>
      <c r="H19" s="32"/>
      <c r="I19" s="32"/>
      <c r="J19" s="32"/>
      <c r="K19" s="32"/>
      <c r="L19" s="32"/>
      <c r="M19" s="32"/>
      <c r="N19" s="32">
        <f t="shared" si="0"/>
        <v>1220.3389830508474</v>
      </c>
      <c r="O19" s="32">
        <v>1220.3389830508474</v>
      </c>
      <c r="P19" s="32">
        <v>1220.3389830508474</v>
      </c>
      <c r="Q19" s="32">
        <v>1220.3389830508474</v>
      </c>
      <c r="R19" s="32">
        <v>1220.3389830508474</v>
      </c>
      <c r="S19" s="32">
        <v>1220.3389830508474</v>
      </c>
      <c r="T19" s="32">
        <v>1220.3389830508474</v>
      </c>
      <c r="U19" s="32">
        <v>1220.3389830508474</v>
      </c>
      <c r="V19" s="32">
        <v>1220.3389830508474</v>
      </c>
      <c r="W19" s="32">
        <v>1220.3389830508474</v>
      </c>
      <c r="X19" s="32">
        <v>1220.3389830508474</v>
      </c>
      <c r="Y19" s="32">
        <v>1220.3389830508474</v>
      </c>
      <c r="Z19" s="124" t="s">
        <v>690</v>
      </c>
      <c r="AA19" s="126">
        <v>1440</v>
      </c>
      <c r="AB19" s="16" t="s">
        <v>688</v>
      </c>
    </row>
    <row r="20" spans="1:28" ht="24.75" customHeight="1">
      <c r="A20" s="123"/>
      <c r="B20" s="125">
        <v>16</v>
      </c>
      <c r="C20" s="29" t="s">
        <v>705</v>
      </c>
      <c r="D20" s="23">
        <v>1</v>
      </c>
      <c r="E20" s="102" t="s">
        <v>312</v>
      </c>
      <c r="F20" s="39"/>
      <c r="G20" s="32"/>
      <c r="H20" s="32"/>
      <c r="I20" s="32"/>
      <c r="J20" s="32"/>
      <c r="K20" s="32"/>
      <c r="L20" s="32"/>
      <c r="M20" s="32"/>
      <c r="N20" s="32">
        <f t="shared" si="0"/>
        <v>1542.3728813559323</v>
      </c>
      <c r="O20" s="32">
        <v>1542.3728813559323</v>
      </c>
      <c r="P20" s="32">
        <v>1542.3728813559323</v>
      </c>
      <c r="Q20" s="32">
        <v>1542.3728813559323</v>
      </c>
      <c r="R20" s="32">
        <v>1542.3728813559323</v>
      </c>
      <c r="S20" s="32">
        <v>1542.3728813559323</v>
      </c>
      <c r="T20" s="32">
        <v>1542.3728813559323</v>
      </c>
      <c r="U20" s="32">
        <v>1542.3728813559323</v>
      </c>
      <c r="V20" s="32">
        <v>1542.3728813559323</v>
      </c>
      <c r="W20" s="32">
        <v>1542.3728813559323</v>
      </c>
      <c r="X20" s="32">
        <v>1542.3728813559323</v>
      </c>
      <c r="Y20" s="32">
        <v>1542.3728813559323</v>
      </c>
      <c r="Z20" s="124" t="s">
        <v>690</v>
      </c>
      <c r="AA20" s="126">
        <v>1820</v>
      </c>
      <c r="AB20" s="16" t="s">
        <v>688</v>
      </c>
    </row>
    <row r="21" spans="1:28" ht="24.75" customHeight="1">
      <c r="A21" s="123"/>
      <c r="B21" s="125">
        <v>17</v>
      </c>
      <c r="C21" s="29" t="s">
        <v>706</v>
      </c>
      <c r="D21" s="23">
        <v>1</v>
      </c>
      <c r="E21" s="102" t="s">
        <v>312</v>
      </c>
      <c r="F21" s="39"/>
      <c r="G21" s="32"/>
      <c r="H21" s="32"/>
      <c r="I21" s="32"/>
      <c r="J21" s="32"/>
      <c r="K21" s="32"/>
      <c r="L21" s="32"/>
      <c r="M21" s="32"/>
      <c r="N21" s="32">
        <f t="shared" si="0"/>
        <v>2406.7796610169494</v>
      </c>
      <c r="O21" s="32">
        <v>2406.7796610169494</v>
      </c>
      <c r="P21" s="32">
        <v>2406.7796610169494</v>
      </c>
      <c r="Q21" s="32">
        <v>2406.7796610169494</v>
      </c>
      <c r="R21" s="32">
        <v>2406.7796610169494</v>
      </c>
      <c r="S21" s="32">
        <v>2406.7796610169494</v>
      </c>
      <c r="T21" s="32">
        <v>2406.7796610169494</v>
      </c>
      <c r="U21" s="32">
        <v>2406.7796610169494</v>
      </c>
      <c r="V21" s="32">
        <v>2406.7796610169494</v>
      </c>
      <c r="W21" s="32">
        <v>2406.7796610169494</v>
      </c>
      <c r="X21" s="32">
        <v>2406.7796610169494</v>
      </c>
      <c r="Y21" s="32">
        <v>2406.7796610169494</v>
      </c>
      <c r="Z21" s="124" t="s">
        <v>690</v>
      </c>
      <c r="AA21" s="126">
        <v>2840</v>
      </c>
      <c r="AB21" s="16" t="s">
        <v>688</v>
      </c>
    </row>
    <row r="22" spans="1:28" ht="24.75" customHeight="1">
      <c r="A22" s="123"/>
      <c r="B22" s="125">
        <v>18</v>
      </c>
      <c r="C22" s="29" t="s">
        <v>707</v>
      </c>
      <c r="D22" s="23">
        <v>1</v>
      </c>
      <c r="E22" s="102" t="s">
        <v>312</v>
      </c>
      <c r="F22" s="39"/>
      <c r="G22" s="32"/>
      <c r="H22" s="32"/>
      <c r="I22" s="32"/>
      <c r="J22" s="32"/>
      <c r="K22" s="32"/>
      <c r="L22" s="32"/>
      <c r="M22" s="32"/>
      <c r="N22" s="32">
        <f t="shared" si="0"/>
        <v>3796.6101694915255</v>
      </c>
      <c r="O22" s="32">
        <v>3796.6101694915255</v>
      </c>
      <c r="P22" s="32">
        <v>3796.6101694915255</v>
      </c>
      <c r="Q22" s="32">
        <v>3796.6101694915255</v>
      </c>
      <c r="R22" s="32">
        <v>3796.6101694915255</v>
      </c>
      <c r="S22" s="32">
        <v>3796.6101694915255</v>
      </c>
      <c r="T22" s="32">
        <v>3796.6101694915255</v>
      </c>
      <c r="U22" s="32">
        <v>3796.6101694915255</v>
      </c>
      <c r="V22" s="32">
        <v>3796.6101694915255</v>
      </c>
      <c r="W22" s="32">
        <v>3796.6101694915255</v>
      </c>
      <c r="X22" s="32">
        <v>3796.6101694915255</v>
      </c>
      <c r="Y22" s="32">
        <v>3796.6101694915255</v>
      </c>
      <c r="Z22" s="124" t="s">
        <v>690</v>
      </c>
      <c r="AA22" s="126">
        <v>4480</v>
      </c>
      <c r="AB22" s="16" t="s">
        <v>688</v>
      </c>
    </row>
    <row r="23" spans="1:28" ht="24.75" customHeight="1">
      <c r="A23" s="123"/>
      <c r="B23" s="125">
        <v>19</v>
      </c>
      <c r="C23" s="29" t="s">
        <v>708</v>
      </c>
      <c r="D23" s="23">
        <v>1</v>
      </c>
      <c r="E23" s="102" t="s">
        <v>312</v>
      </c>
      <c r="F23" s="39"/>
      <c r="G23" s="32"/>
      <c r="H23" s="32"/>
      <c r="I23" s="32"/>
      <c r="J23" s="32"/>
      <c r="K23" s="32"/>
      <c r="L23" s="32"/>
      <c r="M23" s="32"/>
      <c r="N23" s="32">
        <f t="shared" si="0"/>
        <v>5966.1016949152545</v>
      </c>
      <c r="O23" s="32">
        <v>5966.1016949152545</v>
      </c>
      <c r="P23" s="32">
        <v>5966.1016949152545</v>
      </c>
      <c r="Q23" s="32">
        <v>5966.1016949152545</v>
      </c>
      <c r="R23" s="32">
        <v>5966.1016949152545</v>
      </c>
      <c r="S23" s="32">
        <v>5966.1016949152545</v>
      </c>
      <c r="T23" s="32">
        <v>5966.1016949152545</v>
      </c>
      <c r="U23" s="32">
        <v>5966.1016949152545</v>
      </c>
      <c r="V23" s="32">
        <v>5966.1016949152545</v>
      </c>
      <c r="W23" s="32">
        <v>5966.1016949152545</v>
      </c>
      <c r="X23" s="32">
        <v>5966.1016949152545</v>
      </c>
      <c r="Y23" s="32">
        <v>5966.1016949152545</v>
      </c>
      <c r="Z23" s="124" t="s">
        <v>690</v>
      </c>
      <c r="AA23" s="126">
        <v>7040</v>
      </c>
      <c r="AB23" s="16" t="s">
        <v>688</v>
      </c>
    </row>
    <row r="24" spans="1:28" ht="24.75" customHeight="1">
      <c r="A24" s="123"/>
      <c r="B24" s="125">
        <v>20</v>
      </c>
      <c r="C24" s="29" t="s">
        <v>709</v>
      </c>
      <c r="D24" s="23">
        <v>1</v>
      </c>
      <c r="E24" s="102" t="s">
        <v>312</v>
      </c>
      <c r="F24" s="39"/>
      <c r="G24" s="32"/>
      <c r="H24" s="32"/>
      <c r="I24" s="32"/>
      <c r="J24" s="32"/>
      <c r="K24" s="32"/>
      <c r="L24" s="32"/>
      <c r="M24" s="32"/>
      <c r="N24" s="32">
        <f t="shared" si="0"/>
        <v>7033.8983050847464</v>
      </c>
      <c r="O24" s="32">
        <v>7033.8983050847464</v>
      </c>
      <c r="P24" s="32">
        <v>7033.8983050847464</v>
      </c>
      <c r="Q24" s="32">
        <v>7033.8983050847464</v>
      </c>
      <c r="R24" s="32">
        <v>7033.8983050847464</v>
      </c>
      <c r="S24" s="32">
        <v>7033.8983050847464</v>
      </c>
      <c r="T24" s="32">
        <v>7033.8983050847464</v>
      </c>
      <c r="U24" s="32">
        <v>7033.8983050847464</v>
      </c>
      <c r="V24" s="32">
        <v>7033.8983050847464</v>
      </c>
      <c r="W24" s="32">
        <v>7033.8983050847464</v>
      </c>
      <c r="X24" s="32">
        <v>7033.8983050847464</v>
      </c>
      <c r="Y24" s="32">
        <v>7033.8983050847464</v>
      </c>
      <c r="Z24" s="124" t="s">
        <v>690</v>
      </c>
      <c r="AA24" s="126">
        <v>8300</v>
      </c>
      <c r="AB24" s="16" t="s">
        <v>688</v>
      </c>
    </row>
    <row r="25" spans="1:28" ht="24.75" customHeight="1">
      <c r="A25" s="123"/>
      <c r="B25" s="125">
        <v>21</v>
      </c>
      <c r="C25" s="29" t="s">
        <v>710</v>
      </c>
      <c r="D25" s="23">
        <v>1</v>
      </c>
      <c r="E25" s="102" t="s">
        <v>312</v>
      </c>
      <c r="F25" s="39"/>
      <c r="G25" s="32"/>
      <c r="H25" s="32"/>
      <c r="I25" s="32"/>
      <c r="J25" s="32"/>
      <c r="K25" s="32"/>
      <c r="L25" s="32"/>
      <c r="M25" s="32"/>
      <c r="N25" s="32">
        <f t="shared" si="0"/>
        <v>15025.423728813561</v>
      </c>
      <c r="O25" s="32">
        <v>15025.423728813561</v>
      </c>
      <c r="P25" s="32">
        <v>15025.423728813561</v>
      </c>
      <c r="Q25" s="32">
        <v>15025.423728813561</v>
      </c>
      <c r="R25" s="32">
        <v>15025.423728813561</v>
      </c>
      <c r="S25" s="32">
        <v>15025.423728813561</v>
      </c>
      <c r="T25" s="32">
        <v>15025.423728813561</v>
      </c>
      <c r="U25" s="32">
        <v>15025.423728813561</v>
      </c>
      <c r="V25" s="32">
        <v>15025.423728813561</v>
      </c>
      <c r="W25" s="32">
        <v>15025.423728813561</v>
      </c>
      <c r="X25" s="32">
        <v>15025.423728813561</v>
      </c>
      <c r="Y25" s="32">
        <v>15025.423728813561</v>
      </c>
      <c r="Z25" s="124" t="s">
        <v>690</v>
      </c>
      <c r="AA25" s="126">
        <v>17730</v>
      </c>
      <c r="AB25" s="16" t="s">
        <v>688</v>
      </c>
    </row>
    <row r="26" spans="1:28" ht="24.75" customHeight="1">
      <c r="A26" s="123"/>
      <c r="B26" s="125">
        <v>22</v>
      </c>
      <c r="C26" s="29" t="s">
        <v>711</v>
      </c>
      <c r="D26" s="23">
        <v>1</v>
      </c>
      <c r="E26" s="102" t="s">
        <v>312</v>
      </c>
      <c r="F26" s="39"/>
      <c r="G26" s="32"/>
      <c r="H26" s="32"/>
      <c r="I26" s="32"/>
      <c r="J26" s="32"/>
      <c r="K26" s="32"/>
      <c r="L26" s="32"/>
      <c r="M26" s="32"/>
      <c r="N26" s="32">
        <f t="shared" si="0"/>
        <v>18305.084745762713</v>
      </c>
      <c r="O26" s="32">
        <v>18305.084745762713</v>
      </c>
      <c r="P26" s="32">
        <v>18305.084745762713</v>
      </c>
      <c r="Q26" s="32">
        <v>18305.084745762713</v>
      </c>
      <c r="R26" s="32">
        <v>18305.084745762713</v>
      </c>
      <c r="S26" s="32">
        <v>18305.084745762713</v>
      </c>
      <c r="T26" s="32">
        <v>18305.084745762713</v>
      </c>
      <c r="U26" s="32">
        <v>18305.084745762713</v>
      </c>
      <c r="V26" s="32">
        <v>18305.084745762713</v>
      </c>
      <c r="W26" s="32">
        <v>18305.084745762713</v>
      </c>
      <c r="X26" s="32">
        <v>18305.084745762713</v>
      </c>
      <c r="Y26" s="32">
        <v>18305.084745762713</v>
      </c>
      <c r="Z26" s="124" t="s">
        <v>690</v>
      </c>
      <c r="AA26" s="126">
        <v>21600</v>
      </c>
      <c r="AB26" s="16" t="s">
        <v>688</v>
      </c>
    </row>
    <row r="27" spans="1:28" ht="24.75" customHeight="1">
      <c r="A27" s="123"/>
      <c r="B27" s="125">
        <v>23</v>
      </c>
      <c r="C27" s="29" t="s">
        <v>712</v>
      </c>
      <c r="D27" s="23">
        <v>1</v>
      </c>
      <c r="E27" s="102" t="s">
        <v>312</v>
      </c>
      <c r="F27" s="39"/>
      <c r="G27" s="32"/>
      <c r="H27" s="32"/>
      <c r="I27" s="32"/>
      <c r="J27" s="32"/>
      <c r="K27" s="32"/>
      <c r="L27" s="32"/>
      <c r="M27" s="32"/>
      <c r="N27" s="32">
        <f t="shared" si="0"/>
        <v>29415.254237288136</v>
      </c>
      <c r="O27" s="32">
        <v>29415.254237288136</v>
      </c>
      <c r="P27" s="32">
        <v>29415.254237288136</v>
      </c>
      <c r="Q27" s="32">
        <v>29415.254237288136</v>
      </c>
      <c r="R27" s="32">
        <v>29415.254237288136</v>
      </c>
      <c r="S27" s="32">
        <v>29415.254237288136</v>
      </c>
      <c r="T27" s="32">
        <v>29415.254237288136</v>
      </c>
      <c r="U27" s="32">
        <v>29415.254237288136</v>
      </c>
      <c r="V27" s="32">
        <v>29415.254237288136</v>
      </c>
      <c r="W27" s="32">
        <v>29415.254237288136</v>
      </c>
      <c r="X27" s="32">
        <v>29415.254237288136</v>
      </c>
      <c r="Y27" s="32">
        <v>29415.254237288136</v>
      </c>
      <c r="Z27" s="124" t="s">
        <v>690</v>
      </c>
      <c r="AA27" s="126">
        <v>34710</v>
      </c>
      <c r="AB27" s="16" t="s">
        <v>688</v>
      </c>
    </row>
    <row r="28" spans="1:28" ht="24.75" customHeight="1">
      <c r="A28" s="123"/>
      <c r="B28" s="125">
        <v>24</v>
      </c>
      <c r="C28" s="29" t="s">
        <v>713</v>
      </c>
      <c r="D28" s="23">
        <v>1</v>
      </c>
      <c r="E28" s="102" t="s">
        <v>312</v>
      </c>
      <c r="F28" s="39"/>
      <c r="G28" s="32"/>
      <c r="H28" s="32"/>
      <c r="I28" s="32"/>
      <c r="J28" s="32"/>
      <c r="K28" s="32"/>
      <c r="L28" s="32"/>
      <c r="M28" s="32"/>
      <c r="N28" s="32">
        <f t="shared" si="0"/>
        <v>38618.644067796609</v>
      </c>
      <c r="O28" s="32">
        <v>38618.644067796609</v>
      </c>
      <c r="P28" s="32">
        <v>38618.644067796609</v>
      </c>
      <c r="Q28" s="32">
        <v>38618.644067796609</v>
      </c>
      <c r="R28" s="32">
        <v>38618.644067796609</v>
      </c>
      <c r="S28" s="32">
        <v>38618.644067796609</v>
      </c>
      <c r="T28" s="32">
        <v>38618.644067796609</v>
      </c>
      <c r="U28" s="32">
        <v>38618.644067796609</v>
      </c>
      <c r="V28" s="32">
        <v>38618.644067796609</v>
      </c>
      <c r="W28" s="32">
        <v>38618.644067796609</v>
      </c>
      <c r="X28" s="32">
        <v>38618.644067796609</v>
      </c>
      <c r="Y28" s="32">
        <v>38618.644067796609</v>
      </c>
      <c r="Z28" s="124" t="s">
        <v>690</v>
      </c>
      <c r="AA28" s="126">
        <v>45570</v>
      </c>
      <c r="AB28" s="16" t="s">
        <v>688</v>
      </c>
    </row>
    <row r="29" spans="1:28" ht="24.75" customHeight="1">
      <c r="A29" s="123"/>
      <c r="B29" s="125">
        <v>25</v>
      </c>
      <c r="C29" s="29" t="s">
        <v>714</v>
      </c>
      <c r="D29" s="23">
        <v>1</v>
      </c>
      <c r="E29" s="102" t="s">
        <v>312</v>
      </c>
      <c r="F29" s="39"/>
      <c r="G29" s="32"/>
      <c r="H29" s="32"/>
      <c r="I29" s="32"/>
      <c r="J29" s="32"/>
      <c r="K29" s="32"/>
      <c r="L29" s="32"/>
      <c r="M29" s="32"/>
      <c r="N29" s="32">
        <f t="shared" si="0"/>
        <v>76754.237288135599</v>
      </c>
      <c r="O29" s="32">
        <v>76754.237288135599</v>
      </c>
      <c r="P29" s="32">
        <v>76754.237288135599</v>
      </c>
      <c r="Q29" s="32">
        <v>76754.237288135599</v>
      </c>
      <c r="R29" s="32">
        <v>76754.237288135599</v>
      </c>
      <c r="S29" s="32">
        <v>76754.237288135599</v>
      </c>
      <c r="T29" s="32">
        <v>76754.237288135599</v>
      </c>
      <c r="U29" s="32">
        <v>76754.237288135599</v>
      </c>
      <c r="V29" s="32">
        <v>76754.237288135599</v>
      </c>
      <c r="W29" s="32">
        <v>76754.237288135599</v>
      </c>
      <c r="X29" s="32">
        <v>76754.237288135599</v>
      </c>
      <c r="Y29" s="32">
        <v>76754.237288135599</v>
      </c>
      <c r="Z29" s="124" t="s">
        <v>690</v>
      </c>
      <c r="AA29" s="126">
        <v>90570</v>
      </c>
      <c r="AB29" s="16" t="s">
        <v>688</v>
      </c>
    </row>
    <row r="30" spans="1:28" ht="24.75" customHeight="1">
      <c r="A30" s="123"/>
      <c r="B30" s="125">
        <v>26</v>
      </c>
      <c r="C30" s="29" t="s">
        <v>715</v>
      </c>
      <c r="D30" s="23">
        <v>1</v>
      </c>
      <c r="E30" s="102" t="s">
        <v>312</v>
      </c>
      <c r="F30" s="39"/>
      <c r="G30" s="32"/>
      <c r="H30" s="32"/>
      <c r="I30" s="32"/>
      <c r="J30" s="32"/>
      <c r="K30" s="32"/>
      <c r="L30" s="32"/>
      <c r="M30" s="32"/>
      <c r="N30" s="32">
        <f t="shared" si="0"/>
        <v>118423.72881355933</v>
      </c>
      <c r="O30" s="32">
        <v>118423.72881355933</v>
      </c>
      <c r="P30" s="32">
        <v>118423.72881355933</v>
      </c>
      <c r="Q30" s="32">
        <v>118423.72881355933</v>
      </c>
      <c r="R30" s="32">
        <v>118423.72881355933</v>
      </c>
      <c r="S30" s="32">
        <v>118423.72881355933</v>
      </c>
      <c r="T30" s="32">
        <v>118423.72881355933</v>
      </c>
      <c r="U30" s="32">
        <v>118423.72881355933</v>
      </c>
      <c r="V30" s="32">
        <v>118423.72881355933</v>
      </c>
      <c r="W30" s="32">
        <v>118423.72881355933</v>
      </c>
      <c r="X30" s="32">
        <v>118423.72881355933</v>
      </c>
      <c r="Y30" s="32">
        <v>118423.72881355933</v>
      </c>
      <c r="Z30" s="124" t="s">
        <v>690</v>
      </c>
      <c r="AA30" s="126">
        <v>139740</v>
      </c>
      <c r="AB30" s="16" t="s">
        <v>688</v>
      </c>
    </row>
    <row r="31" spans="1:28" ht="24.75" customHeight="1">
      <c r="A31" s="123"/>
      <c r="B31" s="125">
        <v>27</v>
      </c>
      <c r="C31" s="29" t="s">
        <v>716</v>
      </c>
      <c r="D31" s="23">
        <v>1</v>
      </c>
      <c r="E31" s="102" t="s">
        <v>312</v>
      </c>
      <c r="F31" s="39"/>
      <c r="G31" s="32"/>
      <c r="H31" s="32"/>
      <c r="I31" s="32"/>
      <c r="J31" s="32"/>
      <c r="K31" s="32"/>
      <c r="L31" s="32"/>
      <c r="M31" s="32"/>
      <c r="N31" s="32">
        <f t="shared" si="0"/>
        <v>149262.7118644068</v>
      </c>
      <c r="O31" s="32">
        <v>149262.7118644068</v>
      </c>
      <c r="P31" s="32">
        <v>149262.7118644068</v>
      </c>
      <c r="Q31" s="32">
        <v>149262.7118644068</v>
      </c>
      <c r="R31" s="32">
        <v>149262.7118644068</v>
      </c>
      <c r="S31" s="32">
        <v>149262.7118644068</v>
      </c>
      <c r="T31" s="32">
        <v>149262.7118644068</v>
      </c>
      <c r="U31" s="32">
        <v>149262.7118644068</v>
      </c>
      <c r="V31" s="32">
        <v>149262.7118644068</v>
      </c>
      <c r="W31" s="32">
        <v>149262.7118644068</v>
      </c>
      <c r="X31" s="32">
        <v>149262.7118644068</v>
      </c>
      <c r="Y31" s="32">
        <v>149262.7118644068</v>
      </c>
      <c r="Z31" s="124" t="s">
        <v>690</v>
      </c>
      <c r="AA31" s="126">
        <v>176130</v>
      </c>
      <c r="AB31" s="16" t="s">
        <v>688</v>
      </c>
    </row>
    <row r="32" spans="1:28" ht="24.75" customHeight="1">
      <c r="A32" s="123"/>
      <c r="B32" s="125">
        <v>28</v>
      </c>
      <c r="C32" s="29" t="s">
        <v>717</v>
      </c>
      <c r="D32" s="23">
        <v>1</v>
      </c>
      <c r="E32" s="102" t="s">
        <v>312</v>
      </c>
      <c r="F32" s="39"/>
      <c r="G32" s="32"/>
      <c r="H32" s="32"/>
      <c r="I32" s="32"/>
      <c r="J32" s="32"/>
      <c r="K32" s="32"/>
      <c r="L32" s="32"/>
      <c r="M32" s="32"/>
      <c r="N32" s="32">
        <f t="shared" si="0"/>
        <v>6050.8474576271192</v>
      </c>
      <c r="O32" s="32">
        <v>6050.8474576271192</v>
      </c>
      <c r="P32" s="32">
        <v>6050.8474576271192</v>
      </c>
      <c r="Q32" s="32">
        <v>6050.8474576271192</v>
      </c>
      <c r="R32" s="32">
        <v>6050.8474576271192</v>
      </c>
      <c r="S32" s="32">
        <v>6050.8474576271192</v>
      </c>
      <c r="T32" s="32">
        <v>6050.8474576271192</v>
      </c>
      <c r="U32" s="32">
        <v>6050.8474576271192</v>
      </c>
      <c r="V32" s="32">
        <v>6050.8474576271192</v>
      </c>
      <c r="W32" s="32">
        <v>6050.8474576271192</v>
      </c>
      <c r="X32" s="32">
        <v>6050.8474576271192</v>
      </c>
      <c r="Y32" s="32">
        <v>6050.8474576271192</v>
      </c>
      <c r="Z32" s="124" t="s">
        <v>690</v>
      </c>
      <c r="AA32" s="126">
        <v>7140</v>
      </c>
      <c r="AB32" s="16" t="s">
        <v>688</v>
      </c>
    </row>
    <row r="33" spans="1:28" ht="24.75" customHeight="1">
      <c r="A33" s="123"/>
      <c r="B33" s="125">
        <v>29</v>
      </c>
      <c r="C33" s="29" t="s">
        <v>718</v>
      </c>
      <c r="D33" s="23">
        <v>1</v>
      </c>
      <c r="E33" s="102" t="s">
        <v>312</v>
      </c>
      <c r="F33" s="39"/>
      <c r="G33" s="32"/>
      <c r="H33" s="32"/>
      <c r="I33" s="32"/>
      <c r="J33" s="32"/>
      <c r="K33" s="32"/>
      <c r="L33" s="32"/>
      <c r="M33" s="32"/>
      <c r="N33" s="32">
        <f t="shared" si="0"/>
        <v>7254.2372881355932</v>
      </c>
      <c r="O33" s="32">
        <v>7254.2372881355932</v>
      </c>
      <c r="P33" s="32">
        <v>7254.2372881355932</v>
      </c>
      <c r="Q33" s="32">
        <v>7254.2372881355932</v>
      </c>
      <c r="R33" s="32">
        <v>7254.2372881355932</v>
      </c>
      <c r="S33" s="32">
        <v>7254.2372881355932</v>
      </c>
      <c r="T33" s="32">
        <v>7254.2372881355932</v>
      </c>
      <c r="U33" s="32">
        <v>7254.2372881355932</v>
      </c>
      <c r="V33" s="32">
        <v>7254.2372881355932</v>
      </c>
      <c r="W33" s="32">
        <v>7254.2372881355932</v>
      </c>
      <c r="X33" s="32">
        <v>7254.2372881355932</v>
      </c>
      <c r="Y33" s="32">
        <v>7254.2372881355932</v>
      </c>
      <c r="Z33" s="124" t="s">
        <v>690</v>
      </c>
      <c r="AA33" s="126">
        <v>8560</v>
      </c>
      <c r="AB33" s="16" t="s">
        <v>688</v>
      </c>
    </row>
    <row r="34" spans="1:28" ht="24.75" customHeight="1">
      <c r="A34" s="123"/>
      <c r="B34" s="125">
        <v>30</v>
      </c>
      <c r="C34" s="29" t="s">
        <v>719</v>
      </c>
      <c r="D34" s="23">
        <v>1</v>
      </c>
      <c r="E34" s="102" t="s">
        <v>312</v>
      </c>
      <c r="F34" s="39"/>
      <c r="G34" s="32"/>
      <c r="H34" s="32"/>
      <c r="I34" s="32"/>
      <c r="J34" s="32"/>
      <c r="K34" s="32"/>
      <c r="L34" s="32"/>
      <c r="M34" s="32"/>
      <c r="N34" s="32">
        <f t="shared" si="0"/>
        <v>15152.542372881357</v>
      </c>
      <c r="O34" s="32">
        <v>15152.542372881357</v>
      </c>
      <c r="P34" s="32">
        <v>15152.542372881357</v>
      </c>
      <c r="Q34" s="32">
        <v>15152.542372881357</v>
      </c>
      <c r="R34" s="32">
        <v>15152.542372881357</v>
      </c>
      <c r="S34" s="32">
        <v>15152.542372881357</v>
      </c>
      <c r="T34" s="32">
        <v>15152.542372881357</v>
      </c>
      <c r="U34" s="32">
        <v>15152.542372881357</v>
      </c>
      <c r="V34" s="32">
        <v>15152.542372881357</v>
      </c>
      <c r="W34" s="32">
        <v>15152.542372881357</v>
      </c>
      <c r="X34" s="32">
        <v>15152.542372881357</v>
      </c>
      <c r="Y34" s="32">
        <v>15152.542372881357</v>
      </c>
      <c r="Z34" s="124" t="s">
        <v>690</v>
      </c>
      <c r="AA34" s="126">
        <v>17880</v>
      </c>
      <c r="AB34" s="16" t="s">
        <v>688</v>
      </c>
    </row>
    <row r="35" spans="1:28" ht="24.75" customHeight="1">
      <c r="A35" s="123"/>
      <c r="B35" s="125">
        <v>31</v>
      </c>
      <c r="C35" s="29" t="s">
        <v>720</v>
      </c>
      <c r="D35" s="23">
        <v>1</v>
      </c>
      <c r="E35" s="102" t="s">
        <v>312</v>
      </c>
      <c r="F35" s="39"/>
      <c r="G35" s="32"/>
      <c r="H35" s="32"/>
      <c r="I35" s="32"/>
      <c r="J35" s="32"/>
      <c r="K35" s="32"/>
      <c r="L35" s="32"/>
      <c r="M35" s="32"/>
      <c r="N35" s="32">
        <f t="shared" si="0"/>
        <v>18483.050847457627</v>
      </c>
      <c r="O35" s="32">
        <v>18483.050847457627</v>
      </c>
      <c r="P35" s="32">
        <v>18483.050847457627</v>
      </c>
      <c r="Q35" s="32">
        <v>18483.050847457627</v>
      </c>
      <c r="R35" s="32">
        <v>18483.050847457627</v>
      </c>
      <c r="S35" s="32">
        <v>18483.050847457627</v>
      </c>
      <c r="T35" s="32">
        <v>18483.050847457627</v>
      </c>
      <c r="U35" s="32">
        <v>18483.050847457627</v>
      </c>
      <c r="V35" s="32">
        <v>18483.050847457627</v>
      </c>
      <c r="W35" s="32">
        <v>18483.050847457627</v>
      </c>
      <c r="X35" s="32">
        <v>18483.050847457627</v>
      </c>
      <c r="Y35" s="32">
        <v>18483.050847457627</v>
      </c>
      <c r="Z35" s="124" t="s">
        <v>690</v>
      </c>
      <c r="AA35" s="126">
        <v>21810</v>
      </c>
      <c r="AB35" s="16" t="s">
        <v>688</v>
      </c>
    </row>
    <row r="36" spans="1:28" ht="24.75" customHeight="1">
      <c r="A36" s="123"/>
      <c r="B36" s="125">
        <v>32</v>
      </c>
      <c r="C36" s="29" t="s">
        <v>721</v>
      </c>
      <c r="D36" s="23">
        <v>1</v>
      </c>
      <c r="E36" s="102" t="s">
        <v>312</v>
      </c>
      <c r="F36" s="39"/>
      <c r="G36" s="32"/>
      <c r="H36" s="32"/>
      <c r="I36" s="32"/>
      <c r="J36" s="32"/>
      <c r="K36" s="32"/>
      <c r="L36" s="32"/>
      <c r="M36" s="32"/>
      <c r="N36" s="32">
        <f t="shared" si="0"/>
        <v>29542.372881355936</v>
      </c>
      <c r="O36" s="32">
        <v>29542.372881355936</v>
      </c>
      <c r="P36" s="32">
        <v>29542.372881355936</v>
      </c>
      <c r="Q36" s="32">
        <v>29542.372881355936</v>
      </c>
      <c r="R36" s="32">
        <v>29542.372881355936</v>
      </c>
      <c r="S36" s="32">
        <v>29542.372881355936</v>
      </c>
      <c r="T36" s="32">
        <v>29542.372881355936</v>
      </c>
      <c r="U36" s="32">
        <v>29542.372881355936</v>
      </c>
      <c r="V36" s="32">
        <v>29542.372881355936</v>
      </c>
      <c r="W36" s="32">
        <v>29542.372881355936</v>
      </c>
      <c r="X36" s="32">
        <v>29542.372881355936</v>
      </c>
      <c r="Y36" s="32">
        <v>29542.372881355936</v>
      </c>
      <c r="Z36" s="124" t="s">
        <v>690</v>
      </c>
      <c r="AA36" s="126">
        <v>34860</v>
      </c>
      <c r="AB36" s="16" t="s">
        <v>688</v>
      </c>
    </row>
    <row r="37" spans="1:28" ht="24.75" customHeight="1">
      <c r="A37" s="123"/>
      <c r="B37" s="125">
        <v>33</v>
      </c>
      <c r="C37" s="29" t="s">
        <v>722</v>
      </c>
      <c r="D37" s="23">
        <v>1</v>
      </c>
      <c r="E37" s="102" t="s">
        <v>312</v>
      </c>
      <c r="F37" s="39"/>
      <c r="G37" s="32"/>
      <c r="H37" s="32"/>
      <c r="I37" s="32"/>
      <c r="J37" s="32"/>
      <c r="K37" s="32"/>
      <c r="L37" s="32"/>
      <c r="M37" s="32"/>
      <c r="N37" s="32">
        <f t="shared" si="0"/>
        <v>38745.762711864409</v>
      </c>
      <c r="O37" s="32">
        <v>38745.762711864409</v>
      </c>
      <c r="P37" s="32">
        <v>38745.762711864409</v>
      </c>
      <c r="Q37" s="32">
        <v>38745.762711864409</v>
      </c>
      <c r="R37" s="32">
        <v>38745.762711864409</v>
      </c>
      <c r="S37" s="32">
        <v>38745.762711864409</v>
      </c>
      <c r="T37" s="32">
        <v>38745.762711864409</v>
      </c>
      <c r="U37" s="32">
        <v>38745.762711864409</v>
      </c>
      <c r="V37" s="32">
        <v>38745.762711864409</v>
      </c>
      <c r="W37" s="32">
        <v>38745.762711864409</v>
      </c>
      <c r="X37" s="32">
        <v>38745.762711864409</v>
      </c>
      <c r="Y37" s="32">
        <v>38745.762711864409</v>
      </c>
      <c r="Z37" s="124" t="s">
        <v>690</v>
      </c>
      <c r="AA37" s="126">
        <v>45720</v>
      </c>
      <c r="AB37" s="16" t="s">
        <v>688</v>
      </c>
    </row>
    <row r="38" spans="1:28" ht="24.75" customHeight="1">
      <c r="A38" s="123"/>
      <c r="B38" s="125">
        <v>34</v>
      </c>
      <c r="C38" s="29" t="s">
        <v>723</v>
      </c>
      <c r="D38" s="23">
        <v>1</v>
      </c>
      <c r="E38" s="102" t="s">
        <v>312</v>
      </c>
      <c r="F38" s="39"/>
      <c r="G38" s="32"/>
      <c r="H38" s="32"/>
      <c r="I38" s="32"/>
      <c r="J38" s="32"/>
      <c r="K38" s="32"/>
      <c r="L38" s="32"/>
      <c r="M38" s="32"/>
      <c r="N38" s="32">
        <f t="shared" si="0"/>
        <v>76881.355932203398</v>
      </c>
      <c r="O38" s="32">
        <v>76881.355932203398</v>
      </c>
      <c r="P38" s="32">
        <v>76881.355932203398</v>
      </c>
      <c r="Q38" s="32">
        <v>76881.355932203398</v>
      </c>
      <c r="R38" s="32">
        <v>76881.355932203398</v>
      </c>
      <c r="S38" s="32">
        <v>76881.355932203398</v>
      </c>
      <c r="T38" s="32">
        <v>76881.355932203398</v>
      </c>
      <c r="U38" s="32">
        <v>76881.355932203398</v>
      </c>
      <c r="V38" s="32">
        <v>76881.355932203398</v>
      </c>
      <c r="W38" s="32">
        <v>76881.355932203398</v>
      </c>
      <c r="X38" s="32">
        <v>76881.355932203398</v>
      </c>
      <c r="Y38" s="32">
        <v>76881.355932203398</v>
      </c>
      <c r="Z38" s="124" t="s">
        <v>690</v>
      </c>
      <c r="AA38" s="126">
        <v>90720</v>
      </c>
      <c r="AB38" s="16" t="s">
        <v>688</v>
      </c>
    </row>
    <row r="39" spans="1:28" ht="24.75" customHeight="1">
      <c r="A39" s="123"/>
      <c r="B39" s="125">
        <v>35</v>
      </c>
      <c r="C39" s="29" t="s">
        <v>724</v>
      </c>
      <c r="D39" s="23">
        <v>1</v>
      </c>
      <c r="E39" s="102" t="s">
        <v>312</v>
      </c>
      <c r="F39" s="39"/>
      <c r="G39" s="32"/>
      <c r="H39" s="32"/>
      <c r="I39" s="32"/>
      <c r="J39" s="32"/>
      <c r="K39" s="32"/>
      <c r="L39" s="32"/>
      <c r="M39" s="32"/>
      <c r="N39" s="32">
        <f t="shared" si="0"/>
        <v>118474.57627118645</v>
      </c>
      <c r="O39" s="32">
        <v>118474.57627118645</v>
      </c>
      <c r="P39" s="32">
        <v>118474.57627118645</v>
      </c>
      <c r="Q39" s="32">
        <v>118474.57627118645</v>
      </c>
      <c r="R39" s="32">
        <v>118474.57627118645</v>
      </c>
      <c r="S39" s="32">
        <v>118474.57627118645</v>
      </c>
      <c r="T39" s="32">
        <v>118474.57627118645</v>
      </c>
      <c r="U39" s="32">
        <v>118474.57627118645</v>
      </c>
      <c r="V39" s="32">
        <v>118474.57627118645</v>
      </c>
      <c r="W39" s="32">
        <v>118474.57627118645</v>
      </c>
      <c r="X39" s="32">
        <v>118474.57627118645</v>
      </c>
      <c r="Y39" s="32">
        <v>118474.57627118645</v>
      </c>
      <c r="Z39" s="124" t="s">
        <v>690</v>
      </c>
      <c r="AA39" s="126">
        <v>139800</v>
      </c>
      <c r="AB39" s="16" t="s">
        <v>688</v>
      </c>
    </row>
    <row r="40" spans="1:28" ht="24.75" customHeight="1">
      <c r="A40" s="123"/>
      <c r="B40" s="125">
        <v>36</v>
      </c>
      <c r="C40" s="29" t="s">
        <v>725</v>
      </c>
      <c r="D40" s="23">
        <v>1</v>
      </c>
      <c r="E40" s="102" t="s">
        <v>312</v>
      </c>
      <c r="F40" s="39"/>
      <c r="G40" s="32"/>
      <c r="H40" s="32"/>
      <c r="I40" s="32"/>
      <c r="J40" s="32"/>
      <c r="K40" s="32"/>
      <c r="L40" s="32"/>
      <c r="M40" s="32"/>
      <c r="N40" s="32">
        <f t="shared" si="0"/>
        <v>149466.10169491527</v>
      </c>
      <c r="O40" s="32">
        <v>149466.10169491527</v>
      </c>
      <c r="P40" s="32">
        <v>149466.10169491527</v>
      </c>
      <c r="Q40" s="32">
        <v>149466.10169491527</v>
      </c>
      <c r="R40" s="32">
        <v>149466.10169491527</v>
      </c>
      <c r="S40" s="32">
        <v>149466.10169491527</v>
      </c>
      <c r="T40" s="32">
        <v>149466.10169491527</v>
      </c>
      <c r="U40" s="32">
        <v>149466.10169491527</v>
      </c>
      <c r="V40" s="32">
        <v>149466.10169491527</v>
      </c>
      <c r="W40" s="32">
        <v>149466.10169491527</v>
      </c>
      <c r="X40" s="32">
        <v>149466.10169491527</v>
      </c>
      <c r="Y40" s="32">
        <v>149466.10169491527</v>
      </c>
      <c r="Z40" s="124" t="s">
        <v>690</v>
      </c>
      <c r="AA40" s="126">
        <v>176370</v>
      </c>
      <c r="AB40" s="16" t="s">
        <v>688</v>
      </c>
    </row>
    <row r="41" spans="1:28" ht="24.75" customHeight="1">
      <c r="A41" s="123"/>
      <c r="B41" s="125">
        <v>37</v>
      </c>
      <c r="C41" s="29" t="s">
        <v>726</v>
      </c>
      <c r="D41" s="23">
        <v>1</v>
      </c>
      <c r="E41" s="102" t="s">
        <v>312</v>
      </c>
      <c r="F41" s="39"/>
      <c r="G41" s="32"/>
      <c r="H41" s="32"/>
      <c r="I41" s="32"/>
      <c r="J41" s="32"/>
      <c r="K41" s="32"/>
      <c r="L41" s="32"/>
      <c r="M41" s="32"/>
      <c r="N41" s="32">
        <f t="shared" si="0"/>
        <v>1457.6271186440679</v>
      </c>
      <c r="O41" s="32">
        <v>1457.6271186440679</v>
      </c>
      <c r="P41" s="32">
        <v>1457.6271186440679</v>
      </c>
      <c r="Q41" s="32">
        <v>1457.6271186440679</v>
      </c>
      <c r="R41" s="32">
        <v>1457.6271186440679</v>
      </c>
      <c r="S41" s="32">
        <v>1457.6271186440679</v>
      </c>
      <c r="T41" s="32">
        <v>1457.6271186440679</v>
      </c>
      <c r="U41" s="32">
        <v>1457.6271186440679</v>
      </c>
      <c r="V41" s="32">
        <v>1457.6271186440679</v>
      </c>
      <c r="W41" s="32">
        <v>1457.6271186440679</v>
      </c>
      <c r="X41" s="32">
        <v>1457.6271186440679</v>
      </c>
      <c r="Y41" s="32">
        <v>1457.6271186440679</v>
      </c>
      <c r="Z41" s="124" t="s">
        <v>690</v>
      </c>
      <c r="AA41" s="126">
        <v>1720</v>
      </c>
      <c r="AB41" s="16" t="s">
        <v>688</v>
      </c>
    </row>
    <row r="42" spans="1:28" ht="24.75" customHeight="1">
      <c r="A42" s="123"/>
      <c r="B42" s="125">
        <v>38</v>
      </c>
      <c r="C42" s="29" t="s">
        <v>727</v>
      </c>
      <c r="D42" s="23">
        <v>1</v>
      </c>
      <c r="E42" s="102" t="s">
        <v>312</v>
      </c>
      <c r="F42" s="39"/>
      <c r="G42" s="32"/>
      <c r="H42" s="32"/>
      <c r="I42" s="32"/>
      <c r="J42" s="32"/>
      <c r="K42" s="32"/>
      <c r="L42" s="32"/>
      <c r="M42" s="32"/>
      <c r="N42" s="32">
        <f t="shared" si="0"/>
        <v>1949.1525423728815</v>
      </c>
      <c r="O42" s="32">
        <v>1949.1525423728815</v>
      </c>
      <c r="P42" s="32">
        <v>1949.1525423728815</v>
      </c>
      <c r="Q42" s="32">
        <v>1949.1525423728815</v>
      </c>
      <c r="R42" s="32">
        <v>1949.1525423728815</v>
      </c>
      <c r="S42" s="32">
        <v>1949.1525423728815</v>
      </c>
      <c r="T42" s="32">
        <v>1949.1525423728815</v>
      </c>
      <c r="U42" s="32">
        <v>1949.1525423728815</v>
      </c>
      <c r="V42" s="32">
        <v>1949.1525423728815</v>
      </c>
      <c r="W42" s="32">
        <v>1949.1525423728815</v>
      </c>
      <c r="X42" s="32">
        <v>1949.1525423728815</v>
      </c>
      <c r="Y42" s="32">
        <v>1949.1525423728815</v>
      </c>
      <c r="Z42" s="124" t="s">
        <v>690</v>
      </c>
      <c r="AA42" s="126">
        <v>2300</v>
      </c>
      <c r="AB42" s="16" t="s">
        <v>688</v>
      </c>
    </row>
    <row r="43" spans="1:28" ht="24.75" customHeight="1">
      <c r="A43" s="123"/>
      <c r="B43" s="125">
        <v>39</v>
      </c>
      <c r="C43" s="29" t="s">
        <v>728</v>
      </c>
      <c r="D43" s="23">
        <v>1</v>
      </c>
      <c r="E43" s="102" t="s">
        <v>312</v>
      </c>
      <c r="F43" s="39"/>
      <c r="G43" s="32"/>
      <c r="H43" s="32"/>
      <c r="I43" s="32"/>
      <c r="J43" s="32"/>
      <c r="K43" s="32"/>
      <c r="L43" s="32"/>
      <c r="M43" s="32"/>
      <c r="N43" s="32">
        <f t="shared" si="0"/>
        <v>3050.8474576271187</v>
      </c>
      <c r="O43" s="32">
        <v>3050.8474576271187</v>
      </c>
      <c r="P43" s="32">
        <v>3050.8474576271187</v>
      </c>
      <c r="Q43" s="32">
        <v>3050.8474576271187</v>
      </c>
      <c r="R43" s="32">
        <v>3050.8474576271187</v>
      </c>
      <c r="S43" s="32">
        <v>3050.8474576271187</v>
      </c>
      <c r="T43" s="32">
        <v>3050.8474576271187</v>
      </c>
      <c r="U43" s="32">
        <v>3050.8474576271187</v>
      </c>
      <c r="V43" s="32">
        <v>3050.8474576271187</v>
      </c>
      <c r="W43" s="32">
        <v>3050.8474576271187</v>
      </c>
      <c r="X43" s="32">
        <v>3050.8474576271187</v>
      </c>
      <c r="Y43" s="32">
        <v>3050.8474576271187</v>
      </c>
      <c r="Z43" s="124" t="s">
        <v>690</v>
      </c>
      <c r="AA43" s="126">
        <v>3600</v>
      </c>
      <c r="AB43" s="16" t="s">
        <v>688</v>
      </c>
    </row>
    <row r="44" spans="1:28" ht="24.75" customHeight="1">
      <c r="A44" s="123"/>
      <c r="B44" s="125">
        <v>40</v>
      </c>
      <c r="C44" s="29" t="s">
        <v>729</v>
      </c>
      <c r="D44" s="23">
        <v>1</v>
      </c>
      <c r="E44" s="102" t="s">
        <v>312</v>
      </c>
      <c r="F44" s="39"/>
      <c r="G44" s="32"/>
      <c r="H44" s="32"/>
      <c r="I44" s="32"/>
      <c r="J44" s="32"/>
      <c r="K44" s="32"/>
      <c r="L44" s="32"/>
      <c r="M44" s="32"/>
      <c r="N44" s="32">
        <f t="shared" si="0"/>
        <v>4711.8644067796613</v>
      </c>
      <c r="O44" s="32">
        <v>4711.8644067796613</v>
      </c>
      <c r="P44" s="32">
        <v>4711.8644067796613</v>
      </c>
      <c r="Q44" s="32">
        <v>4711.8644067796613</v>
      </c>
      <c r="R44" s="32">
        <v>4711.8644067796613</v>
      </c>
      <c r="S44" s="32">
        <v>4711.8644067796613</v>
      </c>
      <c r="T44" s="32">
        <v>4711.8644067796613</v>
      </c>
      <c r="U44" s="32">
        <v>4711.8644067796613</v>
      </c>
      <c r="V44" s="32">
        <v>4711.8644067796613</v>
      </c>
      <c r="W44" s="32">
        <v>4711.8644067796613</v>
      </c>
      <c r="X44" s="32">
        <v>4711.8644067796613</v>
      </c>
      <c r="Y44" s="32">
        <v>4711.8644067796613</v>
      </c>
      <c r="Z44" s="124" t="s">
        <v>690</v>
      </c>
      <c r="AA44" s="126">
        <v>5560</v>
      </c>
      <c r="AB44" s="16" t="s">
        <v>688</v>
      </c>
    </row>
    <row r="45" spans="1:28" ht="24.75" customHeight="1">
      <c r="A45" s="123"/>
      <c r="B45" s="125">
        <v>41</v>
      </c>
      <c r="C45" s="29" t="s">
        <v>730</v>
      </c>
      <c r="D45" s="23">
        <v>1</v>
      </c>
      <c r="E45" s="102" t="s">
        <v>312</v>
      </c>
      <c r="F45" s="39"/>
      <c r="G45" s="32"/>
      <c r="H45" s="32"/>
      <c r="I45" s="32"/>
      <c r="J45" s="32"/>
      <c r="K45" s="32"/>
      <c r="L45" s="32"/>
      <c r="M45" s="32"/>
      <c r="N45" s="32">
        <f t="shared" si="0"/>
        <v>5779.6610169491532</v>
      </c>
      <c r="O45" s="32">
        <v>5779.6610169491532</v>
      </c>
      <c r="P45" s="32">
        <v>5779.6610169491532</v>
      </c>
      <c r="Q45" s="32">
        <v>5779.6610169491532</v>
      </c>
      <c r="R45" s="32">
        <v>5779.6610169491532</v>
      </c>
      <c r="S45" s="32">
        <v>5779.6610169491532</v>
      </c>
      <c r="T45" s="32">
        <v>5779.6610169491532</v>
      </c>
      <c r="U45" s="32">
        <v>5779.6610169491532</v>
      </c>
      <c r="V45" s="32">
        <v>5779.6610169491532</v>
      </c>
      <c r="W45" s="32">
        <v>5779.6610169491532</v>
      </c>
      <c r="X45" s="32">
        <v>5779.6610169491532</v>
      </c>
      <c r="Y45" s="32">
        <v>5779.6610169491532</v>
      </c>
      <c r="Z45" s="124" t="s">
        <v>690</v>
      </c>
      <c r="AA45" s="126">
        <v>6820</v>
      </c>
      <c r="AB45" s="16" t="s">
        <v>688</v>
      </c>
    </row>
    <row r="46" spans="1:28" ht="24.75" customHeight="1">
      <c r="A46" s="123"/>
      <c r="B46" s="125">
        <v>42</v>
      </c>
      <c r="C46" s="29" t="s">
        <v>731</v>
      </c>
      <c r="D46" s="23">
        <v>1</v>
      </c>
      <c r="E46" s="102" t="s">
        <v>312</v>
      </c>
      <c r="F46" s="39"/>
      <c r="G46" s="32"/>
      <c r="H46" s="32"/>
      <c r="I46" s="32"/>
      <c r="J46" s="32"/>
      <c r="K46" s="32"/>
      <c r="L46" s="32"/>
      <c r="M46" s="32"/>
      <c r="N46" s="32">
        <f t="shared" si="0"/>
        <v>12305.084745762713</v>
      </c>
      <c r="O46" s="32">
        <v>12305.084745762713</v>
      </c>
      <c r="P46" s="32">
        <v>12305.084745762713</v>
      </c>
      <c r="Q46" s="32">
        <v>12305.084745762713</v>
      </c>
      <c r="R46" s="32">
        <v>12305.084745762713</v>
      </c>
      <c r="S46" s="32">
        <v>12305.084745762713</v>
      </c>
      <c r="T46" s="32">
        <v>12305.084745762713</v>
      </c>
      <c r="U46" s="32">
        <v>12305.084745762713</v>
      </c>
      <c r="V46" s="32">
        <v>12305.084745762713</v>
      </c>
      <c r="W46" s="32">
        <v>12305.084745762713</v>
      </c>
      <c r="X46" s="32">
        <v>12305.084745762713</v>
      </c>
      <c r="Y46" s="32">
        <v>12305.084745762713</v>
      </c>
      <c r="Z46" s="124" t="s">
        <v>690</v>
      </c>
      <c r="AA46" s="126">
        <v>14520</v>
      </c>
      <c r="AB46" s="16" t="s">
        <v>688</v>
      </c>
    </row>
    <row r="47" spans="1:28" ht="24.75" customHeight="1">
      <c r="A47" s="123"/>
      <c r="B47" s="125">
        <v>43</v>
      </c>
      <c r="C47" s="29" t="s">
        <v>732</v>
      </c>
      <c r="D47" s="23">
        <v>1</v>
      </c>
      <c r="E47" s="102" t="s">
        <v>312</v>
      </c>
      <c r="F47" s="39"/>
      <c r="G47" s="32"/>
      <c r="H47" s="32"/>
      <c r="I47" s="32"/>
      <c r="J47" s="32"/>
      <c r="K47" s="32"/>
      <c r="L47" s="32"/>
      <c r="M47" s="32"/>
      <c r="N47" s="32">
        <f t="shared" si="0"/>
        <v>14516.949152542373</v>
      </c>
      <c r="O47" s="32">
        <v>14516.949152542373</v>
      </c>
      <c r="P47" s="32">
        <v>14516.949152542373</v>
      </c>
      <c r="Q47" s="32">
        <v>14516.949152542373</v>
      </c>
      <c r="R47" s="32">
        <v>14516.949152542373</v>
      </c>
      <c r="S47" s="32">
        <v>14516.949152542373</v>
      </c>
      <c r="T47" s="32">
        <v>14516.949152542373</v>
      </c>
      <c r="U47" s="32">
        <v>14516.949152542373</v>
      </c>
      <c r="V47" s="32">
        <v>14516.949152542373</v>
      </c>
      <c r="W47" s="32">
        <v>14516.949152542373</v>
      </c>
      <c r="X47" s="32">
        <v>14516.949152542373</v>
      </c>
      <c r="Y47" s="32">
        <v>14516.949152542373</v>
      </c>
      <c r="Z47" s="124" t="s">
        <v>690</v>
      </c>
      <c r="AA47" s="126">
        <v>17130</v>
      </c>
      <c r="AB47" s="16" t="s">
        <v>688</v>
      </c>
    </row>
    <row r="48" spans="1:28" ht="24.75" customHeight="1">
      <c r="A48" s="123"/>
      <c r="B48" s="125">
        <v>44</v>
      </c>
      <c r="C48" s="29" t="s">
        <v>733</v>
      </c>
      <c r="D48" s="23">
        <v>1</v>
      </c>
      <c r="E48" s="102" t="s">
        <v>312</v>
      </c>
      <c r="F48" s="39"/>
      <c r="G48" s="32"/>
      <c r="H48" s="32"/>
      <c r="I48" s="32"/>
      <c r="J48" s="32"/>
      <c r="K48" s="32"/>
      <c r="L48" s="32"/>
      <c r="M48" s="32"/>
      <c r="N48" s="32">
        <f t="shared" si="0"/>
        <v>23059.322033898305</v>
      </c>
      <c r="O48" s="32">
        <v>23059.322033898305</v>
      </c>
      <c r="P48" s="32">
        <v>23059.322033898305</v>
      </c>
      <c r="Q48" s="32">
        <v>23059.322033898305</v>
      </c>
      <c r="R48" s="32">
        <v>23059.322033898305</v>
      </c>
      <c r="S48" s="32">
        <v>23059.322033898305</v>
      </c>
      <c r="T48" s="32">
        <v>23059.322033898305</v>
      </c>
      <c r="U48" s="32">
        <v>23059.322033898305</v>
      </c>
      <c r="V48" s="32">
        <v>23059.322033898305</v>
      </c>
      <c r="W48" s="32">
        <v>23059.322033898305</v>
      </c>
      <c r="X48" s="32">
        <v>23059.322033898305</v>
      </c>
      <c r="Y48" s="32">
        <v>23059.322033898305</v>
      </c>
      <c r="Z48" s="124" t="s">
        <v>690</v>
      </c>
      <c r="AA48" s="126">
        <v>27210</v>
      </c>
      <c r="AB48" s="16" t="s">
        <v>688</v>
      </c>
    </row>
    <row r="49" spans="1:28" ht="24.75" customHeight="1">
      <c r="A49" s="123"/>
      <c r="B49" s="125">
        <v>45</v>
      </c>
      <c r="C49" s="29" t="s">
        <v>734</v>
      </c>
      <c r="D49" s="23">
        <v>1</v>
      </c>
      <c r="E49" s="102" t="s">
        <v>312</v>
      </c>
      <c r="F49" s="39"/>
      <c r="G49" s="32"/>
      <c r="H49" s="32"/>
      <c r="I49" s="32"/>
      <c r="J49" s="32"/>
      <c r="K49" s="32"/>
      <c r="L49" s="32"/>
      <c r="M49" s="32"/>
      <c r="N49" s="32">
        <f t="shared" si="0"/>
        <v>30864.406779661018</v>
      </c>
      <c r="O49" s="32">
        <v>30864.406779661018</v>
      </c>
      <c r="P49" s="32">
        <v>30864.406779661018</v>
      </c>
      <c r="Q49" s="32">
        <v>30864.406779661018</v>
      </c>
      <c r="R49" s="32">
        <v>30864.406779661018</v>
      </c>
      <c r="S49" s="32">
        <v>30864.406779661018</v>
      </c>
      <c r="T49" s="32">
        <v>30864.406779661018</v>
      </c>
      <c r="U49" s="32">
        <v>30864.406779661018</v>
      </c>
      <c r="V49" s="32">
        <v>30864.406779661018</v>
      </c>
      <c r="W49" s="32">
        <v>30864.406779661018</v>
      </c>
      <c r="X49" s="32">
        <v>30864.406779661018</v>
      </c>
      <c r="Y49" s="32">
        <v>30864.406779661018</v>
      </c>
      <c r="Z49" s="124" t="s">
        <v>690</v>
      </c>
      <c r="AA49" s="126">
        <v>36420</v>
      </c>
      <c r="AB49" s="16" t="s">
        <v>688</v>
      </c>
    </row>
    <row r="50" spans="1:28" ht="24.75" customHeight="1">
      <c r="A50" s="123"/>
      <c r="B50" s="125">
        <v>46</v>
      </c>
      <c r="C50" s="29" t="s">
        <v>735</v>
      </c>
      <c r="D50" s="23">
        <v>1</v>
      </c>
      <c r="E50" s="102" t="s">
        <v>312</v>
      </c>
      <c r="F50" s="39"/>
      <c r="G50" s="32"/>
      <c r="H50" s="32"/>
      <c r="I50" s="32"/>
      <c r="J50" s="32"/>
      <c r="K50" s="32"/>
      <c r="L50" s="32"/>
      <c r="M50" s="32"/>
      <c r="N50" s="32">
        <f t="shared" si="0"/>
        <v>61237.288135593226</v>
      </c>
      <c r="O50" s="32">
        <v>61237.288135593226</v>
      </c>
      <c r="P50" s="32">
        <v>61237.288135593226</v>
      </c>
      <c r="Q50" s="32">
        <v>61237.288135593226</v>
      </c>
      <c r="R50" s="32">
        <v>61237.288135593226</v>
      </c>
      <c r="S50" s="32">
        <v>61237.288135593226</v>
      </c>
      <c r="T50" s="32">
        <v>61237.288135593226</v>
      </c>
      <c r="U50" s="32">
        <v>61237.288135593226</v>
      </c>
      <c r="V50" s="32">
        <v>61237.288135593226</v>
      </c>
      <c r="W50" s="32">
        <v>61237.288135593226</v>
      </c>
      <c r="X50" s="32">
        <v>61237.288135593226</v>
      </c>
      <c r="Y50" s="32">
        <v>61237.288135593226</v>
      </c>
      <c r="Z50" s="124" t="s">
        <v>690</v>
      </c>
      <c r="AA50" s="126">
        <v>72260</v>
      </c>
      <c r="AB50" s="16" t="s">
        <v>688</v>
      </c>
    </row>
    <row r="51" spans="1:28" ht="24.75" customHeight="1">
      <c r="A51" s="123"/>
      <c r="B51" s="125">
        <v>47</v>
      </c>
      <c r="C51" s="29" t="s">
        <v>736</v>
      </c>
      <c r="D51" s="23">
        <v>1</v>
      </c>
      <c r="E51" s="102" t="s">
        <v>312</v>
      </c>
      <c r="F51" s="39"/>
      <c r="G51" s="32"/>
      <c r="H51" s="32"/>
      <c r="I51" s="32"/>
      <c r="J51" s="32"/>
      <c r="K51" s="32"/>
      <c r="L51" s="32"/>
      <c r="M51" s="32"/>
      <c r="N51" s="32">
        <f t="shared" si="0"/>
        <v>92262.711864406781</v>
      </c>
      <c r="O51" s="32">
        <v>92262.711864406781</v>
      </c>
      <c r="P51" s="32">
        <v>92262.711864406781</v>
      </c>
      <c r="Q51" s="32">
        <v>92262.711864406781</v>
      </c>
      <c r="R51" s="32">
        <v>92262.711864406781</v>
      </c>
      <c r="S51" s="32">
        <v>92262.711864406781</v>
      </c>
      <c r="T51" s="32">
        <v>92262.711864406781</v>
      </c>
      <c r="U51" s="32">
        <v>92262.711864406781</v>
      </c>
      <c r="V51" s="32">
        <v>92262.711864406781</v>
      </c>
      <c r="W51" s="32">
        <v>92262.711864406781</v>
      </c>
      <c r="X51" s="32">
        <v>92262.711864406781</v>
      </c>
      <c r="Y51" s="32">
        <v>92262.711864406781</v>
      </c>
      <c r="Z51" s="124" t="s">
        <v>690</v>
      </c>
      <c r="AA51" s="126">
        <v>108870</v>
      </c>
      <c r="AB51" s="16" t="s">
        <v>688</v>
      </c>
    </row>
    <row r="52" spans="1:28" ht="24.75" customHeight="1">
      <c r="A52" s="123"/>
      <c r="B52" s="125">
        <v>48</v>
      </c>
      <c r="C52" s="29" t="s">
        <v>737</v>
      </c>
      <c r="D52" s="23">
        <v>1</v>
      </c>
      <c r="E52" s="102" t="s">
        <v>312</v>
      </c>
      <c r="F52" s="39"/>
      <c r="G52" s="32"/>
      <c r="H52" s="32"/>
      <c r="I52" s="32"/>
      <c r="J52" s="32"/>
      <c r="K52" s="32"/>
      <c r="L52" s="32"/>
      <c r="M52" s="32"/>
      <c r="N52" s="32">
        <f t="shared" si="0"/>
        <v>117483.05084745763</v>
      </c>
      <c r="O52" s="32">
        <v>117483.05084745763</v>
      </c>
      <c r="P52" s="32">
        <v>117483.05084745763</v>
      </c>
      <c r="Q52" s="32">
        <v>117483.05084745763</v>
      </c>
      <c r="R52" s="32">
        <v>117483.05084745763</v>
      </c>
      <c r="S52" s="32">
        <v>117483.05084745763</v>
      </c>
      <c r="T52" s="32">
        <v>117483.05084745763</v>
      </c>
      <c r="U52" s="32">
        <v>117483.05084745763</v>
      </c>
      <c r="V52" s="32">
        <v>117483.05084745763</v>
      </c>
      <c r="W52" s="32">
        <v>117483.05084745763</v>
      </c>
      <c r="X52" s="32">
        <v>117483.05084745763</v>
      </c>
      <c r="Y52" s="32">
        <v>117483.05084745763</v>
      </c>
      <c r="Z52" s="124" t="s">
        <v>690</v>
      </c>
      <c r="AA52" s="126">
        <v>138630</v>
      </c>
      <c r="AB52" s="16" t="s">
        <v>688</v>
      </c>
    </row>
    <row r="53" spans="1:28" ht="24.75" customHeight="1">
      <c r="A53" s="123"/>
      <c r="B53" s="125">
        <v>49</v>
      </c>
      <c r="C53" s="29" t="s">
        <v>738</v>
      </c>
      <c r="D53" s="23">
        <v>1</v>
      </c>
      <c r="E53" s="102" t="s">
        <v>312</v>
      </c>
      <c r="F53" s="39"/>
      <c r="G53" s="32"/>
      <c r="H53" s="32"/>
      <c r="I53" s="32"/>
      <c r="J53" s="32"/>
      <c r="K53" s="32"/>
      <c r="L53" s="32"/>
      <c r="M53" s="32"/>
      <c r="N53" s="32">
        <f t="shared" si="0"/>
        <v>1542.3728813559323</v>
      </c>
      <c r="O53" s="32">
        <v>1542.3728813559323</v>
      </c>
      <c r="P53" s="32">
        <v>1542.3728813559323</v>
      </c>
      <c r="Q53" s="32">
        <v>1542.3728813559323</v>
      </c>
      <c r="R53" s="32">
        <v>1542.3728813559323</v>
      </c>
      <c r="S53" s="32">
        <v>1542.3728813559323</v>
      </c>
      <c r="T53" s="32">
        <v>1542.3728813559323</v>
      </c>
      <c r="U53" s="32">
        <v>1542.3728813559323</v>
      </c>
      <c r="V53" s="32">
        <v>1542.3728813559323</v>
      </c>
      <c r="W53" s="32">
        <v>1542.3728813559323</v>
      </c>
      <c r="X53" s="32">
        <v>1542.3728813559323</v>
      </c>
      <c r="Y53" s="32">
        <v>1542.3728813559323</v>
      </c>
      <c r="Z53" s="124" t="s">
        <v>690</v>
      </c>
      <c r="AA53" s="126">
        <v>1820</v>
      </c>
      <c r="AB53" s="16" t="s">
        <v>688</v>
      </c>
    </row>
    <row r="54" spans="1:28" ht="24.75" customHeight="1">
      <c r="A54" s="123"/>
      <c r="B54" s="125">
        <v>50</v>
      </c>
      <c r="C54" s="29" t="s">
        <v>739</v>
      </c>
      <c r="D54" s="23">
        <v>1</v>
      </c>
      <c r="E54" s="102" t="s">
        <v>312</v>
      </c>
      <c r="F54" s="39"/>
      <c r="G54" s="32"/>
      <c r="H54" s="32"/>
      <c r="I54" s="32"/>
      <c r="J54" s="32"/>
      <c r="K54" s="32"/>
      <c r="L54" s="32"/>
      <c r="M54" s="32"/>
      <c r="N54" s="32">
        <f t="shared" si="0"/>
        <v>1966.1016949152543</v>
      </c>
      <c r="O54" s="32">
        <v>1966.1016949152543</v>
      </c>
      <c r="P54" s="32">
        <v>1966.1016949152543</v>
      </c>
      <c r="Q54" s="32">
        <v>1966.1016949152543</v>
      </c>
      <c r="R54" s="32">
        <v>1966.1016949152543</v>
      </c>
      <c r="S54" s="32">
        <v>1966.1016949152543</v>
      </c>
      <c r="T54" s="32">
        <v>1966.1016949152543</v>
      </c>
      <c r="U54" s="32">
        <v>1966.1016949152543</v>
      </c>
      <c r="V54" s="32">
        <v>1966.1016949152543</v>
      </c>
      <c r="W54" s="32">
        <v>1966.1016949152543</v>
      </c>
      <c r="X54" s="32">
        <v>1966.1016949152543</v>
      </c>
      <c r="Y54" s="32">
        <v>1966.1016949152543</v>
      </c>
      <c r="Z54" s="124" t="s">
        <v>690</v>
      </c>
      <c r="AA54" s="126">
        <v>2320</v>
      </c>
      <c r="AB54" s="16" t="s">
        <v>688</v>
      </c>
    </row>
    <row r="55" spans="1:28" ht="24.75" customHeight="1">
      <c r="A55" s="123"/>
      <c r="B55" s="125">
        <v>51</v>
      </c>
      <c r="C55" s="29" t="s">
        <v>740</v>
      </c>
      <c r="D55" s="23">
        <v>1</v>
      </c>
      <c r="E55" s="102" t="s">
        <v>312</v>
      </c>
      <c r="F55" s="39"/>
      <c r="G55" s="32"/>
      <c r="H55" s="32"/>
      <c r="I55" s="32"/>
      <c r="J55" s="32"/>
      <c r="K55" s="32"/>
      <c r="L55" s="32"/>
      <c r="M55" s="32"/>
      <c r="N55" s="32">
        <f t="shared" si="0"/>
        <v>3084.7457627118647</v>
      </c>
      <c r="O55" s="32">
        <v>3084.7457627118647</v>
      </c>
      <c r="P55" s="32">
        <v>3084.7457627118647</v>
      </c>
      <c r="Q55" s="32">
        <v>3084.7457627118647</v>
      </c>
      <c r="R55" s="32">
        <v>3084.7457627118647</v>
      </c>
      <c r="S55" s="32">
        <v>3084.7457627118647</v>
      </c>
      <c r="T55" s="32">
        <v>3084.7457627118647</v>
      </c>
      <c r="U55" s="32">
        <v>3084.7457627118647</v>
      </c>
      <c r="V55" s="32">
        <v>3084.7457627118647</v>
      </c>
      <c r="W55" s="32">
        <v>3084.7457627118647</v>
      </c>
      <c r="X55" s="32">
        <v>3084.7457627118647</v>
      </c>
      <c r="Y55" s="32">
        <v>3084.7457627118647</v>
      </c>
      <c r="Z55" s="124" t="s">
        <v>690</v>
      </c>
      <c r="AA55" s="126">
        <v>3640</v>
      </c>
      <c r="AB55" s="16" t="s">
        <v>688</v>
      </c>
    </row>
    <row r="56" spans="1:28" ht="24.75" customHeight="1">
      <c r="A56" s="123"/>
      <c r="B56" s="125">
        <v>52</v>
      </c>
      <c r="C56" s="29" t="s">
        <v>741</v>
      </c>
      <c r="D56" s="23">
        <v>1</v>
      </c>
      <c r="E56" s="102" t="s">
        <v>312</v>
      </c>
      <c r="F56" s="39"/>
      <c r="G56" s="32"/>
      <c r="H56" s="32"/>
      <c r="I56" s="32"/>
      <c r="J56" s="32"/>
      <c r="K56" s="32"/>
      <c r="L56" s="32"/>
      <c r="M56" s="32"/>
      <c r="N56" s="32">
        <f t="shared" si="0"/>
        <v>4796.610169491526</v>
      </c>
      <c r="O56" s="32">
        <v>4796.610169491526</v>
      </c>
      <c r="P56" s="32">
        <v>4796.610169491526</v>
      </c>
      <c r="Q56" s="32">
        <v>4796.610169491526</v>
      </c>
      <c r="R56" s="32">
        <v>4796.610169491526</v>
      </c>
      <c r="S56" s="32">
        <v>4796.610169491526</v>
      </c>
      <c r="T56" s="32">
        <v>4796.610169491526</v>
      </c>
      <c r="U56" s="32">
        <v>4796.610169491526</v>
      </c>
      <c r="V56" s="32">
        <v>4796.610169491526</v>
      </c>
      <c r="W56" s="32">
        <v>4796.610169491526</v>
      </c>
      <c r="X56" s="32">
        <v>4796.610169491526</v>
      </c>
      <c r="Y56" s="32">
        <v>4796.610169491526</v>
      </c>
      <c r="Z56" s="124" t="s">
        <v>690</v>
      </c>
      <c r="AA56" s="126">
        <v>5660</v>
      </c>
      <c r="AB56" s="16" t="s">
        <v>688</v>
      </c>
    </row>
    <row r="57" spans="1:28" ht="24.75" customHeight="1">
      <c r="A57" s="123"/>
      <c r="B57" s="125">
        <v>53</v>
      </c>
      <c r="C57" s="29" t="s">
        <v>742</v>
      </c>
      <c r="D57" s="23">
        <v>1</v>
      </c>
      <c r="E57" s="102" t="s">
        <v>312</v>
      </c>
      <c r="F57" s="39"/>
      <c r="G57" s="32"/>
      <c r="H57" s="32"/>
      <c r="I57" s="32"/>
      <c r="J57" s="32"/>
      <c r="K57" s="32"/>
      <c r="L57" s="32"/>
      <c r="M57" s="32"/>
      <c r="N57" s="32">
        <f t="shared" si="0"/>
        <v>5915.2542372881362</v>
      </c>
      <c r="O57" s="32">
        <v>5915.2542372881362</v>
      </c>
      <c r="P57" s="32">
        <v>5915.2542372881362</v>
      </c>
      <c r="Q57" s="32">
        <v>5915.2542372881362</v>
      </c>
      <c r="R57" s="32">
        <v>5915.2542372881362</v>
      </c>
      <c r="S57" s="32">
        <v>5915.2542372881362</v>
      </c>
      <c r="T57" s="32">
        <v>5915.2542372881362</v>
      </c>
      <c r="U57" s="32">
        <v>5915.2542372881362</v>
      </c>
      <c r="V57" s="32">
        <v>5915.2542372881362</v>
      </c>
      <c r="W57" s="32">
        <v>5915.2542372881362</v>
      </c>
      <c r="X57" s="32">
        <v>5915.2542372881362</v>
      </c>
      <c r="Y57" s="32">
        <v>5915.2542372881362</v>
      </c>
      <c r="Z57" s="124" t="s">
        <v>690</v>
      </c>
      <c r="AA57" s="126">
        <v>6980</v>
      </c>
      <c r="AB57" s="16" t="s">
        <v>688</v>
      </c>
    </row>
    <row r="58" spans="1:28" ht="24.75" customHeight="1">
      <c r="A58" s="123"/>
      <c r="B58" s="125">
        <v>54</v>
      </c>
      <c r="C58" s="29" t="s">
        <v>743</v>
      </c>
      <c r="D58" s="23">
        <v>1</v>
      </c>
      <c r="E58" s="102" t="s">
        <v>312</v>
      </c>
      <c r="F58" s="39"/>
      <c r="G58" s="32"/>
      <c r="H58" s="32"/>
      <c r="I58" s="32"/>
      <c r="J58" s="32"/>
      <c r="K58" s="32"/>
      <c r="L58" s="32"/>
      <c r="M58" s="32"/>
      <c r="N58" s="32">
        <f t="shared" si="0"/>
        <v>12406.77966101695</v>
      </c>
      <c r="O58" s="32">
        <v>12406.77966101695</v>
      </c>
      <c r="P58" s="32">
        <v>12406.77966101695</v>
      </c>
      <c r="Q58" s="32">
        <v>12406.77966101695</v>
      </c>
      <c r="R58" s="32">
        <v>12406.77966101695</v>
      </c>
      <c r="S58" s="32">
        <v>12406.77966101695</v>
      </c>
      <c r="T58" s="32">
        <v>12406.77966101695</v>
      </c>
      <c r="U58" s="32">
        <v>12406.77966101695</v>
      </c>
      <c r="V58" s="32">
        <v>12406.77966101695</v>
      </c>
      <c r="W58" s="32">
        <v>12406.77966101695</v>
      </c>
      <c r="X58" s="32">
        <v>12406.77966101695</v>
      </c>
      <c r="Y58" s="32">
        <v>12406.77966101695</v>
      </c>
      <c r="Z58" s="124" t="s">
        <v>690</v>
      </c>
      <c r="AA58" s="126">
        <v>14640</v>
      </c>
      <c r="AB58" s="16" t="s">
        <v>688</v>
      </c>
    </row>
    <row r="59" spans="1:28" ht="24.75" customHeight="1">
      <c r="A59" s="123"/>
      <c r="B59" s="125">
        <v>55</v>
      </c>
      <c r="C59" s="29" t="s">
        <v>744</v>
      </c>
      <c r="D59" s="23">
        <v>1</v>
      </c>
      <c r="E59" s="102" t="s">
        <v>312</v>
      </c>
      <c r="F59" s="39"/>
      <c r="G59" s="32"/>
      <c r="H59" s="32"/>
      <c r="I59" s="32"/>
      <c r="J59" s="32"/>
      <c r="K59" s="32"/>
      <c r="L59" s="32"/>
      <c r="M59" s="32"/>
      <c r="N59" s="32">
        <f t="shared" si="0"/>
        <v>14771.186440677968</v>
      </c>
      <c r="O59" s="32">
        <v>14771.186440677968</v>
      </c>
      <c r="P59" s="32">
        <v>14771.186440677968</v>
      </c>
      <c r="Q59" s="32">
        <v>14771.186440677968</v>
      </c>
      <c r="R59" s="32">
        <v>14771.186440677968</v>
      </c>
      <c r="S59" s="32">
        <v>14771.186440677968</v>
      </c>
      <c r="T59" s="32">
        <v>14771.186440677968</v>
      </c>
      <c r="U59" s="32">
        <v>14771.186440677968</v>
      </c>
      <c r="V59" s="32">
        <v>14771.186440677968</v>
      </c>
      <c r="W59" s="32">
        <v>14771.186440677968</v>
      </c>
      <c r="X59" s="32">
        <v>14771.186440677968</v>
      </c>
      <c r="Y59" s="32">
        <v>14771.186440677968</v>
      </c>
      <c r="Z59" s="124" t="s">
        <v>690</v>
      </c>
      <c r="AA59" s="126">
        <v>17430</v>
      </c>
      <c r="AB59" s="16" t="s">
        <v>688</v>
      </c>
    </row>
    <row r="60" spans="1:28" ht="24.75" customHeight="1">
      <c r="A60" s="123"/>
      <c r="B60" s="125">
        <v>56</v>
      </c>
      <c r="C60" s="29" t="s">
        <v>745</v>
      </c>
      <c r="D60" s="23">
        <v>1</v>
      </c>
      <c r="E60" s="102" t="s">
        <v>312</v>
      </c>
      <c r="F60" s="39"/>
      <c r="G60" s="32"/>
      <c r="H60" s="32"/>
      <c r="I60" s="32"/>
      <c r="J60" s="32"/>
      <c r="K60" s="32"/>
      <c r="L60" s="32"/>
      <c r="M60" s="32"/>
      <c r="N60" s="32">
        <f t="shared" si="0"/>
        <v>24101.69491525424</v>
      </c>
      <c r="O60" s="32">
        <v>24101.69491525424</v>
      </c>
      <c r="P60" s="32">
        <v>24101.69491525424</v>
      </c>
      <c r="Q60" s="32">
        <v>24101.69491525424</v>
      </c>
      <c r="R60" s="32">
        <v>24101.69491525424</v>
      </c>
      <c r="S60" s="32">
        <v>24101.69491525424</v>
      </c>
      <c r="T60" s="32">
        <v>24101.69491525424</v>
      </c>
      <c r="U60" s="32">
        <v>24101.69491525424</v>
      </c>
      <c r="V60" s="32">
        <v>24101.69491525424</v>
      </c>
      <c r="W60" s="32">
        <v>24101.69491525424</v>
      </c>
      <c r="X60" s="32">
        <v>24101.69491525424</v>
      </c>
      <c r="Y60" s="32">
        <v>24101.69491525424</v>
      </c>
      <c r="Z60" s="124" t="s">
        <v>690</v>
      </c>
      <c r="AA60" s="126">
        <v>28440</v>
      </c>
      <c r="AB60" s="16" t="s">
        <v>688</v>
      </c>
    </row>
    <row r="61" spans="1:28" ht="24.75" customHeight="1">
      <c r="A61" s="123"/>
      <c r="B61" s="125">
        <v>57</v>
      </c>
      <c r="C61" s="29" t="s">
        <v>746</v>
      </c>
      <c r="D61" s="23">
        <v>1</v>
      </c>
      <c r="E61" s="102" t="s">
        <v>312</v>
      </c>
      <c r="F61" s="39"/>
      <c r="G61" s="32"/>
      <c r="H61" s="32"/>
      <c r="I61" s="32"/>
      <c r="J61" s="32"/>
      <c r="K61" s="32"/>
      <c r="L61" s="32"/>
      <c r="M61" s="32"/>
      <c r="N61" s="32">
        <f t="shared" si="0"/>
        <v>31627.118644067799</v>
      </c>
      <c r="O61" s="32">
        <v>31627.118644067799</v>
      </c>
      <c r="P61" s="32">
        <v>31627.118644067799</v>
      </c>
      <c r="Q61" s="32">
        <v>31627.118644067799</v>
      </c>
      <c r="R61" s="32">
        <v>31627.118644067799</v>
      </c>
      <c r="S61" s="32">
        <v>31627.118644067799</v>
      </c>
      <c r="T61" s="32">
        <v>31627.118644067799</v>
      </c>
      <c r="U61" s="32">
        <v>31627.118644067799</v>
      </c>
      <c r="V61" s="32">
        <v>31627.118644067799</v>
      </c>
      <c r="W61" s="32">
        <v>31627.118644067799</v>
      </c>
      <c r="X61" s="32">
        <v>31627.118644067799</v>
      </c>
      <c r="Y61" s="32">
        <v>31627.118644067799</v>
      </c>
      <c r="Z61" s="124" t="s">
        <v>690</v>
      </c>
      <c r="AA61" s="126">
        <v>37320</v>
      </c>
      <c r="AB61" s="16" t="s">
        <v>688</v>
      </c>
    </row>
    <row r="62" spans="1:28" ht="24.75" customHeight="1">
      <c r="A62" s="123"/>
      <c r="B62" s="125">
        <v>58</v>
      </c>
      <c r="C62" s="29" t="s">
        <v>747</v>
      </c>
      <c r="D62" s="23">
        <v>1</v>
      </c>
      <c r="E62" s="102" t="s">
        <v>312</v>
      </c>
      <c r="F62" s="39"/>
      <c r="G62" s="32"/>
      <c r="H62" s="32"/>
      <c r="I62" s="32"/>
      <c r="J62" s="32"/>
      <c r="K62" s="32"/>
      <c r="L62" s="32"/>
      <c r="M62" s="32"/>
      <c r="N62" s="32">
        <f t="shared" si="0"/>
        <v>62008.47457627119</v>
      </c>
      <c r="O62" s="32">
        <v>62008.47457627119</v>
      </c>
      <c r="P62" s="32">
        <v>62008.47457627119</v>
      </c>
      <c r="Q62" s="32">
        <v>62008.47457627119</v>
      </c>
      <c r="R62" s="32">
        <v>62008.47457627119</v>
      </c>
      <c r="S62" s="32">
        <v>62008.47457627119</v>
      </c>
      <c r="T62" s="32">
        <v>62008.47457627119</v>
      </c>
      <c r="U62" s="32">
        <v>62008.47457627119</v>
      </c>
      <c r="V62" s="32">
        <v>62008.47457627119</v>
      </c>
      <c r="W62" s="32">
        <v>62008.47457627119</v>
      </c>
      <c r="X62" s="32">
        <v>62008.47457627119</v>
      </c>
      <c r="Y62" s="32">
        <v>62008.47457627119</v>
      </c>
      <c r="Z62" s="124" t="s">
        <v>690</v>
      </c>
      <c r="AA62" s="126">
        <v>73170</v>
      </c>
      <c r="AB62" s="16" t="s">
        <v>688</v>
      </c>
    </row>
    <row r="63" spans="1:28" ht="24.75" customHeight="1">
      <c r="A63" s="123"/>
      <c r="B63" s="125">
        <v>59</v>
      </c>
      <c r="C63" s="29" t="s">
        <v>748</v>
      </c>
      <c r="D63" s="23">
        <v>1</v>
      </c>
      <c r="E63" s="102" t="s">
        <v>312</v>
      </c>
      <c r="F63" s="39"/>
      <c r="G63" s="32"/>
      <c r="H63" s="32"/>
      <c r="I63" s="32"/>
      <c r="J63" s="32"/>
      <c r="K63" s="32"/>
      <c r="L63" s="32"/>
      <c r="M63" s="32"/>
      <c r="N63" s="32">
        <f t="shared" si="0"/>
        <v>95669.491525423728</v>
      </c>
      <c r="O63" s="32">
        <v>95669.491525423728</v>
      </c>
      <c r="P63" s="32">
        <v>95669.491525423728</v>
      </c>
      <c r="Q63" s="32">
        <v>95669.491525423728</v>
      </c>
      <c r="R63" s="32">
        <v>95669.491525423728</v>
      </c>
      <c r="S63" s="32">
        <v>95669.491525423728</v>
      </c>
      <c r="T63" s="32">
        <v>95669.491525423728</v>
      </c>
      <c r="U63" s="32">
        <v>95669.491525423728</v>
      </c>
      <c r="V63" s="32">
        <v>95669.491525423728</v>
      </c>
      <c r="W63" s="32">
        <v>95669.491525423728</v>
      </c>
      <c r="X63" s="32">
        <v>95669.491525423728</v>
      </c>
      <c r="Y63" s="32">
        <v>95669.491525423728</v>
      </c>
      <c r="Z63" s="124" t="s">
        <v>690</v>
      </c>
      <c r="AA63" s="126">
        <v>112890</v>
      </c>
      <c r="AB63" s="16" t="s">
        <v>688</v>
      </c>
    </row>
    <row r="64" spans="1:28" ht="24.75" customHeight="1">
      <c r="A64" s="123"/>
      <c r="B64" s="125">
        <v>60</v>
      </c>
      <c r="C64" s="29" t="s">
        <v>749</v>
      </c>
      <c r="D64" s="23">
        <v>1</v>
      </c>
      <c r="E64" s="102" t="s">
        <v>312</v>
      </c>
      <c r="F64" s="39"/>
      <c r="G64" s="32"/>
      <c r="H64" s="32"/>
      <c r="I64" s="32"/>
      <c r="J64" s="32"/>
      <c r="K64" s="32"/>
      <c r="L64" s="32"/>
      <c r="M64" s="32"/>
      <c r="N64" s="32">
        <f t="shared" si="0"/>
        <v>12559.322033898306</v>
      </c>
      <c r="O64" s="32">
        <v>12559.322033898306</v>
      </c>
      <c r="P64" s="32">
        <v>12559.322033898306</v>
      </c>
      <c r="Q64" s="32">
        <v>12559.322033898306</v>
      </c>
      <c r="R64" s="32">
        <v>12559.322033898306</v>
      </c>
      <c r="S64" s="32">
        <v>12559.322033898306</v>
      </c>
      <c r="T64" s="32">
        <v>12559.322033898306</v>
      </c>
      <c r="U64" s="32">
        <v>12559.322033898306</v>
      </c>
      <c r="V64" s="32">
        <v>12559.322033898306</v>
      </c>
      <c r="W64" s="32">
        <v>12559.322033898306</v>
      </c>
      <c r="X64" s="32">
        <v>12559.322033898306</v>
      </c>
      <c r="Y64" s="32">
        <v>12559.322033898306</v>
      </c>
      <c r="Z64" s="124" t="s">
        <v>690</v>
      </c>
      <c r="AA64" s="126">
        <v>14820</v>
      </c>
      <c r="AB64" s="16" t="s">
        <v>688</v>
      </c>
    </row>
    <row r="65" spans="1:28" ht="24.75" customHeight="1">
      <c r="A65" s="123"/>
      <c r="B65" s="125">
        <v>61</v>
      </c>
      <c r="C65" s="29" t="s">
        <v>750</v>
      </c>
      <c r="D65" s="23">
        <v>1</v>
      </c>
      <c r="E65" s="102" t="s">
        <v>312</v>
      </c>
      <c r="F65" s="39"/>
      <c r="G65" s="32"/>
      <c r="H65" s="32"/>
      <c r="I65" s="32"/>
      <c r="J65" s="32"/>
      <c r="K65" s="32"/>
      <c r="L65" s="32"/>
      <c r="M65" s="32"/>
      <c r="N65" s="32">
        <f t="shared" si="0"/>
        <v>4864.406779661017</v>
      </c>
      <c r="O65" s="32">
        <v>4864.406779661017</v>
      </c>
      <c r="P65" s="32">
        <v>4864.406779661017</v>
      </c>
      <c r="Q65" s="32">
        <v>4864.406779661017</v>
      </c>
      <c r="R65" s="32">
        <v>4864.406779661017</v>
      </c>
      <c r="S65" s="32">
        <v>4864.406779661017</v>
      </c>
      <c r="T65" s="32">
        <v>4864.406779661017</v>
      </c>
      <c r="U65" s="32">
        <v>4864.406779661017</v>
      </c>
      <c r="V65" s="32">
        <v>4864.406779661017</v>
      </c>
      <c r="W65" s="32">
        <v>4864.406779661017</v>
      </c>
      <c r="X65" s="32">
        <v>4864.406779661017</v>
      </c>
      <c r="Y65" s="32">
        <v>4864.406779661017</v>
      </c>
      <c r="Z65" s="124" t="s">
        <v>690</v>
      </c>
      <c r="AA65" s="126">
        <v>5740</v>
      </c>
      <c r="AB65" s="16" t="s">
        <v>688</v>
      </c>
    </row>
    <row r="66" spans="1:28" ht="24.75" customHeight="1">
      <c r="A66" s="123"/>
      <c r="B66" s="125">
        <v>62</v>
      </c>
      <c r="C66" s="29" t="s">
        <v>751</v>
      </c>
      <c r="D66" s="23">
        <v>1</v>
      </c>
      <c r="E66" s="102" t="s">
        <v>312</v>
      </c>
      <c r="F66" s="39"/>
      <c r="G66" s="32"/>
      <c r="H66" s="32"/>
      <c r="I66" s="32"/>
      <c r="J66" s="32"/>
      <c r="K66" s="32"/>
      <c r="L66" s="32"/>
      <c r="M66" s="32"/>
      <c r="N66" s="32">
        <f t="shared" si="0"/>
        <v>5983.0508474576272</v>
      </c>
      <c r="O66" s="32">
        <v>5983.0508474576272</v>
      </c>
      <c r="P66" s="32">
        <v>5983.0508474576272</v>
      </c>
      <c r="Q66" s="32">
        <v>5983.0508474576272</v>
      </c>
      <c r="R66" s="32">
        <v>5983.0508474576272</v>
      </c>
      <c r="S66" s="32">
        <v>5983.0508474576272</v>
      </c>
      <c r="T66" s="32">
        <v>5983.0508474576272</v>
      </c>
      <c r="U66" s="32">
        <v>5983.0508474576272</v>
      </c>
      <c r="V66" s="32">
        <v>5983.0508474576272</v>
      </c>
      <c r="W66" s="32">
        <v>5983.0508474576272</v>
      </c>
      <c r="X66" s="32">
        <v>5983.0508474576272</v>
      </c>
      <c r="Y66" s="32">
        <v>5983.0508474576272</v>
      </c>
      <c r="Z66" s="124" t="s">
        <v>690</v>
      </c>
      <c r="AA66" s="126">
        <v>7060</v>
      </c>
      <c r="AB66" s="16" t="s">
        <v>688</v>
      </c>
    </row>
    <row r="67" spans="1:28" ht="24.75" customHeight="1">
      <c r="A67" s="123"/>
      <c r="B67" s="125">
        <v>63</v>
      </c>
      <c r="C67" s="29" t="s">
        <v>752</v>
      </c>
      <c r="D67" s="23">
        <v>1</v>
      </c>
      <c r="E67" s="102" t="s">
        <v>312</v>
      </c>
      <c r="F67" s="39"/>
      <c r="G67" s="32"/>
      <c r="H67" s="32"/>
      <c r="I67" s="32"/>
      <c r="J67" s="32"/>
      <c r="K67" s="32"/>
      <c r="L67" s="32"/>
      <c r="M67" s="32"/>
      <c r="N67" s="32">
        <f t="shared" si="0"/>
        <v>12508.474576271186</v>
      </c>
      <c r="O67" s="32">
        <v>12508.474576271186</v>
      </c>
      <c r="P67" s="32">
        <v>12508.474576271186</v>
      </c>
      <c r="Q67" s="32">
        <v>12508.474576271186</v>
      </c>
      <c r="R67" s="32">
        <v>12508.474576271186</v>
      </c>
      <c r="S67" s="32">
        <v>12508.474576271186</v>
      </c>
      <c r="T67" s="32">
        <v>12508.474576271186</v>
      </c>
      <c r="U67" s="32">
        <v>12508.474576271186</v>
      </c>
      <c r="V67" s="32">
        <v>12508.474576271186</v>
      </c>
      <c r="W67" s="32">
        <v>12508.474576271186</v>
      </c>
      <c r="X67" s="32">
        <v>12508.474576271186</v>
      </c>
      <c r="Y67" s="32">
        <v>12508.474576271186</v>
      </c>
      <c r="Z67" s="124" t="s">
        <v>690</v>
      </c>
      <c r="AA67" s="126">
        <v>14760</v>
      </c>
      <c r="AB67" s="16" t="s">
        <v>688</v>
      </c>
    </row>
    <row r="68" spans="1:28" ht="24.75" customHeight="1">
      <c r="A68" s="123"/>
      <c r="B68" s="125">
        <v>64</v>
      </c>
      <c r="C68" s="29" t="s">
        <v>753</v>
      </c>
      <c r="D68" s="23">
        <v>1</v>
      </c>
      <c r="E68" s="102" t="s">
        <v>312</v>
      </c>
      <c r="F68" s="39"/>
      <c r="G68" s="32"/>
      <c r="H68" s="32"/>
      <c r="I68" s="32"/>
      <c r="J68" s="32"/>
      <c r="K68" s="32"/>
      <c r="L68" s="32"/>
      <c r="M68" s="32"/>
      <c r="N68" s="32">
        <f t="shared" si="0"/>
        <v>14923.728813559323</v>
      </c>
      <c r="O68" s="32">
        <v>14923.728813559323</v>
      </c>
      <c r="P68" s="32">
        <v>14923.728813559323</v>
      </c>
      <c r="Q68" s="32">
        <v>14923.728813559323</v>
      </c>
      <c r="R68" s="32">
        <v>14923.728813559323</v>
      </c>
      <c r="S68" s="32">
        <v>14923.728813559323</v>
      </c>
      <c r="T68" s="32">
        <v>14923.728813559323</v>
      </c>
      <c r="U68" s="32">
        <v>14923.728813559323</v>
      </c>
      <c r="V68" s="32">
        <v>14923.728813559323</v>
      </c>
      <c r="W68" s="32">
        <v>14923.728813559323</v>
      </c>
      <c r="X68" s="32">
        <v>14923.728813559323</v>
      </c>
      <c r="Y68" s="32">
        <v>14923.728813559323</v>
      </c>
      <c r="Z68" s="124" t="s">
        <v>690</v>
      </c>
      <c r="AA68" s="126">
        <v>17610</v>
      </c>
      <c r="AB68" s="16" t="s">
        <v>688</v>
      </c>
    </row>
    <row r="69" spans="1:28" ht="24.75" customHeight="1">
      <c r="A69" s="123"/>
      <c r="B69" s="125">
        <v>65</v>
      </c>
      <c r="C69" s="29" t="s">
        <v>754</v>
      </c>
      <c r="D69" s="23">
        <v>1</v>
      </c>
      <c r="E69" s="102" t="s">
        <v>312</v>
      </c>
      <c r="F69" s="39"/>
      <c r="G69" s="32"/>
      <c r="H69" s="32"/>
      <c r="I69" s="32"/>
      <c r="J69" s="32"/>
      <c r="K69" s="32"/>
      <c r="L69" s="32"/>
      <c r="M69" s="32"/>
      <c r="N69" s="32">
        <f t="shared" si="0"/>
        <v>24228.813559322036</v>
      </c>
      <c r="O69" s="32">
        <v>24228.813559322036</v>
      </c>
      <c r="P69" s="32">
        <v>24228.813559322036</v>
      </c>
      <c r="Q69" s="32">
        <v>24228.813559322036</v>
      </c>
      <c r="R69" s="32">
        <v>24228.813559322036</v>
      </c>
      <c r="S69" s="32">
        <v>24228.813559322036</v>
      </c>
      <c r="T69" s="32">
        <v>24228.813559322036</v>
      </c>
      <c r="U69" s="32">
        <v>24228.813559322036</v>
      </c>
      <c r="V69" s="32">
        <v>24228.813559322036</v>
      </c>
      <c r="W69" s="32">
        <v>24228.813559322036</v>
      </c>
      <c r="X69" s="32">
        <v>24228.813559322036</v>
      </c>
      <c r="Y69" s="32">
        <v>24228.813559322036</v>
      </c>
      <c r="Z69" s="124" t="s">
        <v>690</v>
      </c>
      <c r="AA69" s="126">
        <v>28590</v>
      </c>
      <c r="AB69" s="16" t="s">
        <v>688</v>
      </c>
    </row>
    <row r="70" spans="1:28" ht="24.75" customHeight="1">
      <c r="A70" s="123"/>
      <c r="B70" s="125">
        <v>66</v>
      </c>
      <c r="C70" s="29" t="s">
        <v>755</v>
      </c>
      <c r="D70" s="23">
        <v>1</v>
      </c>
      <c r="E70" s="102" t="s">
        <v>312</v>
      </c>
      <c r="F70" s="39"/>
      <c r="G70" s="32"/>
      <c r="H70" s="32"/>
      <c r="I70" s="32"/>
      <c r="J70" s="32"/>
      <c r="K70" s="32"/>
      <c r="L70" s="32"/>
      <c r="M70" s="32"/>
      <c r="N70" s="32">
        <f t="shared" si="0"/>
        <v>31754.237288135595</v>
      </c>
      <c r="O70" s="32">
        <v>31754.237288135595</v>
      </c>
      <c r="P70" s="32">
        <v>31754.237288135595</v>
      </c>
      <c r="Q70" s="32">
        <v>31754.237288135595</v>
      </c>
      <c r="R70" s="32">
        <v>31754.237288135595</v>
      </c>
      <c r="S70" s="32">
        <v>31754.237288135595</v>
      </c>
      <c r="T70" s="32">
        <v>31754.237288135595</v>
      </c>
      <c r="U70" s="32">
        <v>31754.237288135595</v>
      </c>
      <c r="V70" s="32">
        <v>31754.237288135595</v>
      </c>
      <c r="W70" s="32">
        <v>31754.237288135595</v>
      </c>
      <c r="X70" s="32">
        <v>31754.237288135595</v>
      </c>
      <c r="Y70" s="32">
        <v>31754.237288135595</v>
      </c>
      <c r="Z70" s="124" t="s">
        <v>690</v>
      </c>
      <c r="AA70" s="126">
        <v>37470</v>
      </c>
      <c r="AB70" s="16" t="s">
        <v>688</v>
      </c>
    </row>
    <row r="71" spans="1:28" ht="24.75" customHeight="1">
      <c r="A71" s="123"/>
      <c r="B71" s="125">
        <v>67</v>
      </c>
      <c r="C71" s="29" t="s">
        <v>756</v>
      </c>
      <c r="D71" s="23">
        <v>1</v>
      </c>
      <c r="E71" s="102" t="s">
        <v>312</v>
      </c>
      <c r="F71" s="39"/>
      <c r="G71" s="32"/>
      <c r="H71" s="32"/>
      <c r="I71" s="32"/>
      <c r="J71" s="32"/>
      <c r="K71" s="32"/>
      <c r="L71" s="32"/>
      <c r="M71" s="32"/>
      <c r="N71" s="32">
        <f t="shared" si="0"/>
        <v>62288.135593220344</v>
      </c>
      <c r="O71" s="32">
        <v>62288.135593220344</v>
      </c>
      <c r="P71" s="32">
        <v>62288.135593220344</v>
      </c>
      <c r="Q71" s="32">
        <v>62288.135593220344</v>
      </c>
      <c r="R71" s="32">
        <v>62288.135593220344</v>
      </c>
      <c r="S71" s="32">
        <v>62288.135593220344</v>
      </c>
      <c r="T71" s="32">
        <v>62288.135593220344</v>
      </c>
      <c r="U71" s="32">
        <v>62288.135593220344</v>
      </c>
      <c r="V71" s="32">
        <v>62288.135593220344</v>
      </c>
      <c r="W71" s="32">
        <v>62288.135593220344</v>
      </c>
      <c r="X71" s="32">
        <v>62288.135593220344</v>
      </c>
      <c r="Y71" s="32">
        <v>62288.135593220344</v>
      </c>
      <c r="Z71" s="124" t="s">
        <v>690</v>
      </c>
      <c r="AA71" s="126">
        <v>73500</v>
      </c>
      <c r="AB71" s="16" t="s">
        <v>688</v>
      </c>
    </row>
    <row r="72" spans="1:28" ht="24.75" customHeight="1">
      <c r="A72" s="123"/>
      <c r="B72" s="125">
        <v>68</v>
      </c>
      <c r="C72" s="29" t="s">
        <v>757</v>
      </c>
      <c r="D72" s="23">
        <v>1</v>
      </c>
      <c r="E72" s="102" t="s">
        <v>312</v>
      </c>
      <c r="F72" s="39"/>
      <c r="G72" s="32"/>
      <c r="H72" s="32"/>
      <c r="I72" s="32"/>
      <c r="J72" s="32"/>
      <c r="K72" s="32"/>
      <c r="L72" s="32"/>
      <c r="M72" s="32"/>
      <c r="N72" s="32">
        <f t="shared" si="0"/>
        <v>95720.338983050853</v>
      </c>
      <c r="O72" s="32">
        <v>95720.338983050853</v>
      </c>
      <c r="P72" s="32">
        <v>95720.338983050853</v>
      </c>
      <c r="Q72" s="32">
        <v>95720.338983050853</v>
      </c>
      <c r="R72" s="32">
        <v>95720.338983050853</v>
      </c>
      <c r="S72" s="32">
        <v>95720.338983050853</v>
      </c>
      <c r="T72" s="32">
        <v>95720.338983050853</v>
      </c>
      <c r="U72" s="32">
        <v>95720.338983050853</v>
      </c>
      <c r="V72" s="32">
        <v>95720.338983050853</v>
      </c>
      <c r="W72" s="32">
        <v>95720.338983050853</v>
      </c>
      <c r="X72" s="32">
        <v>95720.338983050853</v>
      </c>
      <c r="Y72" s="32">
        <v>95720.338983050853</v>
      </c>
      <c r="Z72" s="124" t="s">
        <v>690</v>
      </c>
      <c r="AA72" s="126">
        <v>112950</v>
      </c>
      <c r="AB72" s="16" t="s">
        <v>688</v>
      </c>
    </row>
    <row r="73" spans="1:28" ht="24.75" customHeight="1">
      <c r="A73" s="123"/>
      <c r="B73" s="125">
        <v>69</v>
      </c>
      <c r="C73" s="29" t="s">
        <v>758</v>
      </c>
      <c r="D73" s="23">
        <v>1</v>
      </c>
      <c r="E73" s="102" t="s">
        <v>312</v>
      </c>
      <c r="F73" s="39"/>
      <c r="G73" s="32"/>
      <c r="H73" s="32"/>
      <c r="I73" s="32"/>
      <c r="J73" s="32"/>
      <c r="K73" s="32"/>
      <c r="L73" s="32"/>
      <c r="M73" s="32"/>
      <c r="N73" s="32">
        <f t="shared" si="0"/>
        <v>122008.4745762712</v>
      </c>
      <c r="O73" s="32">
        <v>122008.4745762712</v>
      </c>
      <c r="P73" s="32">
        <v>122008.4745762712</v>
      </c>
      <c r="Q73" s="32">
        <v>122008.4745762712</v>
      </c>
      <c r="R73" s="32">
        <v>122008.4745762712</v>
      </c>
      <c r="S73" s="32">
        <v>122008.4745762712</v>
      </c>
      <c r="T73" s="32">
        <v>122008.4745762712</v>
      </c>
      <c r="U73" s="32">
        <v>122008.4745762712</v>
      </c>
      <c r="V73" s="32">
        <v>122008.4745762712</v>
      </c>
      <c r="W73" s="32">
        <v>122008.4745762712</v>
      </c>
      <c r="X73" s="32">
        <v>122008.4745762712</v>
      </c>
      <c r="Y73" s="32">
        <v>122008.4745762712</v>
      </c>
      <c r="Z73" s="124" t="s">
        <v>690</v>
      </c>
      <c r="AA73" s="126">
        <v>143970</v>
      </c>
      <c r="AB73" s="16" t="s">
        <v>688</v>
      </c>
    </row>
    <row r="74" spans="1:28" ht="24.75" customHeight="1">
      <c r="A74" s="123"/>
      <c r="B74" s="125">
        <v>70</v>
      </c>
      <c r="C74" s="29" t="s">
        <v>759</v>
      </c>
      <c r="D74" s="23">
        <v>1</v>
      </c>
      <c r="E74" s="102" t="s">
        <v>312</v>
      </c>
      <c r="F74" s="39"/>
      <c r="G74" s="32"/>
      <c r="H74" s="32"/>
      <c r="I74" s="32"/>
      <c r="J74" s="32"/>
      <c r="K74" s="32"/>
      <c r="L74" s="32"/>
      <c r="M74" s="32"/>
      <c r="N74" s="32">
        <f t="shared" si="0"/>
        <v>966.10169491525426</v>
      </c>
      <c r="O74" s="32">
        <v>966.10169491525426</v>
      </c>
      <c r="P74" s="32">
        <v>966.10169491525426</v>
      </c>
      <c r="Q74" s="32">
        <v>966.10169491525426</v>
      </c>
      <c r="R74" s="32">
        <v>966.10169491525426</v>
      </c>
      <c r="S74" s="32">
        <v>966.10169491525426</v>
      </c>
      <c r="T74" s="32">
        <v>966.10169491525426</v>
      </c>
      <c r="U74" s="32">
        <v>966.10169491525426</v>
      </c>
      <c r="V74" s="32">
        <v>966.10169491525426</v>
      </c>
      <c r="W74" s="32">
        <v>966.10169491525426</v>
      </c>
      <c r="X74" s="32">
        <v>966.10169491525426</v>
      </c>
      <c r="Y74" s="32">
        <v>966.10169491525426</v>
      </c>
      <c r="Z74" s="124" t="s">
        <v>690</v>
      </c>
      <c r="AA74" s="126">
        <v>1140</v>
      </c>
      <c r="AB74" s="16" t="s">
        <v>688</v>
      </c>
    </row>
    <row r="75" spans="1:28" ht="24.75" customHeight="1">
      <c r="A75" s="123"/>
      <c r="B75" s="125">
        <v>71</v>
      </c>
      <c r="C75" s="29" t="s">
        <v>760</v>
      </c>
      <c r="D75" s="23">
        <v>1</v>
      </c>
      <c r="E75" s="102" t="s">
        <v>312</v>
      </c>
      <c r="F75" s="39"/>
      <c r="G75" s="32"/>
      <c r="H75" s="32"/>
      <c r="I75" s="32"/>
      <c r="J75" s="32"/>
      <c r="K75" s="32"/>
      <c r="L75" s="32"/>
      <c r="M75" s="32"/>
      <c r="N75" s="32">
        <f t="shared" si="0"/>
        <v>1661.0169491525426</v>
      </c>
      <c r="O75" s="32">
        <v>1661.0169491525426</v>
      </c>
      <c r="P75" s="32">
        <v>1661.0169491525426</v>
      </c>
      <c r="Q75" s="32">
        <v>1661.0169491525426</v>
      </c>
      <c r="R75" s="32">
        <v>1661.0169491525426</v>
      </c>
      <c r="S75" s="32">
        <v>1661.0169491525426</v>
      </c>
      <c r="T75" s="32">
        <v>1661.0169491525426</v>
      </c>
      <c r="U75" s="32">
        <v>1661.0169491525426</v>
      </c>
      <c r="V75" s="32">
        <v>1661.0169491525426</v>
      </c>
      <c r="W75" s="32">
        <v>1661.0169491525426</v>
      </c>
      <c r="X75" s="32">
        <v>1661.0169491525426</v>
      </c>
      <c r="Y75" s="32">
        <v>1661.0169491525426</v>
      </c>
      <c r="Z75" s="124" t="s">
        <v>690</v>
      </c>
      <c r="AA75" s="126">
        <v>1960</v>
      </c>
      <c r="AB75" s="16" t="s">
        <v>688</v>
      </c>
    </row>
    <row r="76" spans="1:28" ht="24.75" customHeight="1">
      <c r="A76" s="123"/>
      <c r="B76" s="125">
        <v>72</v>
      </c>
      <c r="C76" s="29" t="s">
        <v>761</v>
      </c>
      <c r="D76" s="23">
        <v>1</v>
      </c>
      <c r="E76" s="102" t="s">
        <v>312</v>
      </c>
      <c r="F76" s="39"/>
      <c r="G76" s="32"/>
      <c r="H76" s="32"/>
      <c r="I76" s="32"/>
      <c r="J76" s="32"/>
      <c r="K76" s="32"/>
      <c r="L76" s="32"/>
      <c r="M76" s="32"/>
      <c r="N76" s="32">
        <f t="shared" si="0"/>
        <v>2796.6101694915255</v>
      </c>
      <c r="O76" s="32">
        <v>2796.6101694915255</v>
      </c>
      <c r="P76" s="32">
        <v>2796.6101694915255</v>
      </c>
      <c r="Q76" s="32">
        <v>2796.6101694915255</v>
      </c>
      <c r="R76" s="32">
        <v>2796.6101694915255</v>
      </c>
      <c r="S76" s="32">
        <v>2796.6101694915255</v>
      </c>
      <c r="T76" s="32">
        <v>2796.6101694915255</v>
      </c>
      <c r="U76" s="32">
        <v>2796.6101694915255</v>
      </c>
      <c r="V76" s="32">
        <v>2796.6101694915255</v>
      </c>
      <c r="W76" s="32">
        <v>2796.6101694915255</v>
      </c>
      <c r="X76" s="32">
        <v>2796.6101694915255</v>
      </c>
      <c r="Y76" s="32">
        <v>2796.6101694915255</v>
      </c>
      <c r="Z76" s="124" t="s">
        <v>690</v>
      </c>
      <c r="AA76" s="126">
        <v>3300</v>
      </c>
      <c r="AB76" s="16" t="s">
        <v>688</v>
      </c>
    </row>
    <row r="77" spans="1:28" ht="24.75" customHeight="1">
      <c r="A77" s="123"/>
      <c r="B77" s="125">
        <v>73</v>
      </c>
      <c r="C77" s="29" t="s">
        <v>762</v>
      </c>
      <c r="D77" s="23">
        <v>1</v>
      </c>
      <c r="E77" s="102" t="s">
        <v>312</v>
      </c>
      <c r="F77" s="39"/>
      <c r="G77" s="32"/>
      <c r="H77" s="32"/>
      <c r="I77" s="32"/>
      <c r="J77" s="32"/>
      <c r="K77" s="32"/>
      <c r="L77" s="32"/>
      <c r="M77" s="32"/>
      <c r="N77" s="32">
        <f t="shared" si="0"/>
        <v>4016.9491525423732</v>
      </c>
      <c r="O77" s="32">
        <v>4016.9491525423732</v>
      </c>
      <c r="P77" s="32">
        <v>4016.9491525423732</v>
      </c>
      <c r="Q77" s="32">
        <v>4016.9491525423732</v>
      </c>
      <c r="R77" s="32">
        <v>4016.9491525423732</v>
      </c>
      <c r="S77" s="32">
        <v>4016.9491525423732</v>
      </c>
      <c r="T77" s="32">
        <v>4016.9491525423732</v>
      </c>
      <c r="U77" s="32">
        <v>4016.9491525423732</v>
      </c>
      <c r="V77" s="32">
        <v>4016.9491525423732</v>
      </c>
      <c r="W77" s="32">
        <v>4016.9491525423732</v>
      </c>
      <c r="X77" s="32">
        <v>4016.9491525423732</v>
      </c>
      <c r="Y77" s="32">
        <v>4016.9491525423732</v>
      </c>
      <c r="Z77" s="124" t="s">
        <v>690</v>
      </c>
      <c r="AA77" s="126">
        <v>4740</v>
      </c>
      <c r="AB77" s="16" t="s">
        <v>688</v>
      </c>
    </row>
    <row r="78" spans="1:28" ht="24.75" customHeight="1">
      <c r="A78" s="123"/>
      <c r="B78" s="125">
        <v>74</v>
      </c>
      <c r="C78" s="29" t="s">
        <v>763</v>
      </c>
      <c r="D78" s="23">
        <v>1</v>
      </c>
      <c r="E78" s="102" t="s">
        <v>312</v>
      </c>
      <c r="F78" s="39"/>
      <c r="G78" s="32"/>
      <c r="H78" s="32"/>
      <c r="I78" s="32"/>
      <c r="J78" s="32"/>
      <c r="K78" s="32"/>
      <c r="L78" s="32"/>
      <c r="M78" s="32"/>
      <c r="N78" s="32">
        <f t="shared" si="0"/>
        <v>4576.2711864406783</v>
      </c>
      <c r="O78" s="32">
        <v>4576.2711864406783</v>
      </c>
      <c r="P78" s="32">
        <v>4576.2711864406783</v>
      </c>
      <c r="Q78" s="32">
        <v>4576.2711864406783</v>
      </c>
      <c r="R78" s="32">
        <v>4576.2711864406783</v>
      </c>
      <c r="S78" s="32">
        <v>4576.2711864406783</v>
      </c>
      <c r="T78" s="32">
        <v>4576.2711864406783</v>
      </c>
      <c r="U78" s="32">
        <v>4576.2711864406783</v>
      </c>
      <c r="V78" s="32">
        <v>4576.2711864406783</v>
      </c>
      <c r="W78" s="32">
        <v>4576.2711864406783</v>
      </c>
      <c r="X78" s="32">
        <v>4576.2711864406783</v>
      </c>
      <c r="Y78" s="32">
        <v>4576.2711864406783</v>
      </c>
      <c r="Z78" s="124" t="s">
        <v>690</v>
      </c>
      <c r="AA78" s="126">
        <v>5400</v>
      </c>
      <c r="AB78" s="16" t="s">
        <v>688</v>
      </c>
    </row>
    <row r="79" spans="1:28" ht="24.75" customHeight="1">
      <c r="A79" s="123"/>
      <c r="B79" s="125">
        <v>75</v>
      </c>
      <c r="C79" s="29" t="s">
        <v>764</v>
      </c>
      <c r="D79" s="23">
        <v>1</v>
      </c>
      <c r="E79" s="102" t="s">
        <v>312</v>
      </c>
      <c r="F79" s="39"/>
      <c r="G79" s="32"/>
      <c r="H79" s="32"/>
      <c r="I79" s="32"/>
      <c r="J79" s="32"/>
      <c r="K79" s="32"/>
      <c r="L79" s="32"/>
      <c r="M79" s="32"/>
      <c r="N79" s="32">
        <f t="shared" si="0"/>
        <v>9915.2542372881362</v>
      </c>
      <c r="O79" s="32">
        <v>9915.2542372881362</v>
      </c>
      <c r="P79" s="32">
        <v>9915.2542372881362</v>
      </c>
      <c r="Q79" s="32">
        <v>9915.2542372881362</v>
      </c>
      <c r="R79" s="32">
        <v>9915.2542372881362</v>
      </c>
      <c r="S79" s="32">
        <v>9915.2542372881362</v>
      </c>
      <c r="T79" s="32">
        <v>9915.2542372881362</v>
      </c>
      <c r="U79" s="32">
        <v>9915.2542372881362</v>
      </c>
      <c r="V79" s="32">
        <v>9915.2542372881362</v>
      </c>
      <c r="W79" s="32">
        <v>9915.2542372881362</v>
      </c>
      <c r="X79" s="32">
        <v>9915.2542372881362</v>
      </c>
      <c r="Y79" s="32">
        <v>9915.2542372881362</v>
      </c>
      <c r="Z79" s="124" t="s">
        <v>690</v>
      </c>
      <c r="AA79" s="126">
        <v>11700</v>
      </c>
      <c r="AB79" s="16" t="s">
        <v>688</v>
      </c>
    </row>
    <row r="80" spans="1:28" ht="24.75" customHeight="1">
      <c r="A80" s="123"/>
      <c r="B80" s="125">
        <v>76</v>
      </c>
      <c r="C80" s="29" t="s">
        <v>765</v>
      </c>
      <c r="D80" s="23">
        <v>1</v>
      </c>
      <c r="E80" s="102" t="s">
        <v>312</v>
      </c>
      <c r="F80" s="39"/>
      <c r="G80" s="32"/>
      <c r="H80" s="32"/>
      <c r="I80" s="32"/>
      <c r="J80" s="32"/>
      <c r="K80" s="32"/>
      <c r="L80" s="32"/>
      <c r="M80" s="32"/>
      <c r="N80" s="32">
        <f t="shared" si="0"/>
        <v>11923.728813559323</v>
      </c>
      <c r="O80" s="32">
        <v>11923.728813559323</v>
      </c>
      <c r="P80" s="32">
        <v>11923.728813559323</v>
      </c>
      <c r="Q80" s="32">
        <v>11923.728813559323</v>
      </c>
      <c r="R80" s="32">
        <v>11923.728813559323</v>
      </c>
      <c r="S80" s="32">
        <v>11923.728813559323</v>
      </c>
      <c r="T80" s="32">
        <v>11923.728813559323</v>
      </c>
      <c r="U80" s="32">
        <v>11923.728813559323</v>
      </c>
      <c r="V80" s="32">
        <v>11923.728813559323</v>
      </c>
      <c r="W80" s="32">
        <v>11923.728813559323</v>
      </c>
      <c r="X80" s="32">
        <v>11923.728813559323</v>
      </c>
      <c r="Y80" s="32">
        <v>11923.728813559323</v>
      </c>
      <c r="Z80" s="124" t="s">
        <v>690</v>
      </c>
      <c r="AA80" s="126">
        <v>14070</v>
      </c>
      <c r="AB80" s="16" t="s">
        <v>688</v>
      </c>
    </row>
    <row r="81" spans="1:28" ht="24.75" customHeight="1">
      <c r="A81" s="123"/>
      <c r="B81" s="125">
        <v>77</v>
      </c>
      <c r="C81" s="29" t="s">
        <v>766</v>
      </c>
      <c r="D81" s="23">
        <v>1</v>
      </c>
      <c r="E81" s="102" t="s">
        <v>312</v>
      </c>
      <c r="F81" s="39"/>
      <c r="G81" s="32"/>
      <c r="H81" s="32"/>
      <c r="I81" s="32"/>
      <c r="J81" s="32"/>
      <c r="K81" s="32"/>
      <c r="L81" s="32"/>
      <c r="M81" s="32"/>
      <c r="N81" s="32">
        <f t="shared" si="0"/>
        <v>18711.864406779663</v>
      </c>
      <c r="O81" s="32">
        <v>18711.864406779663</v>
      </c>
      <c r="P81" s="32">
        <v>18711.864406779663</v>
      </c>
      <c r="Q81" s="32">
        <v>18711.864406779663</v>
      </c>
      <c r="R81" s="32">
        <v>18711.864406779663</v>
      </c>
      <c r="S81" s="32">
        <v>18711.864406779663</v>
      </c>
      <c r="T81" s="32">
        <v>18711.864406779663</v>
      </c>
      <c r="U81" s="32">
        <v>18711.864406779663</v>
      </c>
      <c r="V81" s="32">
        <v>18711.864406779663</v>
      </c>
      <c r="W81" s="32">
        <v>18711.864406779663</v>
      </c>
      <c r="X81" s="32">
        <v>18711.864406779663</v>
      </c>
      <c r="Y81" s="32">
        <v>18711.864406779663</v>
      </c>
      <c r="Z81" s="124" t="s">
        <v>690</v>
      </c>
      <c r="AA81" s="126">
        <v>22080</v>
      </c>
      <c r="AB81" s="16" t="s">
        <v>688</v>
      </c>
    </row>
    <row r="82" spans="1:28" ht="24.75" customHeight="1">
      <c r="A82" s="123"/>
      <c r="B82" s="125">
        <v>78</v>
      </c>
      <c r="C82" s="29" t="s">
        <v>767</v>
      </c>
      <c r="D82" s="23">
        <v>1</v>
      </c>
      <c r="E82" s="102" t="s">
        <v>312</v>
      </c>
      <c r="F82" s="39"/>
      <c r="G82" s="32"/>
      <c r="H82" s="32"/>
      <c r="I82" s="32"/>
      <c r="J82" s="32"/>
      <c r="K82" s="32"/>
      <c r="L82" s="32"/>
      <c r="M82" s="32"/>
      <c r="N82" s="32">
        <f t="shared" si="0"/>
        <v>24584.745762711867</v>
      </c>
      <c r="O82" s="32">
        <v>24584.745762711867</v>
      </c>
      <c r="P82" s="32">
        <v>24584.745762711867</v>
      </c>
      <c r="Q82" s="32">
        <v>24584.745762711867</v>
      </c>
      <c r="R82" s="32">
        <v>24584.745762711867</v>
      </c>
      <c r="S82" s="32">
        <v>24584.745762711867</v>
      </c>
      <c r="T82" s="32">
        <v>24584.745762711867</v>
      </c>
      <c r="U82" s="32">
        <v>24584.745762711867</v>
      </c>
      <c r="V82" s="32">
        <v>24584.745762711867</v>
      </c>
      <c r="W82" s="32">
        <v>24584.745762711867</v>
      </c>
      <c r="X82" s="32">
        <v>24584.745762711867</v>
      </c>
      <c r="Y82" s="32">
        <v>24584.745762711867</v>
      </c>
      <c r="Z82" s="124" t="s">
        <v>690</v>
      </c>
      <c r="AA82" s="126">
        <v>29010</v>
      </c>
      <c r="AB82" s="16" t="s">
        <v>688</v>
      </c>
    </row>
    <row r="83" spans="1:28" ht="24.75" customHeight="1">
      <c r="A83" s="123"/>
      <c r="B83" s="125">
        <v>79</v>
      </c>
      <c r="C83" s="29" t="s">
        <v>768</v>
      </c>
      <c r="D83" s="23">
        <v>1</v>
      </c>
      <c r="E83" s="102" t="s">
        <v>312</v>
      </c>
      <c r="F83" s="39"/>
      <c r="G83" s="32"/>
      <c r="H83" s="32"/>
      <c r="I83" s="32"/>
      <c r="J83" s="32"/>
      <c r="K83" s="32"/>
      <c r="L83" s="32"/>
      <c r="M83" s="32"/>
      <c r="N83" s="32">
        <f t="shared" si="0"/>
        <v>49881.355932203391</v>
      </c>
      <c r="O83" s="32">
        <v>49881.355932203391</v>
      </c>
      <c r="P83" s="32">
        <v>49881.355932203391</v>
      </c>
      <c r="Q83" s="32">
        <v>49881.355932203391</v>
      </c>
      <c r="R83" s="32">
        <v>49881.355932203391</v>
      </c>
      <c r="S83" s="32">
        <v>49881.355932203391</v>
      </c>
      <c r="T83" s="32">
        <v>49881.355932203391</v>
      </c>
      <c r="U83" s="32">
        <v>49881.355932203391</v>
      </c>
      <c r="V83" s="32">
        <v>49881.355932203391</v>
      </c>
      <c r="W83" s="32">
        <v>49881.355932203391</v>
      </c>
      <c r="X83" s="32">
        <v>49881.355932203391</v>
      </c>
      <c r="Y83" s="32">
        <v>49881.355932203391</v>
      </c>
      <c r="Z83" s="124" t="s">
        <v>690</v>
      </c>
      <c r="AA83" s="126">
        <v>58860</v>
      </c>
      <c r="AB83" s="16" t="s">
        <v>688</v>
      </c>
    </row>
    <row r="84" spans="1:28" ht="24.75" customHeight="1">
      <c r="A84" s="123"/>
      <c r="B84" s="125">
        <v>80</v>
      </c>
      <c r="C84" s="29" t="s">
        <v>769</v>
      </c>
      <c r="D84" s="23">
        <v>1</v>
      </c>
      <c r="E84" s="102" t="s">
        <v>312</v>
      </c>
      <c r="F84" s="39"/>
      <c r="G84" s="32"/>
      <c r="H84" s="32"/>
      <c r="I84" s="32"/>
      <c r="J84" s="32"/>
      <c r="K84" s="32"/>
      <c r="L84" s="32"/>
      <c r="M84" s="32"/>
      <c r="N84" s="32">
        <f t="shared" si="0"/>
        <v>74974.576271186452</v>
      </c>
      <c r="O84" s="32">
        <v>74974.576271186452</v>
      </c>
      <c r="P84" s="32">
        <v>74974.576271186452</v>
      </c>
      <c r="Q84" s="32">
        <v>74974.576271186452</v>
      </c>
      <c r="R84" s="32">
        <v>74974.576271186452</v>
      </c>
      <c r="S84" s="32">
        <v>74974.576271186452</v>
      </c>
      <c r="T84" s="32">
        <v>74974.576271186452</v>
      </c>
      <c r="U84" s="32">
        <v>74974.576271186452</v>
      </c>
      <c r="V84" s="32">
        <v>74974.576271186452</v>
      </c>
      <c r="W84" s="32">
        <v>74974.576271186452</v>
      </c>
      <c r="X84" s="32">
        <v>74974.576271186452</v>
      </c>
      <c r="Y84" s="32">
        <v>74974.576271186452</v>
      </c>
      <c r="Z84" s="124" t="s">
        <v>690</v>
      </c>
      <c r="AA84" s="126">
        <v>88470</v>
      </c>
      <c r="AB84" s="16" t="s">
        <v>688</v>
      </c>
    </row>
    <row r="85" spans="1:28" ht="24.75" customHeight="1">
      <c r="A85" s="123"/>
      <c r="B85" s="125">
        <v>81</v>
      </c>
      <c r="C85" s="29" t="s">
        <v>770</v>
      </c>
      <c r="D85" s="23">
        <v>1</v>
      </c>
      <c r="E85" s="102" t="s">
        <v>312</v>
      </c>
      <c r="F85" s="39"/>
      <c r="G85" s="32"/>
      <c r="H85" s="32"/>
      <c r="I85" s="32"/>
      <c r="J85" s="32"/>
      <c r="K85" s="32"/>
      <c r="L85" s="32"/>
      <c r="M85" s="32"/>
      <c r="N85" s="32">
        <f t="shared" si="0"/>
        <v>94957.627118644072</v>
      </c>
      <c r="O85" s="32">
        <v>94957.627118644072</v>
      </c>
      <c r="P85" s="32">
        <v>94957.627118644072</v>
      </c>
      <c r="Q85" s="32">
        <v>94957.627118644072</v>
      </c>
      <c r="R85" s="32">
        <v>94957.627118644072</v>
      </c>
      <c r="S85" s="32">
        <v>94957.627118644072</v>
      </c>
      <c r="T85" s="32">
        <v>94957.627118644072</v>
      </c>
      <c r="U85" s="32">
        <v>94957.627118644072</v>
      </c>
      <c r="V85" s="32">
        <v>94957.627118644072</v>
      </c>
      <c r="W85" s="32">
        <v>94957.627118644072</v>
      </c>
      <c r="X85" s="32">
        <v>94957.627118644072</v>
      </c>
      <c r="Y85" s="32">
        <v>94957.627118644072</v>
      </c>
      <c r="Z85" s="124" t="s">
        <v>690</v>
      </c>
      <c r="AA85" s="126">
        <v>112050</v>
      </c>
      <c r="AB85" s="16" t="s">
        <v>688</v>
      </c>
    </row>
    <row r="86" spans="1:28" ht="24.75" customHeight="1">
      <c r="A86" s="123"/>
      <c r="B86" s="125">
        <v>82</v>
      </c>
      <c r="C86" s="29" t="s">
        <v>771</v>
      </c>
      <c r="D86" s="23">
        <v>1</v>
      </c>
      <c r="E86" s="102" t="s">
        <v>312</v>
      </c>
      <c r="F86" s="39"/>
      <c r="G86" s="32"/>
      <c r="H86" s="32"/>
      <c r="I86" s="32"/>
      <c r="J86" s="32"/>
      <c r="K86" s="32"/>
      <c r="L86" s="32"/>
      <c r="M86" s="32"/>
      <c r="N86" s="32">
        <f t="shared" si="0"/>
        <v>1067.7966101694915</v>
      </c>
      <c r="O86" s="32">
        <v>1067.7966101694915</v>
      </c>
      <c r="P86" s="32">
        <v>1067.7966101694915</v>
      </c>
      <c r="Q86" s="32">
        <v>1067.7966101694915</v>
      </c>
      <c r="R86" s="32">
        <v>1067.7966101694915</v>
      </c>
      <c r="S86" s="32">
        <v>1067.7966101694915</v>
      </c>
      <c r="T86" s="32">
        <v>1067.7966101694915</v>
      </c>
      <c r="U86" s="32">
        <v>1067.7966101694915</v>
      </c>
      <c r="V86" s="32">
        <v>1067.7966101694915</v>
      </c>
      <c r="W86" s="32">
        <v>1067.7966101694915</v>
      </c>
      <c r="X86" s="32">
        <v>1067.7966101694915</v>
      </c>
      <c r="Y86" s="32">
        <v>1067.7966101694915</v>
      </c>
      <c r="Z86" s="124" t="s">
        <v>690</v>
      </c>
      <c r="AA86" s="126">
        <v>1260</v>
      </c>
      <c r="AB86" s="16" t="s">
        <v>688</v>
      </c>
    </row>
    <row r="87" spans="1:28" ht="24.75" customHeight="1">
      <c r="A87" s="123"/>
      <c r="B87" s="125">
        <v>83</v>
      </c>
      <c r="C87" s="29" t="s">
        <v>772</v>
      </c>
      <c r="D87" s="23">
        <v>1</v>
      </c>
      <c r="E87" s="102" t="s">
        <v>312</v>
      </c>
      <c r="F87" s="39"/>
      <c r="G87" s="32"/>
      <c r="H87" s="32"/>
      <c r="I87" s="32"/>
      <c r="J87" s="32"/>
      <c r="K87" s="32"/>
      <c r="L87" s="32"/>
      <c r="M87" s="32"/>
      <c r="N87" s="32">
        <f t="shared" si="0"/>
        <v>1694.9152542372883</v>
      </c>
      <c r="O87" s="32">
        <v>1694.9152542372883</v>
      </c>
      <c r="P87" s="32">
        <v>1694.9152542372883</v>
      </c>
      <c r="Q87" s="32">
        <v>1694.9152542372883</v>
      </c>
      <c r="R87" s="32">
        <v>1694.9152542372883</v>
      </c>
      <c r="S87" s="32">
        <v>1694.9152542372883</v>
      </c>
      <c r="T87" s="32">
        <v>1694.9152542372883</v>
      </c>
      <c r="U87" s="32">
        <v>1694.9152542372883</v>
      </c>
      <c r="V87" s="32">
        <v>1694.9152542372883</v>
      </c>
      <c r="W87" s="32">
        <v>1694.9152542372883</v>
      </c>
      <c r="X87" s="32">
        <v>1694.9152542372883</v>
      </c>
      <c r="Y87" s="32">
        <v>1694.9152542372883</v>
      </c>
      <c r="Z87" s="124" t="s">
        <v>690</v>
      </c>
      <c r="AA87" s="126">
        <v>2000</v>
      </c>
      <c r="AB87" s="16" t="s">
        <v>688</v>
      </c>
    </row>
    <row r="88" spans="1:28" ht="24.75" customHeight="1">
      <c r="A88" s="123"/>
      <c r="B88" s="125">
        <v>84</v>
      </c>
      <c r="C88" s="29" t="s">
        <v>773</v>
      </c>
      <c r="D88" s="23">
        <v>1</v>
      </c>
      <c r="E88" s="102" t="s">
        <v>312</v>
      </c>
      <c r="F88" s="39"/>
      <c r="G88" s="32"/>
      <c r="H88" s="32"/>
      <c r="I88" s="32"/>
      <c r="J88" s="32"/>
      <c r="K88" s="32"/>
      <c r="L88" s="32"/>
      <c r="M88" s="32"/>
      <c r="N88" s="32">
        <f t="shared" si="0"/>
        <v>3050.8474576271187</v>
      </c>
      <c r="O88" s="32">
        <v>3050.8474576271187</v>
      </c>
      <c r="P88" s="32">
        <v>3050.8474576271187</v>
      </c>
      <c r="Q88" s="32">
        <v>3050.8474576271187</v>
      </c>
      <c r="R88" s="32">
        <v>3050.8474576271187</v>
      </c>
      <c r="S88" s="32">
        <v>3050.8474576271187</v>
      </c>
      <c r="T88" s="32">
        <v>3050.8474576271187</v>
      </c>
      <c r="U88" s="32">
        <v>3050.8474576271187</v>
      </c>
      <c r="V88" s="32">
        <v>3050.8474576271187</v>
      </c>
      <c r="W88" s="32">
        <v>3050.8474576271187</v>
      </c>
      <c r="X88" s="32">
        <v>3050.8474576271187</v>
      </c>
      <c r="Y88" s="32">
        <v>3050.8474576271187</v>
      </c>
      <c r="Z88" s="124" t="s">
        <v>690</v>
      </c>
      <c r="AA88" s="126">
        <v>3600</v>
      </c>
      <c r="AB88" s="16" t="s">
        <v>688</v>
      </c>
    </row>
    <row r="89" spans="1:28" ht="24.75" customHeight="1">
      <c r="A89" s="123"/>
      <c r="B89" s="125">
        <v>85</v>
      </c>
      <c r="C89" s="29" t="s">
        <v>774</v>
      </c>
      <c r="D89" s="23">
        <v>1</v>
      </c>
      <c r="E89" s="102" t="s">
        <v>312</v>
      </c>
      <c r="F89" s="39"/>
      <c r="G89" s="32"/>
      <c r="H89" s="32"/>
      <c r="I89" s="32"/>
      <c r="J89" s="32"/>
      <c r="K89" s="32"/>
      <c r="L89" s="32"/>
      <c r="M89" s="32"/>
      <c r="N89" s="32">
        <f t="shared" si="0"/>
        <v>4101.6949152542375</v>
      </c>
      <c r="O89" s="32">
        <v>4101.6949152542375</v>
      </c>
      <c r="P89" s="32">
        <v>4101.6949152542375</v>
      </c>
      <c r="Q89" s="32">
        <v>4101.6949152542375</v>
      </c>
      <c r="R89" s="32">
        <v>4101.6949152542375</v>
      </c>
      <c r="S89" s="32">
        <v>4101.6949152542375</v>
      </c>
      <c r="T89" s="32">
        <v>4101.6949152542375</v>
      </c>
      <c r="U89" s="32">
        <v>4101.6949152542375</v>
      </c>
      <c r="V89" s="32">
        <v>4101.6949152542375</v>
      </c>
      <c r="W89" s="32">
        <v>4101.6949152542375</v>
      </c>
      <c r="X89" s="32">
        <v>4101.6949152542375</v>
      </c>
      <c r="Y89" s="32">
        <v>4101.6949152542375</v>
      </c>
      <c r="Z89" s="124" t="s">
        <v>690</v>
      </c>
      <c r="AA89" s="126">
        <v>4840</v>
      </c>
      <c r="AB89" s="16" t="s">
        <v>688</v>
      </c>
    </row>
    <row r="90" spans="1:28" ht="24.75" customHeight="1">
      <c r="A90" s="123"/>
      <c r="B90" s="125">
        <v>86</v>
      </c>
      <c r="C90" s="29" t="s">
        <v>775</v>
      </c>
      <c r="D90" s="23">
        <v>1</v>
      </c>
      <c r="E90" s="102" t="s">
        <v>312</v>
      </c>
      <c r="F90" s="39"/>
      <c r="G90" s="32"/>
      <c r="H90" s="32"/>
      <c r="I90" s="32"/>
      <c r="J90" s="32"/>
      <c r="K90" s="32"/>
      <c r="L90" s="32"/>
      <c r="M90" s="32"/>
      <c r="N90" s="32">
        <f t="shared" si="0"/>
        <v>4694.9152542372885</v>
      </c>
      <c r="O90" s="32">
        <v>4694.9152542372885</v>
      </c>
      <c r="P90" s="32">
        <v>4694.9152542372885</v>
      </c>
      <c r="Q90" s="32">
        <v>4694.9152542372885</v>
      </c>
      <c r="R90" s="32">
        <v>4694.9152542372885</v>
      </c>
      <c r="S90" s="32">
        <v>4694.9152542372885</v>
      </c>
      <c r="T90" s="32">
        <v>4694.9152542372885</v>
      </c>
      <c r="U90" s="32">
        <v>4694.9152542372885</v>
      </c>
      <c r="V90" s="32">
        <v>4694.9152542372885</v>
      </c>
      <c r="W90" s="32">
        <v>4694.9152542372885</v>
      </c>
      <c r="X90" s="32">
        <v>4694.9152542372885</v>
      </c>
      <c r="Y90" s="32">
        <v>4694.9152542372885</v>
      </c>
      <c r="Z90" s="124" t="s">
        <v>690</v>
      </c>
      <c r="AA90" s="126">
        <v>5540</v>
      </c>
      <c r="AB90" s="16" t="s">
        <v>688</v>
      </c>
    </row>
    <row r="91" spans="1:28" ht="24.75" customHeight="1">
      <c r="A91" s="123"/>
      <c r="B91" s="125">
        <v>87</v>
      </c>
      <c r="C91" s="29" t="s">
        <v>776</v>
      </c>
      <c r="D91" s="23">
        <v>1</v>
      </c>
      <c r="E91" s="102" t="s">
        <v>312</v>
      </c>
      <c r="F91" s="39"/>
      <c r="G91" s="32"/>
      <c r="H91" s="32"/>
      <c r="I91" s="32"/>
      <c r="J91" s="32"/>
      <c r="K91" s="32"/>
      <c r="L91" s="32"/>
      <c r="M91" s="32"/>
      <c r="N91" s="32">
        <f t="shared" si="0"/>
        <v>10067.796610169493</v>
      </c>
      <c r="O91" s="32">
        <v>10067.796610169493</v>
      </c>
      <c r="P91" s="32">
        <v>10067.796610169493</v>
      </c>
      <c r="Q91" s="32">
        <v>10067.796610169493</v>
      </c>
      <c r="R91" s="32">
        <v>10067.796610169493</v>
      </c>
      <c r="S91" s="32">
        <v>10067.796610169493</v>
      </c>
      <c r="T91" s="32">
        <v>10067.796610169493</v>
      </c>
      <c r="U91" s="32">
        <v>10067.796610169493</v>
      </c>
      <c r="V91" s="32">
        <v>10067.796610169493</v>
      </c>
      <c r="W91" s="32">
        <v>10067.796610169493</v>
      </c>
      <c r="X91" s="32">
        <v>10067.796610169493</v>
      </c>
      <c r="Y91" s="32">
        <v>10067.796610169493</v>
      </c>
      <c r="Z91" s="124" t="s">
        <v>690</v>
      </c>
      <c r="AA91" s="126">
        <v>11880</v>
      </c>
      <c r="AB91" s="16" t="s">
        <v>688</v>
      </c>
    </row>
    <row r="92" spans="1:28" ht="24.75" customHeight="1">
      <c r="A92" s="123"/>
      <c r="B92" s="125">
        <v>88</v>
      </c>
      <c r="C92" s="29" t="s">
        <v>777</v>
      </c>
      <c r="D92" s="23">
        <v>1</v>
      </c>
      <c r="E92" s="102" t="s">
        <v>312</v>
      </c>
      <c r="F92" s="39"/>
      <c r="G92" s="32"/>
      <c r="H92" s="32"/>
      <c r="I92" s="32"/>
      <c r="J92" s="32"/>
      <c r="K92" s="32"/>
      <c r="L92" s="32"/>
      <c r="M92" s="32"/>
      <c r="N92" s="32">
        <f t="shared" si="0"/>
        <v>12127.118644067798</v>
      </c>
      <c r="O92" s="32">
        <v>12127.118644067798</v>
      </c>
      <c r="P92" s="32">
        <v>12127.118644067798</v>
      </c>
      <c r="Q92" s="32">
        <v>12127.118644067798</v>
      </c>
      <c r="R92" s="32">
        <v>12127.118644067798</v>
      </c>
      <c r="S92" s="32">
        <v>12127.118644067798</v>
      </c>
      <c r="T92" s="32">
        <v>12127.118644067798</v>
      </c>
      <c r="U92" s="32">
        <v>12127.118644067798</v>
      </c>
      <c r="V92" s="32">
        <v>12127.118644067798</v>
      </c>
      <c r="W92" s="32">
        <v>12127.118644067798</v>
      </c>
      <c r="X92" s="32">
        <v>12127.118644067798</v>
      </c>
      <c r="Y92" s="32">
        <v>12127.118644067798</v>
      </c>
      <c r="Z92" s="124" t="s">
        <v>690</v>
      </c>
      <c r="AA92" s="126">
        <v>14310</v>
      </c>
      <c r="AB92" s="16" t="s">
        <v>688</v>
      </c>
    </row>
    <row r="93" spans="1:28" ht="24.75" customHeight="1">
      <c r="A93" s="123"/>
      <c r="B93" s="125">
        <v>89</v>
      </c>
      <c r="C93" s="29" t="s">
        <v>778</v>
      </c>
      <c r="D93" s="23">
        <v>1</v>
      </c>
      <c r="E93" s="102" t="s">
        <v>312</v>
      </c>
      <c r="F93" s="39"/>
      <c r="G93" s="32"/>
      <c r="H93" s="32"/>
      <c r="I93" s="32"/>
      <c r="J93" s="32"/>
      <c r="K93" s="32"/>
      <c r="L93" s="32"/>
      <c r="M93" s="32"/>
      <c r="N93" s="32">
        <f t="shared" si="0"/>
        <v>19500</v>
      </c>
      <c r="O93" s="32">
        <v>19500</v>
      </c>
      <c r="P93" s="32">
        <v>19500</v>
      </c>
      <c r="Q93" s="32">
        <v>19500</v>
      </c>
      <c r="R93" s="32">
        <v>19500</v>
      </c>
      <c r="S93" s="32">
        <v>19500</v>
      </c>
      <c r="T93" s="32">
        <v>19500</v>
      </c>
      <c r="U93" s="32">
        <v>19500</v>
      </c>
      <c r="V93" s="32">
        <v>19500</v>
      </c>
      <c r="W93" s="32">
        <v>19500</v>
      </c>
      <c r="X93" s="32">
        <v>19500</v>
      </c>
      <c r="Y93" s="32">
        <v>19500</v>
      </c>
      <c r="Z93" s="124" t="s">
        <v>690</v>
      </c>
      <c r="AA93" s="126">
        <v>23010</v>
      </c>
      <c r="AB93" s="16" t="s">
        <v>688</v>
      </c>
    </row>
    <row r="94" spans="1:28" ht="24.75" customHeight="1">
      <c r="A94" s="123"/>
      <c r="B94" s="125">
        <v>90</v>
      </c>
      <c r="C94" s="29" t="s">
        <v>779</v>
      </c>
      <c r="D94" s="23">
        <v>1</v>
      </c>
      <c r="E94" s="102" t="s">
        <v>312</v>
      </c>
      <c r="F94" s="39"/>
      <c r="G94" s="32"/>
      <c r="H94" s="32"/>
      <c r="I94" s="32"/>
      <c r="J94" s="32"/>
      <c r="K94" s="32"/>
      <c r="L94" s="32"/>
      <c r="M94" s="32"/>
      <c r="N94" s="32">
        <f t="shared" si="0"/>
        <v>25194.91525423729</v>
      </c>
      <c r="O94" s="32">
        <v>25194.91525423729</v>
      </c>
      <c r="P94" s="32">
        <v>25194.91525423729</v>
      </c>
      <c r="Q94" s="32">
        <v>25194.91525423729</v>
      </c>
      <c r="R94" s="32">
        <v>25194.91525423729</v>
      </c>
      <c r="S94" s="32">
        <v>25194.91525423729</v>
      </c>
      <c r="T94" s="32">
        <v>25194.91525423729</v>
      </c>
      <c r="U94" s="32">
        <v>25194.91525423729</v>
      </c>
      <c r="V94" s="32">
        <v>25194.91525423729</v>
      </c>
      <c r="W94" s="32">
        <v>25194.91525423729</v>
      </c>
      <c r="X94" s="32">
        <v>25194.91525423729</v>
      </c>
      <c r="Y94" s="32">
        <v>25194.91525423729</v>
      </c>
      <c r="Z94" s="124" t="s">
        <v>690</v>
      </c>
      <c r="AA94" s="126">
        <v>29730</v>
      </c>
      <c r="AB94" s="16" t="s">
        <v>688</v>
      </c>
    </row>
    <row r="95" spans="1:28" ht="24.75" customHeight="1">
      <c r="A95" s="123"/>
      <c r="B95" s="125">
        <v>91</v>
      </c>
      <c r="C95" s="29" t="s">
        <v>780</v>
      </c>
      <c r="D95" s="23">
        <v>1</v>
      </c>
      <c r="E95" s="102" t="s">
        <v>312</v>
      </c>
      <c r="F95" s="39"/>
      <c r="G95" s="32"/>
      <c r="H95" s="32"/>
      <c r="I95" s="32"/>
      <c r="J95" s="32"/>
      <c r="K95" s="32"/>
      <c r="L95" s="32"/>
      <c r="M95" s="32"/>
      <c r="N95" s="32">
        <f t="shared" si="0"/>
        <v>50033.898305084746</v>
      </c>
      <c r="O95" s="32">
        <v>50033.898305084746</v>
      </c>
      <c r="P95" s="32">
        <v>50033.898305084746</v>
      </c>
      <c r="Q95" s="32">
        <v>50033.898305084746</v>
      </c>
      <c r="R95" s="32">
        <v>50033.898305084746</v>
      </c>
      <c r="S95" s="32">
        <v>50033.898305084746</v>
      </c>
      <c r="T95" s="32">
        <v>50033.898305084746</v>
      </c>
      <c r="U95" s="32">
        <v>50033.898305084746</v>
      </c>
      <c r="V95" s="32">
        <v>50033.898305084746</v>
      </c>
      <c r="W95" s="32">
        <v>50033.898305084746</v>
      </c>
      <c r="X95" s="32">
        <v>50033.898305084746</v>
      </c>
      <c r="Y95" s="32">
        <v>50033.898305084746</v>
      </c>
      <c r="Z95" s="124" t="s">
        <v>690</v>
      </c>
      <c r="AA95" s="126">
        <v>59040</v>
      </c>
      <c r="AB95" s="16" t="s">
        <v>688</v>
      </c>
    </row>
    <row r="96" spans="1:28" ht="24.75" customHeight="1">
      <c r="A96" s="123"/>
      <c r="B96" s="125">
        <v>92</v>
      </c>
      <c r="C96" s="29" t="s">
        <v>781</v>
      </c>
      <c r="D96" s="23">
        <v>1</v>
      </c>
      <c r="E96" s="102" t="s">
        <v>312</v>
      </c>
      <c r="F96" s="39"/>
      <c r="G96" s="32"/>
      <c r="H96" s="32"/>
      <c r="I96" s="32"/>
      <c r="J96" s="32"/>
      <c r="K96" s="32"/>
      <c r="L96" s="32"/>
      <c r="M96" s="32"/>
      <c r="N96" s="32">
        <f t="shared" si="0"/>
        <v>77822.03389830509</v>
      </c>
      <c r="O96" s="32">
        <v>77822.03389830509</v>
      </c>
      <c r="P96" s="32">
        <v>77822.03389830509</v>
      </c>
      <c r="Q96" s="32">
        <v>77822.03389830509</v>
      </c>
      <c r="R96" s="32">
        <v>77822.03389830509</v>
      </c>
      <c r="S96" s="32">
        <v>77822.03389830509</v>
      </c>
      <c r="T96" s="32">
        <v>77822.03389830509</v>
      </c>
      <c r="U96" s="32">
        <v>77822.03389830509</v>
      </c>
      <c r="V96" s="32">
        <v>77822.03389830509</v>
      </c>
      <c r="W96" s="32">
        <v>77822.03389830509</v>
      </c>
      <c r="X96" s="32">
        <v>77822.03389830509</v>
      </c>
      <c r="Y96" s="32">
        <v>77822.03389830509</v>
      </c>
      <c r="Z96" s="124" t="s">
        <v>690</v>
      </c>
      <c r="AA96" s="126">
        <v>91830</v>
      </c>
      <c r="AB96" s="16" t="s">
        <v>688</v>
      </c>
    </row>
    <row r="97" spans="1:28" ht="24.75" customHeight="1">
      <c r="A97" s="123"/>
      <c r="B97" s="125">
        <v>93</v>
      </c>
      <c r="C97" s="29" t="s">
        <v>782</v>
      </c>
      <c r="D97" s="23">
        <v>1</v>
      </c>
      <c r="E97" s="102" t="s">
        <v>312</v>
      </c>
      <c r="F97" s="127"/>
      <c r="G97" s="127"/>
      <c r="H97" s="127"/>
      <c r="I97" s="127"/>
      <c r="J97" s="26"/>
      <c r="K97" s="26"/>
      <c r="L97" s="26"/>
      <c r="M97" s="26"/>
      <c r="N97" s="26">
        <f t="shared" si="0"/>
        <v>98516.94915254238</v>
      </c>
      <c r="O97" s="26">
        <v>98516.94915254238</v>
      </c>
      <c r="P97" s="26">
        <v>98516.94915254238</v>
      </c>
      <c r="Q97" s="26">
        <v>98516.94915254238</v>
      </c>
      <c r="R97" s="26">
        <v>98516.94915254238</v>
      </c>
      <c r="S97" s="26">
        <v>98516.94915254238</v>
      </c>
      <c r="T97" s="26">
        <v>98516.94915254238</v>
      </c>
      <c r="U97" s="26">
        <v>98516.94915254238</v>
      </c>
      <c r="V97" s="26">
        <v>98516.94915254238</v>
      </c>
      <c r="W97" s="26">
        <v>98516.94915254238</v>
      </c>
      <c r="X97" s="26">
        <v>98516.94915254238</v>
      </c>
      <c r="Y97" s="26">
        <v>98516.94915254238</v>
      </c>
      <c r="Z97" s="124" t="s">
        <v>690</v>
      </c>
      <c r="AA97" s="126">
        <v>116250</v>
      </c>
      <c r="AB97" s="16" t="s">
        <v>688</v>
      </c>
    </row>
    <row r="98" spans="1:28" ht="24.75" customHeight="1">
      <c r="A98" s="123"/>
      <c r="B98" s="125">
        <v>94</v>
      </c>
      <c r="C98" s="29" t="s">
        <v>783</v>
      </c>
      <c r="D98" s="23">
        <v>1</v>
      </c>
      <c r="E98" s="102" t="s">
        <v>312</v>
      </c>
      <c r="F98" s="127"/>
      <c r="G98" s="127"/>
      <c r="H98" s="127"/>
      <c r="I98" s="127"/>
      <c r="J98" s="26"/>
      <c r="K98" s="26"/>
      <c r="L98" s="26"/>
      <c r="M98" s="26"/>
      <c r="N98" s="26">
        <f t="shared" si="0"/>
        <v>4152.5423728813557</v>
      </c>
      <c r="O98" s="26">
        <v>4152.5423728813557</v>
      </c>
      <c r="P98" s="26">
        <v>4152.5423728813557</v>
      </c>
      <c r="Q98" s="26">
        <v>4152.5423728813557</v>
      </c>
      <c r="R98" s="26">
        <v>4152.5423728813557</v>
      </c>
      <c r="S98" s="26">
        <v>4152.5423728813557</v>
      </c>
      <c r="T98" s="26">
        <v>4152.5423728813557</v>
      </c>
      <c r="U98" s="26">
        <v>4152.5423728813557</v>
      </c>
      <c r="V98" s="26">
        <v>4152.5423728813557</v>
      </c>
      <c r="W98" s="26">
        <v>4152.5423728813557</v>
      </c>
      <c r="X98" s="26">
        <v>4152.5423728813557</v>
      </c>
      <c r="Y98" s="26">
        <v>4152.5423728813557</v>
      </c>
      <c r="Z98" s="124" t="s">
        <v>690</v>
      </c>
      <c r="AA98" s="126">
        <v>4900</v>
      </c>
      <c r="AB98" s="16" t="s">
        <v>688</v>
      </c>
    </row>
    <row r="99" spans="1:28" ht="24.75" customHeight="1">
      <c r="A99" s="123"/>
      <c r="B99" s="125">
        <v>95</v>
      </c>
      <c r="C99" s="29" t="s">
        <v>784</v>
      </c>
      <c r="D99" s="23">
        <v>1</v>
      </c>
      <c r="E99" s="102" t="s">
        <v>312</v>
      </c>
      <c r="F99" s="127"/>
      <c r="G99" s="127"/>
      <c r="H99" s="127"/>
      <c r="I99" s="127"/>
      <c r="J99" s="26"/>
      <c r="K99" s="26"/>
      <c r="L99" s="26"/>
      <c r="M99" s="26"/>
      <c r="N99" s="26">
        <f t="shared" si="0"/>
        <v>4745.7627118644068</v>
      </c>
      <c r="O99" s="26">
        <v>4745.7627118644068</v>
      </c>
      <c r="P99" s="26">
        <v>4745.7627118644068</v>
      </c>
      <c r="Q99" s="26">
        <v>4745.7627118644068</v>
      </c>
      <c r="R99" s="26">
        <v>4745.7627118644068</v>
      </c>
      <c r="S99" s="26">
        <v>4745.7627118644068</v>
      </c>
      <c r="T99" s="26">
        <v>4745.7627118644068</v>
      </c>
      <c r="U99" s="26">
        <v>4745.7627118644068</v>
      </c>
      <c r="V99" s="26">
        <v>4745.7627118644068</v>
      </c>
      <c r="W99" s="26">
        <v>4745.7627118644068</v>
      </c>
      <c r="X99" s="26">
        <v>4745.7627118644068</v>
      </c>
      <c r="Y99" s="26">
        <v>4745.7627118644068</v>
      </c>
      <c r="Z99" s="124" t="s">
        <v>690</v>
      </c>
      <c r="AA99" s="126">
        <v>5600</v>
      </c>
      <c r="AB99" s="16" t="s">
        <v>688</v>
      </c>
    </row>
    <row r="100" spans="1:28" ht="24.75" customHeight="1">
      <c r="A100" s="123"/>
      <c r="B100" s="125">
        <v>96</v>
      </c>
      <c r="C100" s="29" t="s">
        <v>785</v>
      </c>
      <c r="D100" s="23">
        <v>1</v>
      </c>
      <c r="E100" s="102" t="s">
        <v>312</v>
      </c>
      <c r="F100" s="127"/>
      <c r="G100" s="127"/>
      <c r="H100" s="127"/>
      <c r="I100" s="127"/>
      <c r="J100" s="26"/>
      <c r="K100" s="26"/>
      <c r="L100" s="26"/>
      <c r="M100" s="26"/>
      <c r="N100" s="26">
        <f t="shared" si="0"/>
        <v>10144.06779661017</v>
      </c>
      <c r="O100" s="26">
        <v>10144.06779661017</v>
      </c>
      <c r="P100" s="26">
        <v>10144.06779661017</v>
      </c>
      <c r="Q100" s="26">
        <v>10144.06779661017</v>
      </c>
      <c r="R100" s="26">
        <v>10144.06779661017</v>
      </c>
      <c r="S100" s="26">
        <v>10144.06779661017</v>
      </c>
      <c r="T100" s="26">
        <v>10144.06779661017</v>
      </c>
      <c r="U100" s="26">
        <v>10144.06779661017</v>
      </c>
      <c r="V100" s="26">
        <v>10144.06779661017</v>
      </c>
      <c r="W100" s="26">
        <v>10144.06779661017</v>
      </c>
      <c r="X100" s="26">
        <v>10144.06779661017</v>
      </c>
      <c r="Y100" s="26">
        <v>10144.06779661017</v>
      </c>
      <c r="Z100" s="124" t="s">
        <v>690</v>
      </c>
      <c r="AA100" s="126">
        <v>11970</v>
      </c>
      <c r="AB100" s="16" t="s">
        <v>688</v>
      </c>
    </row>
    <row r="101" spans="1:28" ht="24.75" customHeight="1">
      <c r="A101" s="123"/>
      <c r="B101" s="125">
        <v>97</v>
      </c>
      <c r="C101" s="29" t="s">
        <v>786</v>
      </c>
      <c r="D101" s="23">
        <v>1</v>
      </c>
      <c r="E101" s="102" t="s">
        <v>312</v>
      </c>
      <c r="F101" s="127"/>
      <c r="G101" s="127"/>
      <c r="H101" s="127"/>
      <c r="I101" s="127"/>
      <c r="J101" s="26"/>
      <c r="K101" s="26"/>
      <c r="L101" s="26"/>
      <c r="M101" s="26"/>
      <c r="N101" s="26">
        <f t="shared" si="0"/>
        <v>12203.389830508475</v>
      </c>
      <c r="O101" s="26">
        <v>12203.389830508475</v>
      </c>
      <c r="P101" s="26">
        <v>12203.389830508475</v>
      </c>
      <c r="Q101" s="26">
        <v>12203.389830508475</v>
      </c>
      <c r="R101" s="26">
        <v>12203.389830508475</v>
      </c>
      <c r="S101" s="26">
        <v>12203.389830508475</v>
      </c>
      <c r="T101" s="26">
        <v>12203.389830508475</v>
      </c>
      <c r="U101" s="26">
        <v>12203.389830508475</v>
      </c>
      <c r="V101" s="26">
        <v>12203.389830508475</v>
      </c>
      <c r="W101" s="26">
        <v>12203.389830508475</v>
      </c>
      <c r="X101" s="26">
        <v>12203.389830508475</v>
      </c>
      <c r="Y101" s="26">
        <v>12203.389830508475</v>
      </c>
      <c r="Z101" s="124" t="s">
        <v>690</v>
      </c>
      <c r="AA101" s="126">
        <v>14400</v>
      </c>
      <c r="AB101" s="16" t="s">
        <v>688</v>
      </c>
    </row>
    <row r="102" spans="1:28" ht="24.75" customHeight="1">
      <c r="A102" s="123"/>
      <c r="B102" s="125">
        <v>98</v>
      </c>
      <c r="C102" s="29" t="s">
        <v>787</v>
      </c>
      <c r="D102" s="23">
        <v>1</v>
      </c>
      <c r="E102" s="102" t="s">
        <v>312</v>
      </c>
      <c r="F102" s="127"/>
      <c r="G102" s="127"/>
      <c r="H102" s="127"/>
      <c r="I102" s="127"/>
      <c r="J102" s="26"/>
      <c r="K102" s="26"/>
      <c r="L102" s="26"/>
      <c r="M102" s="26"/>
      <c r="N102" s="26">
        <f t="shared" si="0"/>
        <v>19855.932203389832</v>
      </c>
      <c r="O102" s="26">
        <v>19855.932203389832</v>
      </c>
      <c r="P102" s="26">
        <v>19855.932203389832</v>
      </c>
      <c r="Q102" s="26">
        <v>19855.932203389832</v>
      </c>
      <c r="R102" s="26">
        <v>19855.932203389832</v>
      </c>
      <c r="S102" s="26">
        <v>19855.932203389832</v>
      </c>
      <c r="T102" s="26">
        <v>19855.932203389832</v>
      </c>
      <c r="U102" s="26">
        <v>19855.932203389832</v>
      </c>
      <c r="V102" s="26">
        <v>19855.932203389832</v>
      </c>
      <c r="W102" s="26">
        <v>19855.932203389832</v>
      </c>
      <c r="X102" s="26">
        <v>19855.932203389832</v>
      </c>
      <c r="Y102" s="26">
        <v>19855.932203389832</v>
      </c>
      <c r="Z102" s="124" t="s">
        <v>690</v>
      </c>
      <c r="AA102" s="126">
        <v>23430</v>
      </c>
      <c r="AB102" s="16" t="s">
        <v>688</v>
      </c>
    </row>
    <row r="103" spans="1:28" ht="24.75" customHeight="1">
      <c r="A103" s="123"/>
      <c r="B103" s="125">
        <v>99</v>
      </c>
      <c r="C103" s="29" t="s">
        <v>788</v>
      </c>
      <c r="D103" s="23">
        <v>1</v>
      </c>
      <c r="E103" s="102" t="s">
        <v>312</v>
      </c>
      <c r="F103" s="127"/>
      <c r="G103" s="127"/>
      <c r="H103" s="127"/>
      <c r="I103" s="127"/>
      <c r="J103" s="26"/>
      <c r="K103" s="26"/>
      <c r="L103" s="26"/>
      <c r="M103" s="26"/>
      <c r="N103" s="26">
        <f t="shared" si="0"/>
        <v>25271.186440677968</v>
      </c>
      <c r="O103" s="26">
        <v>25271.186440678001</v>
      </c>
      <c r="P103" s="26">
        <v>25271.186440677968</v>
      </c>
      <c r="Q103" s="26">
        <v>25271.186440677968</v>
      </c>
      <c r="R103" s="26">
        <v>25271.186440677968</v>
      </c>
      <c r="S103" s="26">
        <v>25271.186440677968</v>
      </c>
      <c r="T103" s="26">
        <v>25271.186440677968</v>
      </c>
      <c r="U103" s="26">
        <v>25271.186440677968</v>
      </c>
      <c r="V103" s="26">
        <v>25271.186440677968</v>
      </c>
      <c r="W103" s="26">
        <v>25271.186440677968</v>
      </c>
      <c r="X103" s="26">
        <v>25271.186440677968</v>
      </c>
      <c r="Y103" s="26">
        <v>25271.186440677968</v>
      </c>
      <c r="Z103" s="124" t="s">
        <v>690</v>
      </c>
      <c r="AA103" s="126">
        <v>29820</v>
      </c>
      <c r="AB103" s="16" t="s">
        <v>688</v>
      </c>
    </row>
    <row r="104" spans="1:28" ht="24.75" customHeight="1">
      <c r="A104" s="123"/>
      <c r="B104" s="125">
        <v>100</v>
      </c>
      <c r="C104" s="29" t="s">
        <v>789</v>
      </c>
      <c r="D104" s="23">
        <v>1</v>
      </c>
      <c r="E104" s="102" t="s">
        <v>312</v>
      </c>
      <c r="F104" s="127"/>
      <c r="G104" s="127"/>
      <c r="H104" s="127"/>
      <c r="I104" s="127"/>
      <c r="J104" s="26"/>
      <c r="K104" s="26"/>
      <c r="L104" s="26"/>
      <c r="M104" s="26"/>
      <c r="N104" s="26">
        <f t="shared" si="0"/>
        <v>50211.864406779663</v>
      </c>
      <c r="O104" s="26">
        <v>50211.864406779663</v>
      </c>
      <c r="P104" s="26">
        <v>50211.864406779663</v>
      </c>
      <c r="Q104" s="26">
        <v>50211.864406779663</v>
      </c>
      <c r="R104" s="26">
        <v>50211.864406779663</v>
      </c>
      <c r="S104" s="26">
        <v>50211.864406779663</v>
      </c>
      <c r="T104" s="26">
        <v>50211.864406779663</v>
      </c>
      <c r="U104" s="26">
        <v>50211.864406779663</v>
      </c>
      <c r="V104" s="26">
        <v>50211.864406779663</v>
      </c>
      <c r="W104" s="26">
        <v>50211.864406779663</v>
      </c>
      <c r="X104" s="26">
        <v>50211.864406779663</v>
      </c>
      <c r="Y104" s="26">
        <v>50211.864406779663</v>
      </c>
      <c r="Z104" s="124" t="s">
        <v>690</v>
      </c>
      <c r="AA104" s="126">
        <v>59250</v>
      </c>
      <c r="AB104" s="16" t="s">
        <v>688</v>
      </c>
    </row>
    <row r="105" spans="1:28" ht="24.75" customHeight="1">
      <c r="A105" s="123"/>
      <c r="B105" s="125">
        <v>101</v>
      </c>
      <c r="C105" s="29" t="s">
        <v>790</v>
      </c>
      <c r="D105" s="23">
        <v>1</v>
      </c>
      <c r="E105" s="102" t="s">
        <v>312</v>
      </c>
      <c r="F105" s="127"/>
      <c r="G105" s="127"/>
      <c r="H105" s="127"/>
      <c r="I105" s="127"/>
      <c r="J105" s="26"/>
      <c r="K105" s="26"/>
      <c r="L105" s="26"/>
      <c r="M105" s="26"/>
      <c r="N105" s="26">
        <f t="shared" si="0"/>
        <v>78101.694915254237</v>
      </c>
      <c r="O105" s="26">
        <v>78101.694915254237</v>
      </c>
      <c r="P105" s="26">
        <v>78101.694915254237</v>
      </c>
      <c r="Q105" s="26">
        <v>78101.694915254237</v>
      </c>
      <c r="R105" s="26">
        <v>78101.694915254237</v>
      </c>
      <c r="S105" s="26">
        <v>78101.694915254237</v>
      </c>
      <c r="T105" s="26">
        <v>78101.694915254237</v>
      </c>
      <c r="U105" s="26">
        <v>78101.694915254237</v>
      </c>
      <c r="V105" s="26">
        <v>78101.694915254237</v>
      </c>
      <c r="W105" s="26">
        <v>78101.694915254237</v>
      </c>
      <c r="X105" s="26">
        <v>78101.694915254237</v>
      </c>
      <c r="Y105" s="26">
        <v>78101.694915254237</v>
      </c>
      <c r="Z105" s="124" t="s">
        <v>690</v>
      </c>
      <c r="AA105" s="126">
        <v>92160</v>
      </c>
      <c r="AB105" s="16" t="s">
        <v>688</v>
      </c>
    </row>
    <row r="106" spans="1:28" ht="24.75" customHeight="1">
      <c r="A106" s="123"/>
      <c r="B106" s="125">
        <v>102</v>
      </c>
      <c r="C106" s="29" t="s">
        <v>791</v>
      </c>
      <c r="D106" s="23">
        <v>1</v>
      </c>
      <c r="E106" s="102" t="s">
        <v>312</v>
      </c>
      <c r="F106" s="127"/>
      <c r="G106" s="127"/>
      <c r="H106" s="127"/>
      <c r="I106" s="127"/>
      <c r="J106" s="26"/>
      <c r="K106" s="26"/>
      <c r="L106" s="26"/>
      <c r="M106" s="26"/>
      <c r="N106" s="26">
        <f t="shared" si="0"/>
        <v>98618.644067796617</v>
      </c>
      <c r="O106" s="26">
        <v>98618.644067796617</v>
      </c>
      <c r="P106" s="26">
        <v>98618.644067796617</v>
      </c>
      <c r="Q106" s="26">
        <v>98618.644067796617</v>
      </c>
      <c r="R106" s="26">
        <v>98618.644067796617</v>
      </c>
      <c r="S106" s="26">
        <v>98618.644067796617</v>
      </c>
      <c r="T106" s="26">
        <v>98618.644067796617</v>
      </c>
      <c r="U106" s="26">
        <v>98618.644067796617</v>
      </c>
      <c r="V106" s="26">
        <v>98618.644067796617</v>
      </c>
      <c r="W106" s="26">
        <v>98618.644067796617</v>
      </c>
      <c r="X106" s="26">
        <v>98618.644067796617</v>
      </c>
      <c r="Y106" s="26">
        <v>98618.644067796617</v>
      </c>
      <c r="Z106" s="124" t="s">
        <v>690</v>
      </c>
      <c r="AA106" s="126">
        <v>116370</v>
      </c>
      <c r="AB106" s="16" t="s">
        <v>688</v>
      </c>
    </row>
    <row r="107" spans="1:28" ht="24.75" customHeight="1">
      <c r="A107" s="123"/>
      <c r="B107" s="15"/>
      <c r="C107" s="16" t="s">
        <v>792</v>
      </c>
      <c r="D107" s="23"/>
      <c r="E107" s="102"/>
      <c r="F107" s="127"/>
      <c r="G107" s="127"/>
      <c r="H107" s="127"/>
      <c r="I107" s="127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124"/>
      <c r="AA107" s="126"/>
    </row>
    <row r="108" spans="1:28" ht="24.75" customHeight="1">
      <c r="A108" s="123"/>
      <c r="B108" s="125"/>
      <c r="C108" s="29" t="s">
        <v>793</v>
      </c>
      <c r="D108" s="23"/>
      <c r="E108" s="102"/>
      <c r="F108" s="127"/>
      <c r="G108" s="127"/>
      <c r="H108" s="127"/>
      <c r="I108" s="127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>
        <v>1338.9830508474577</v>
      </c>
      <c r="W108" s="26">
        <v>1338.9830508474577</v>
      </c>
      <c r="X108" s="26">
        <v>1338.9830508474577</v>
      </c>
      <c r="Y108" s="26">
        <v>1338.9830508474577</v>
      </c>
      <c r="Z108" s="124" t="s">
        <v>690</v>
      </c>
      <c r="AA108" s="126"/>
      <c r="AB108" s="16" t="s">
        <v>792</v>
      </c>
    </row>
    <row r="109" spans="1:28" ht="24.75" customHeight="1">
      <c r="A109" s="123"/>
      <c r="B109" s="125"/>
      <c r="C109" s="29" t="s">
        <v>794</v>
      </c>
      <c r="D109" s="23"/>
      <c r="E109" s="102"/>
      <c r="F109" s="127"/>
      <c r="G109" s="127"/>
      <c r="H109" s="127"/>
      <c r="I109" s="127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>
        <v>2084.7457627118647</v>
      </c>
      <c r="W109" s="26">
        <v>2084.7457627118647</v>
      </c>
      <c r="X109" s="26">
        <v>2084.7457627118647</v>
      </c>
      <c r="Y109" s="26">
        <v>2084.7457627118647</v>
      </c>
      <c r="Z109" s="124" t="s">
        <v>690</v>
      </c>
      <c r="AA109" s="126"/>
      <c r="AB109" s="16" t="s">
        <v>792</v>
      </c>
    </row>
    <row r="110" spans="1:28" ht="24.75" customHeight="1">
      <c r="A110" s="123"/>
      <c r="B110" s="125"/>
      <c r="C110" s="29" t="s">
        <v>795</v>
      </c>
      <c r="D110" s="23"/>
      <c r="E110" s="102"/>
      <c r="F110" s="127"/>
      <c r="G110" s="127"/>
      <c r="H110" s="127"/>
      <c r="I110" s="127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>
        <v>2830.5084745762715</v>
      </c>
      <c r="W110" s="26">
        <v>2830.5084745762715</v>
      </c>
      <c r="X110" s="26">
        <v>2830.5084745762715</v>
      </c>
      <c r="Y110" s="26">
        <v>2830.5084745762715</v>
      </c>
      <c r="Z110" s="124" t="s">
        <v>690</v>
      </c>
      <c r="AA110" s="126"/>
      <c r="AB110" s="16" t="s">
        <v>792</v>
      </c>
    </row>
    <row r="111" spans="1:28" ht="24.75" customHeight="1">
      <c r="A111" s="123"/>
      <c r="B111" s="125"/>
      <c r="C111" s="29" t="s">
        <v>796</v>
      </c>
      <c r="D111" s="23"/>
      <c r="E111" s="102"/>
      <c r="F111" s="127"/>
      <c r="G111" s="127"/>
      <c r="H111" s="127"/>
      <c r="I111" s="127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>
        <v>6025.42372881356</v>
      </c>
      <c r="W111" s="26">
        <v>6025.42372881356</v>
      </c>
      <c r="X111" s="26">
        <v>6025.42372881356</v>
      </c>
      <c r="Y111" s="26">
        <v>6025.42372881356</v>
      </c>
      <c r="Z111" s="124" t="s">
        <v>690</v>
      </c>
      <c r="AA111" s="126"/>
      <c r="AB111" s="16" t="s">
        <v>792</v>
      </c>
    </row>
    <row r="112" spans="1:28" ht="24.75" customHeight="1">
      <c r="A112" s="123"/>
      <c r="B112" s="125"/>
      <c r="C112" s="29" t="s">
        <v>797</v>
      </c>
      <c r="D112" s="23"/>
      <c r="E112" s="102"/>
      <c r="F112" s="127"/>
      <c r="G112" s="127"/>
      <c r="H112" s="127"/>
      <c r="I112" s="127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>
        <v>10144.06779661017</v>
      </c>
      <c r="W112" s="26">
        <v>10144.06779661017</v>
      </c>
      <c r="X112" s="26">
        <v>10144.06779661017</v>
      </c>
      <c r="Y112" s="26">
        <v>10144.06779661017</v>
      </c>
      <c r="Z112" s="124" t="s">
        <v>690</v>
      </c>
      <c r="AA112" s="126"/>
      <c r="AB112" s="16" t="s">
        <v>792</v>
      </c>
    </row>
    <row r="113" spans="1:28" ht="24.75" customHeight="1">
      <c r="A113" s="123"/>
      <c r="B113" s="125"/>
      <c r="C113" s="29" t="s">
        <v>798</v>
      </c>
      <c r="D113" s="23"/>
      <c r="E113" s="102"/>
      <c r="F113" s="127"/>
      <c r="G113" s="127"/>
      <c r="H113" s="127"/>
      <c r="I113" s="127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>
        <v>19728.813559322036</v>
      </c>
      <c r="W113" s="26">
        <v>19728.813559322036</v>
      </c>
      <c r="X113" s="26">
        <v>19728.813559322036</v>
      </c>
      <c r="Y113" s="26">
        <v>19728.813559322036</v>
      </c>
      <c r="Z113" s="124" t="s">
        <v>690</v>
      </c>
      <c r="AA113" s="126"/>
      <c r="AB113" s="16" t="s">
        <v>792</v>
      </c>
    </row>
    <row r="114" spans="1:28" ht="24.75" customHeight="1">
      <c r="A114" s="123"/>
      <c r="B114" s="125"/>
      <c r="C114" s="29" t="s">
        <v>799</v>
      </c>
      <c r="D114" s="23"/>
      <c r="E114" s="102"/>
      <c r="F114" s="127"/>
      <c r="G114" s="127"/>
      <c r="H114" s="127"/>
      <c r="I114" s="127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>
        <v>38440.677966101699</v>
      </c>
      <c r="W114" s="26">
        <v>38440.677966101699</v>
      </c>
      <c r="X114" s="26">
        <v>38440.677966101699</v>
      </c>
      <c r="Y114" s="26">
        <v>38440.677966101699</v>
      </c>
      <c r="Z114" s="124" t="s">
        <v>690</v>
      </c>
      <c r="AA114" s="126"/>
      <c r="AB114" s="16" t="s">
        <v>792</v>
      </c>
    </row>
    <row r="115" spans="1:28" ht="24.75" customHeight="1">
      <c r="A115" s="123"/>
      <c r="B115" s="125"/>
      <c r="C115" s="29" t="s">
        <v>800</v>
      </c>
      <c r="D115" s="23"/>
      <c r="E115" s="102"/>
      <c r="F115" s="127"/>
      <c r="G115" s="127"/>
      <c r="H115" s="127"/>
      <c r="I115" s="127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>
        <v>58118.644067796617</v>
      </c>
      <c r="W115" s="26">
        <v>58118.644067796617</v>
      </c>
      <c r="X115" s="26">
        <v>58118.644067796617</v>
      </c>
      <c r="Y115" s="26">
        <v>58118.644067796617</v>
      </c>
      <c r="Z115" s="124" t="s">
        <v>690</v>
      </c>
      <c r="AA115" s="126"/>
      <c r="AB115" s="16" t="s">
        <v>792</v>
      </c>
    </row>
    <row r="116" spans="1:28" ht="24.75" customHeight="1">
      <c r="A116" s="123"/>
      <c r="B116" s="125"/>
      <c r="C116" s="29" t="s">
        <v>801</v>
      </c>
      <c r="D116" s="23"/>
      <c r="E116" s="102"/>
      <c r="F116" s="127"/>
      <c r="G116" s="127"/>
      <c r="H116" s="127"/>
      <c r="I116" s="127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>
        <v>73322.03389830509</v>
      </c>
      <c r="W116" s="26">
        <v>73322.03389830509</v>
      </c>
      <c r="X116" s="26">
        <v>73322.03389830509</v>
      </c>
      <c r="Y116" s="26">
        <v>73322.03389830509</v>
      </c>
      <c r="Z116" s="124" t="s">
        <v>690</v>
      </c>
      <c r="AA116" s="126"/>
      <c r="AB116" s="16" t="s">
        <v>792</v>
      </c>
    </row>
    <row r="117" spans="1:28" ht="24.75" customHeight="1">
      <c r="A117" s="123"/>
      <c r="B117" s="125"/>
      <c r="C117" s="29" t="s">
        <v>802</v>
      </c>
      <c r="D117" s="23"/>
      <c r="E117" s="102"/>
      <c r="F117" s="127"/>
      <c r="G117" s="127"/>
      <c r="H117" s="127"/>
      <c r="I117" s="127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>
        <v>1491.5254237288136</v>
      </c>
      <c r="W117" s="26">
        <v>1491.5254237288136</v>
      </c>
      <c r="X117" s="26">
        <v>1491.5254237288136</v>
      </c>
      <c r="Y117" s="26">
        <v>1491.5254237288136</v>
      </c>
      <c r="Z117" s="124" t="s">
        <v>690</v>
      </c>
      <c r="AA117" s="126"/>
      <c r="AB117" s="16" t="s">
        <v>792</v>
      </c>
    </row>
    <row r="118" spans="1:28" ht="24.75" customHeight="1">
      <c r="A118" s="123"/>
      <c r="B118" s="125"/>
      <c r="C118" s="29" t="s">
        <v>803</v>
      </c>
      <c r="D118" s="23"/>
      <c r="E118" s="102"/>
      <c r="F118" s="127"/>
      <c r="G118" s="127"/>
      <c r="H118" s="127"/>
      <c r="I118" s="127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>
        <v>2254.2372881355932</v>
      </c>
      <c r="W118" s="26">
        <v>2254.2372881355932</v>
      </c>
      <c r="X118" s="26">
        <v>2254.2372881355932</v>
      </c>
      <c r="Y118" s="26">
        <v>2254.2372881355932</v>
      </c>
      <c r="Z118" s="124" t="s">
        <v>690</v>
      </c>
      <c r="AA118" s="126"/>
      <c r="AB118" s="16" t="s">
        <v>792</v>
      </c>
    </row>
    <row r="119" spans="1:28" ht="24.75" customHeight="1">
      <c r="A119" s="123"/>
      <c r="B119" s="125"/>
      <c r="C119" s="29" t="s">
        <v>804</v>
      </c>
      <c r="D119" s="23"/>
      <c r="E119" s="102"/>
      <c r="F119" s="127"/>
      <c r="G119" s="127"/>
      <c r="H119" s="127"/>
      <c r="I119" s="127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>
        <v>2949.1525423728817</v>
      </c>
      <c r="W119" s="26">
        <v>2949.1525423728817</v>
      </c>
      <c r="X119" s="26">
        <v>2949.1525423728817</v>
      </c>
      <c r="Y119" s="26">
        <v>2949.1525423728817</v>
      </c>
      <c r="Z119" s="124" t="s">
        <v>690</v>
      </c>
      <c r="AA119" s="126"/>
      <c r="AB119" s="16" t="s">
        <v>792</v>
      </c>
    </row>
    <row r="120" spans="1:28" ht="24.75" customHeight="1">
      <c r="A120" s="123"/>
      <c r="B120" s="125"/>
      <c r="C120" s="29" t="s">
        <v>805</v>
      </c>
      <c r="D120" s="23"/>
      <c r="E120" s="102"/>
      <c r="F120" s="127"/>
      <c r="G120" s="127"/>
      <c r="H120" s="127"/>
      <c r="I120" s="127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>
        <v>6279.6610169491532</v>
      </c>
      <c r="W120" s="26">
        <v>6279.6610169491532</v>
      </c>
      <c r="X120" s="26">
        <v>6279.6610169491532</v>
      </c>
      <c r="Y120" s="26">
        <v>6279.6610169491532</v>
      </c>
      <c r="Z120" s="124" t="s">
        <v>690</v>
      </c>
      <c r="AA120" s="126"/>
      <c r="AB120" s="16" t="s">
        <v>792</v>
      </c>
    </row>
    <row r="121" spans="1:28" ht="24.75" customHeight="1">
      <c r="A121" s="123"/>
      <c r="B121" s="125"/>
      <c r="C121" s="29" t="s">
        <v>806</v>
      </c>
      <c r="D121" s="23"/>
      <c r="E121" s="102"/>
      <c r="F121" s="127"/>
      <c r="G121" s="127"/>
      <c r="H121" s="127"/>
      <c r="I121" s="127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>
        <v>10220.338983050848</v>
      </c>
      <c r="W121" s="26">
        <v>10220.338983050848</v>
      </c>
      <c r="X121" s="26">
        <v>10220.338983050848</v>
      </c>
      <c r="Y121" s="26">
        <v>10220.338983050848</v>
      </c>
      <c r="Z121" s="124" t="s">
        <v>690</v>
      </c>
      <c r="AA121" s="126"/>
      <c r="AB121" s="16" t="s">
        <v>792</v>
      </c>
    </row>
    <row r="122" spans="1:28" ht="24.75" customHeight="1">
      <c r="A122" s="123"/>
      <c r="B122" s="125"/>
      <c r="C122" s="29" t="s">
        <v>807</v>
      </c>
      <c r="D122" s="23"/>
      <c r="E122" s="102"/>
      <c r="F122" s="127"/>
      <c r="G122" s="127"/>
      <c r="H122" s="127"/>
      <c r="I122" s="127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>
        <v>19957.627118644068</v>
      </c>
      <c r="W122" s="26">
        <v>19957.627118644068</v>
      </c>
      <c r="X122" s="26">
        <v>19957.627118644068</v>
      </c>
      <c r="Y122" s="26">
        <v>19957.627118644068</v>
      </c>
      <c r="Z122" s="124" t="s">
        <v>690</v>
      </c>
      <c r="AA122" s="126"/>
      <c r="AB122" s="16" t="s">
        <v>792</v>
      </c>
    </row>
    <row r="123" spans="1:28" ht="24.75" customHeight="1">
      <c r="A123" s="123"/>
      <c r="B123" s="125"/>
      <c r="C123" s="29" t="s">
        <v>808</v>
      </c>
      <c r="D123" s="23"/>
      <c r="E123" s="102"/>
      <c r="F123" s="127"/>
      <c r="G123" s="127"/>
      <c r="H123" s="127"/>
      <c r="I123" s="127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>
        <v>38822.03389830509</v>
      </c>
      <c r="W123" s="26">
        <v>38822.03389830509</v>
      </c>
      <c r="X123" s="26">
        <v>38822.03389830509</v>
      </c>
      <c r="Y123" s="26">
        <v>38822.03389830509</v>
      </c>
      <c r="Z123" s="124" t="s">
        <v>690</v>
      </c>
      <c r="AA123" s="126"/>
      <c r="AB123" s="16" t="s">
        <v>792</v>
      </c>
    </row>
    <row r="124" spans="1:28" ht="24.75" customHeight="1">
      <c r="A124" s="123"/>
      <c r="B124" s="125"/>
      <c r="C124" s="29" t="s">
        <v>809</v>
      </c>
      <c r="D124" s="23"/>
      <c r="E124" s="102"/>
      <c r="F124" s="127"/>
      <c r="G124" s="127"/>
      <c r="H124" s="127"/>
      <c r="I124" s="127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>
        <v>58805.084745762717</v>
      </c>
      <c r="W124" s="26">
        <v>58805.084745762717</v>
      </c>
      <c r="X124" s="26">
        <v>58805.084745762717</v>
      </c>
      <c r="Y124" s="26">
        <v>58805.084745762717</v>
      </c>
      <c r="Z124" s="124" t="s">
        <v>690</v>
      </c>
      <c r="AA124" s="126"/>
      <c r="AB124" s="16" t="s">
        <v>792</v>
      </c>
    </row>
    <row r="125" spans="1:28" ht="24.75" customHeight="1">
      <c r="A125" s="123"/>
      <c r="B125" s="125"/>
      <c r="C125" s="29" t="s">
        <v>810</v>
      </c>
      <c r="D125" s="23"/>
      <c r="E125" s="102"/>
      <c r="F125" s="127"/>
      <c r="G125" s="127"/>
      <c r="H125" s="127"/>
      <c r="I125" s="127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>
        <v>74008.474576271197</v>
      </c>
      <c r="W125" s="26">
        <v>74008.474576271197</v>
      </c>
      <c r="X125" s="26">
        <v>74008.474576271197</v>
      </c>
      <c r="Y125" s="26">
        <v>74008.474576271197</v>
      </c>
      <c r="Z125" s="124" t="s">
        <v>690</v>
      </c>
      <c r="AA125" s="126"/>
      <c r="AB125" s="16" t="s">
        <v>792</v>
      </c>
    </row>
    <row r="126" spans="1:28" ht="24.75" customHeight="1">
      <c r="A126" s="123"/>
      <c r="B126" s="125"/>
      <c r="C126" s="29" t="s">
        <v>811</v>
      </c>
      <c r="D126" s="23"/>
      <c r="E126" s="102"/>
      <c r="F126" s="127"/>
      <c r="G126" s="127"/>
      <c r="H126" s="127"/>
      <c r="I126" s="127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>
        <v>10474.576271186441</v>
      </c>
      <c r="W126" s="26">
        <v>10474.576271186441</v>
      </c>
      <c r="X126" s="26">
        <v>10474.576271186441</v>
      </c>
      <c r="Y126" s="26">
        <v>10474.576271186441</v>
      </c>
      <c r="Z126" s="124" t="s">
        <v>690</v>
      </c>
      <c r="AA126" s="126"/>
      <c r="AB126" s="16" t="s">
        <v>792</v>
      </c>
    </row>
    <row r="127" spans="1:28" ht="24.75" customHeight="1">
      <c r="A127" s="123"/>
      <c r="B127" s="125"/>
      <c r="C127" s="29" t="s">
        <v>812</v>
      </c>
      <c r="D127" s="23"/>
      <c r="E127" s="102"/>
      <c r="F127" s="127"/>
      <c r="G127" s="127"/>
      <c r="H127" s="127"/>
      <c r="I127" s="127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>
        <v>20262.711864406781</v>
      </c>
      <c r="W127" s="26">
        <v>20262.711864406781</v>
      </c>
      <c r="X127" s="26">
        <v>20262.711864406781</v>
      </c>
      <c r="Y127" s="26">
        <v>20262.711864406781</v>
      </c>
      <c r="Z127" s="124" t="s">
        <v>690</v>
      </c>
      <c r="AA127" s="126"/>
      <c r="AB127" s="16" t="s">
        <v>792</v>
      </c>
    </row>
    <row r="128" spans="1:28" ht="24.75" customHeight="1">
      <c r="A128" s="123"/>
      <c r="B128" s="125"/>
      <c r="C128" s="29" t="s">
        <v>813</v>
      </c>
      <c r="D128" s="23"/>
      <c r="E128" s="102"/>
      <c r="F128" s="127"/>
      <c r="G128" s="127"/>
      <c r="H128" s="127"/>
      <c r="I128" s="127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>
        <v>38898.305084745763</v>
      </c>
      <c r="W128" s="26">
        <v>38898.305084745763</v>
      </c>
      <c r="X128" s="26">
        <v>38898.305084745763</v>
      </c>
      <c r="Y128" s="26">
        <v>38898.305084745763</v>
      </c>
      <c r="Z128" s="124" t="s">
        <v>690</v>
      </c>
      <c r="AA128" s="126"/>
      <c r="AB128" s="16" t="s">
        <v>792</v>
      </c>
    </row>
    <row r="129" spans="1:28" ht="24.75" customHeight="1">
      <c r="A129" s="123"/>
      <c r="B129" s="125"/>
      <c r="C129" s="29" t="s">
        <v>814</v>
      </c>
      <c r="D129" s="23"/>
      <c r="E129" s="102"/>
      <c r="F129" s="127"/>
      <c r="G129" s="127"/>
      <c r="H129" s="127"/>
      <c r="I129" s="127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>
        <v>59949.152542372882</v>
      </c>
      <c r="W129" s="26">
        <v>59949.152542372882</v>
      </c>
      <c r="X129" s="26">
        <v>59949.152542372882</v>
      </c>
      <c r="Y129" s="26">
        <v>59949.152542372882</v>
      </c>
      <c r="Z129" s="124" t="s">
        <v>690</v>
      </c>
      <c r="AA129" s="126"/>
      <c r="AB129" s="16" t="s">
        <v>792</v>
      </c>
    </row>
    <row r="130" spans="1:28" ht="24.75" customHeight="1">
      <c r="A130" s="123"/>
      <c r="B130" s="125"/>
      <c r="C130" s="29" t="s">
        <v>815</v>
      </c>
      <c r="D130" s="23"/>
      <c r="E130" s="102"/>
      <c r="F130" s="127"/>
      <c r="G130" s="127"/>
      <c r="H130" s="127"/>
      <c r="I130" s="127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>
        <v>75203.389830508473</v>
      </c>
      <c r="W130" s="26">
        <v>75203.389830508473</v>
      </c>
      <c r="X130" s="26">
        <v>75203.389830508473</v>
      </c>
      <c r="Y130" s="26">
        <v>75203.389830508473</v>
      </c>
      <c r="Z130" s="124" t="s">
        <v>690</v>
      </c>
      <c r="AA130" s="126"/>
      <c r="AB130" s="16" t="s">
        <v>792</v>
      </c>
    </row>
    <row r="131" spans="1:28" ht="24.75" customHeight="1">
      <c r="A131" s="123"/>
      <c r="B131" s="15"/>
      <c r="C131" s="16" t="s">
        <v>816</v>
      </c>
      <c r="D131" s="23"/>
      <c r="E131" s="102"/>
      <c r="F131" s="127"/>
      <c r="G131" s="127"/>
      <c r="H131" s="127"/>
      <c r="I131" s="127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124"/>
      <c r="AA131" s="126"/>
    </row>
    <row r="132" spans="1:28" ht="24.75" customHeight="1">
      <c r="A132" s="123"/>
      <c r="B132" s="21" t="s">
        <v>8</v>
      </c>
      <c r="C132" s="29" t="s">
        <v>817</v>
      </c>
      <c r="D132" s="23">
        <v>1</v>
      </c>
      <c r="E132" s="102" t="s">
        <v>1</v>
      </c>
      <c r="F132" s="127"/>
      <c r="G132" s="127"/>
      <c r="H132" s="127"/>
      <c r="I132" s="127"/>
      <c r="J132" s="26"/>
      <c r="K132" s="26"/>
      <c r="L132" s="26"/>
      <c r="M132" s="26"/>
      <c r="N132" s="26">
        <f t="shared" ref="N132:N167" si="1">AA132/$AA$2</f>
        <v>44.067796610169495</v>
      </c>
      <c r="O132" s="26">
        <v>44.067796610169495</v>
      </c>
      <c r="P132" s="26">
        <v>44.067796610169495</v>
      </c>
      <c r="Q132" s="26">
        <v>44.067796610169495</v>
      </c>
      <c r="R132" s="26">
        <v>44.067796610169495</v>
      </c>
      <c r="S132" s="26">
        <v>44.067796610169495</v>
      </c>
      <c r="T132" s="26">
        <v>44.067796610169495</v>
      </c>
      <c r="U132" s="26">
        <v>44.067796610169495</v>
      </c>
      <c r="V132" s="26">
        <v>44.067796610169495</v>
      </c>
      <c r="W132" s="26">
        <v>44.067796610169495</v>
      </c>
      <c r="X132" s="26">
        <v>44.067796610169495</v>
      </c>
      <c r="Y132" s="26">
        <v>44.067796610169495</v>
      </c>
      <c r="Z132" s="124" t="s">
        <v>690</v>
      </c>
      <c r="AA132" s="126">
        <v>52</v>
      </c>
      <c r="AB132" s="16" t="s">
        <v>816</v>
      </c>
    </row>
    <row r="133" spans="1:28" ht="24.75" customHeight="1">
      <c r="A133" s="123"/>
      <c r="B133" s="21" t="s">
        <v>11</v>
      </c>
      <c r="C133" s="29" t="s">
        <v>818</v>
      </c>
      <c r="D133" s="23">
        <v>1</v>
      </c>
      <c r="E133" s="102" t="s">
        <v>1</v>
      </c>
      <c r="F133" s="127"/>
      <c r="G133" s="127"/>
      <c r="H133" s="127"/>
      <c r="I133" s="127"/>
      <c r="J133" s="26"/>
      <c r="K133" s="26"/>
      <c r="L133" s="26"/>
      <c r="M133" s="26"/>
      <c r="N133" s="26">
        <f t="shared" si="1"/>
        <v>66.101694915254242</v>
      </c>
      <c r="O133" s="26">
        <v>66.101694915254242</v>
      </c>
      <c r="P133" s="26">
        <v>66.101694915254242</v>
      </c>
      <c r="Q133" s="26">
        <v>66.101694915254242</v>
      </c>
      <c r="R133" s="26">
        <v>66.101694915254242</v>
      </c>
      <c r="S133" s="26">
        <v>66.101694915254242</v>
      </c>
      <c r="T133" s="26">
        <v>66.101694915254242</v>
      </c>
      <c r="U133" s="26">
        <v>66.101694915254242</v>
      </c>
      <c r="V133" s="26">
        <v>66.101694915254242</v>
      </c>
      <c r="W133" s="26">
        <v>66.101694915254242</v>
      </c>
      <c r="X133" s="26">
        <v>66.101694915254242</v>
      </c>
      <c r="Y133" s="26">
        <v>66.101694915254242</v>
      </c>
      <c r="Z133" s="124" t="s">
        <v>690</v>
      </c>
      <c r="AA133" s="126">
        <v>78</v>
      </c>
      <c r="AB133" s="16" t="s">
        <v>816</v>
      </c>
    </row>
    <row r="134" spans="1:28" ht="24.75" customHeight="1">
      <c r="A134" s="123"/>
      <c r="B134" s="21" t="s">
        <v>13</v>
      </c>
      <c r="C134" s="29" t="s">
        <v>819</v>
      </c>
      <c r="D134" s="23">
        <v>1</v>
      </c>
      <c r="E134" s="102" t="s">
        <v>1</v>
      </c>
      <c r="F134" s="127"/>
      <c r="G134" s="127"/>
      <c r="H134" s="127"/>
      <c r="I134" s="127"/>
      <c r="J134" s="26"/>
      <c r="K134" s="26"/>
      <c r="L134" s="26"/>
      <c r="M134" s="26"/>
      <c r="N134" s="26">
        <f t="shared" si="1"/>
        <v>101.69491525423729</v>
      </c>
      <c r="O134" s="26">
        <v>101.69491525423729</v>
      </c>
      <c r="P134" s="26">
        <v>101.69491525423729</v>
      </c>
      <c r="Q134" s="26">
        <v>101.69491525423729</v>
      </c>
      <c r="R134" s="26">
        <v>101.69491525423729</v>
      </c>
      <c r="S134" s="26">
        <v>101.69491525423729</v>
      </c>
      <c r="T134" s="26">
        <v>101.69491525423729</v>
      </c>
      <c r="U134" s="26">
        <v>101.69491525423729</v>
      </c>
      <c r="V134" s="26">
        <v>101.69491525423729</v>
      </c>
      <c r="W134" s="26">
        <v>101.69491525423729</v>
      </c>
      <c r="X134" s="26">
        <v>101.69491525423729</v>
      </c>
      <c r="Y134" s="26">
        <v>101.69491525423729</v>
      </c>
      <c r="Z134" s="124" t="s">
        <v>690</v>
      </c>
      <c r="AA134" s="126">
        <v>120</v>
      </c>
      <c r="AB134" s="16" t="s">
        <v>816</v>
      </c>
    </row>
    <row r="135" spans="1:28" ht="24.75" customHeight="1">
      <c r="A135" s="123"/>
      <c r="B135" s="21" t="s">
        <v>15</v>
      </c>
      <c r="C135" s="29" t="s">
        <v>820</v>
      </c>
      <c r="D135" s="23">
        <v>1</v>
      </c>
      <c r="E135" s="102" t="s">
        <v>1</v>
      </c>
      <c r="F135" s="127"/>
      <c r="G135" s="127"/>
      <c r="H135" s="127"/>
      <c r="I135" s="127"/>
      <c r="J135" s="26"/>
      <c r="K135" s="26"/>
      <c r="L135" s="26"/>
      <c r="M135" s="26"/>
      <c r="N135" s="26">
        <f t="shared" si="1"/>
        <v>139.83050847457628</v>
      </c>
      <c r="O135" s="26">
        <v>139.83050847457628</v>
      </c>
      <c r="P135" s="26">
        <v>139.83050847457628</v>
      </c>
      <c r="Q135" s="26">
        <v>139.83050847457628</v>
      </c>
      <c r="R135" s="26">
        <v>139.83050847457628</v>
      </c>
      <c r="S135" s="26">
        <v>139.83050847457628</v>
      </c>
      <c r="T135" s="26">
        <v>139.83050847457628</v>
      </c>
      <c r="U135" s="26">
        <v>139.83050847457628</v>
      </c>
      <c r="V135" s="26">
        <v>139.83050847457628</v>
      </c>
      <c r="W135" s="26">
        <v>139.83050847457628</v>
      </c>
      <c r="X135" s="26">
        <v>139.83050847457628</v>
      </c>
      <c r="Y135" s="26">
        <v>139.83050847457628</v>
      </c>
      <c r="Z135" s="124" t="s">
        <v>690</v>
      </c>
      <c r="AA135" s="126">
        <v>165</v>
      </c>
      <c r="AB135" s="16" t="s">
        <v>816</v>
      </c>
    </row>
    <row r="136" spans="1:28" ht="24.75" customHeight="1">
      <c r="A136" s="123"/>
      <c r="B136" s="21" t="s">
        <v>18</v>
      </c>
      <c r="C136" s="29" t="s">
        <v>821</v>
      </c>
      <c r="D136" s="23">
        <v>1</v>
      </c>
      <c r="E136" s="102" t="s">
        <v>1</v>
      </c>
      <c r="F136" s="39"/>
      <c r="G136" s="32"/>
      <c r="H136" s="32"/>
      <c r="I136" s="32"/>
      <c r="J136" s="32"/>
      <c r="K136" s="32"/>
      <c r="L136" s="32"/>
      <c r="M136" s="32"/>
      <c r="N136" s="32">
        <f t="shared" si="1"/>
        <v>207.62711864406782</v>
      </c>
      <c r="O136" s="32">
        <v>207.62711864406782</v>
      </c>
      <c r="P136" s="32">
        <v>207.62711864406782</v>
      </c>
      <c r="Q136" s="32">
        <v>207.62711864406782</v>
      </c>
      <c r="R136" s="32">
        <v>207.62711864406782</v>
      </c>
      <c r="S136" s="32">
        <v>207.62711864406782</v>
      </c>
      <c r="T136" s="32">
        <v>207.62711864406782</v>
      </c>
      <c r="U136" s="32">
        <v>207.62711864406782</v>
      </c>
      <c r="V136" s="32">
        <v>207.62711864406782</v>
      </c>
      <c r="W136" s="32">
        <v>207.62711864406782</v>
      </c>
      <c r="X136" s="32">
        <v>207.62711864406782</v>
      </c>
      <c r="Y136" s="32">
        <v>207.62711864406782</v>
      </c>
      <c r="Z136" s="124" t="s">
        <v>690</v>
      </c>
      <c r="AA136" s="126">
        <v>245</v>
      </c>
      <c r="AB136" s="16" t="s">
        <v>816</v>
      </c>
    </row>
    <row r="137" spans="1:28" ht="24.75" customHeight="1">
      <c r="A137" s="123"/>
      <c r="B137" s="21" t="s">
        <v>20</v>
      </c>
      <c r="C137" s="29" t="s">
        <v>822</v>
      </c>
      <c r="D137" s="23">
        <v>1</v>
      </c>
      <c r="E137" s="102" t="s">
        <v>1</v>
      </c>
      <c r="F137" s="39"/>
      <c r="G137" s="32"/>
      <c r="H137" s="32"/>
      <c r="I137" s="32"/>
      <c r="J137" s="32">
        <v>24900</v>
      </c>
      <c r="K137" s="32"/>
      <c r="L137" s="32"/>
      <c r="M137" s="32"/>
      <c r="N137" s="32">
        <f t="shared" si="1"/>
        <v>283.8983050847458</v>
      </c>
      <c r="O137" s="32">
        <v>283.8983050847458</v>
      </c>
      <c r="P137" s="32">
        <v>283.8983050847458</v>
      </c>
      <c r="Q137" s="32">
        <v>283.8983050847458</v>
      </c>
      <c r="R137" s="32">
        <v>283.8983050847458</v>
      </c>
      <c r="S137" s="32">
        <v>283.8983050847458</v>
      </c>
      <c r="T137" s="32">
        <v>283.8983050847458</v>
      </c>
      <c r="U137" s="32">
        <v>283.8983050847458</v>
      </c>
      <c r="V137" s="32">
        <v>283.8983050847458</v>
      </c>
      <c r="W137" s="32">
        <v>283.8983050847458</v>
      </c>
      <c r="X137" s="32">
        <v>283.8983050847458</v>
      </c>
      <c r="Y137" s="32">
        <v>283.8983050847458</v>
      </c>
      <c r="Z137" s="124" t="s">
        <v>690</v>
      </c>
      <c r="AA137" s="126">
        <v>335</v>
      </c>
      <c r="AB137" s="16" t="s">
        <v>816</v>
      </c>
    </row>
    <row r="138" spans="1:28" ht="24.75" customHeight="1">
      <c r="A138" s="123"/>
      <c r="B138" s="21" t="s">
        <v>24</v>
      </c>
      <c r="C138" s="29" t="s">
        <v>823</v>
      </c>
      <c r="D138" s="23">
        <v>1</v>
      </c>
      <c r="E138" s="102" t="s">
        <v>1</v>
      </c>
      <c r="F138" s="39"/>
      <c r="G138" s="32"/>
      <c r="H138" s="32"/>
      <c r="I138" s="32"/>
      <c r="J138" s="32"/>
      <c r="K138" s="32"/>
      <c r="L138" s="32"/>
      <c r="M138" s="32"/>
      <c r="N138" s="32">
        <f t="shared" si="1"/>
        <v>411.0169491525424</v>
      </c>
      <c r="O138" s="32">
        <v>411.0169491525424</v>
      </c>
      <c r="P138" s="32">
        <v>411.0169491525424</v>
      </c>
      <c r="Q138" s="32">
        <v>411.0169491525424</v>
      </c>
      <c r="R138" s="32">
        <v>411.0169491525424</v>
      </c>
      <c r="S138" s="32">
        <v>411.0169491525424</v>
      </c>
      <c r="T138" s="32">
        <v>411.0169491525424</v>
      </c>
      <c r="U138" s="32">
        <v>411.0169491525424</v>
      </c>
      <c r="V138" s="32">
        <v>411.0169491525424</v>
      </c>
      <c r="W138" s="32">
        <v>411.0169491525424</v>
      </c>
      <c r="X138" s="32">
        <v>411.0169491525424</v>
      </c>
      <c r="Y138" s="32">
        <v>411.0169491525424</v>
      </c>
      <c r="Z138" s="124" t="s">
        <v>690</v>
      </c>
      <c r="AA138" s="126">
        <v>485</v>
      </c>
      <c r="AB138" s="16" t="s">
        <v>816</v>
      </c>
    </row>
    <row r="139" spans="1:28" ht="24.75" customHeight="1">
      <c r="A139" s="123"/>
      <c r="B139" s="21" t="s">
        <v>27</v>
      </c>
      <c r="C139" s="29" t="s">
        <v>824</v>
      </c>
      <c r="D139" s="23">
        <v>1</v>
      </c>
      <c r="E139" s="102" t="s">
        <v>1</v>
      </c>
      <c r="F139" s="39"/>
      <c r="G139" s="32"/>
      <c r="H139" s="32"/>
      <c r="I139" s="32"/>
      <c r="J139" s="32">
        <v>17400</v>
      </c>
      <c r="K139" s="32"/>
      <c r="L139" s="32"/>
      <c r="M139" s="32"/>
      <c r="N139" s="32">
        <f t="shared" si="1"/>
        <v>838.98305084745766</v>
      </c>
      <c r="O139" s="32">
        <v>838.98305084745766</v>
      </c>
      <c r="P139" s="32">
        <v>838.98305084745766</v>
      </c>
      <c r="Q139" s="32">
        <v>838.98305084745766</v>
      </c>
      <c r="R139" s="32">
        <v>838.98305084745766</v>
      </c>
      <c r="S139" s="32">
        <v>838.98305084745766</v>
      </c>
      <c r="T139" s="32">
        <v>838.98305084745766</v>
      </c>
      <c r="U139" s="32">
        <v>838.98305084745766</v>
      </c>
      <c r="V139" s="32">
        <v>838.98305084745766</v>
      </c>
      <c r="W139" s="32">
        <v>838.98305084745766</v>
      </c>
      <c r="X139" s="32">
        <v>838.98305084745766</v>
      </c>
      <c r="Y139" s="32">
        <v>838.98305084745766</v>
      </c>
      <c r="Z139" s="124" t="s">
        <v>690</v>
      </c>
      <c r="AA139" s="126">
        <v>990</v>
      </c>
      <c r="AB139" s="16" t="s">
        <v>816</v>
      </c>
    </row>
    <row r="140" spans="1:28" ht="24.75" customHeight="1">
      <c r="A140" s="123"/>
      <c r="B140" s="21" t="s">
        <v>30</v>
      </c>
      <c r="C140" s="29" t="s">
        <v>825</v>
      </c>
      <c r="D140" s="23">
        <v>1</v>
      </c>
      <c r="E140" s="102" t="s">
        <v>1</v>
      </c>
      <c r="F140" s="39"/>
      <c r="G140" s="32"/>
      <c r="H140" s="32"/>
      <c r="I140" s="32"/>
      <c r="J140" s="32">
        <v>14700</v>
      </c>
      <c r="K140" s="32"/>
      <c r="L140" s="32"/>
      <c r="M140" s="32"/>
      <c r="N140" s="32">
        <f t="shared" si="1"/>
        <v>1135.5932203389832</v>
      </c>
      <c r="O140" s="32">
        <v>1135.5932203389832</v>
      </c>
      <c r="P140" s="32">
        <v>1135.5932203389832</v>
      </c>
      <c r="Q140" s="32">
        <v>1135.5932203389832</v>
      </c>
      <c r="R140" s="32">
        <v>1135.5932203389832</v>
      </c>
      <c r="S140" s="32">
        <v>1135.5932203389832</v>
      </c>
      <c r="T140" s="32">
        <v>1135.5932203389832</v>
      </c>
      <c r="U140" s="32">
        <v>1135.5932203389832</v>
      </c>
      <c r="V140" s="32">
        <v>1135.5932203389832</v>
      </c>
      <c r="W140" s="32">
        <v>1135.5932203389832</v>
      </c>
      <c r="X140" s="32">
        <v>1135.5932203389832</v>
      </c>
      <c r="Y140" s="32">
        <v>1135.5932203389832</v>
      </c>
      <c r="Z140" s="124" t="s">
        <v>690</v>
      </c>
      <c r="AA140" s="126">
        <v>1340</v>
      </c>
      <c r="AB140" s="16" t="s">
        <v>816</v>
      </c>
    </row>
    <row r="141" spans="1:28" ht="24.75" customHeight="1">
      <c r="A141" s="123"/>
      <c r="B141" s="21" t="s">
        <v>32</v>
      </c>
      <c r="C141" s="29" t="s">
        <v>826</v>
      </c>
      <c r="D141" s="23">
        <v>1</v>
      </c>
      <c r="E141" s="102" t="s">
        <v>1</v>
      </c>
      <c r="F141" s="39"/>
      <c r="G141" s="32"/>
      <c r="H141" s="32"/>
      <c r="I141" s="32"/>
      <c r="J141" s="32">
        <v>31300</v>
      </c>
      <c r="K141" s="32"/>
      <c r="L141" s="32"/>
      <c r="M141" s="32"/>
      <c r="N141" s="32">
        <f t="shared" si="1"/>
        <v>56.779661016949156</v>
      </c>
      <c r="O141" s="32">
        <v>56.779661016949156</v>
      </c>
      <c r="P141" s="32">
        <v>56.779661016949156</v>
      </c>
      <c r="Q141" s="32">
        <v>56.779661016949156</v>
      </c>
      <c r="R141" s="32">
        <v>56.779661016949156</v>
      </c>
      <c r="S141" s="32">
        <v>56.779661016949156</v>
      </c>
      <c r="T141" s="32">
        <v>56.779661016949156</v>
      </c>
      <c r="U141" s="32">
        <v>56.779661016949156</v>
      </c>
      <c r="V141" s="32">
        <v>56.779661016949156</v>
      </c>
      <c r="W141" s="32">
        <v>56.779661016949156</v>
      </c>
      <c r="X141" s="32">
        <v>56.779661016949156</v>
      </c>
      <c r="Y141" s="32">
        <v>56.779661016949156</v>
      </c>
      <c r="Z141" s="124" t="s">
        <v>690</v>
      </c>
      <c r="AA141" s="126">
        <v>67</v>
      </c>
      <c r="AB141" s="16" t="s">
        <v>816</v>
      </c>
    </row>
    <row r="142" spans="1:28" ht="24.75" customHeight="1">
      <c r="A142" s="123"/>
      <c r="B142" s="21" t="s">
        <v>35</v>
      </c>
      <c r="C142" s="29" t="s">
        <v>827</v>
      </c>
      <c r="D142" s="23">
        <v>1</v>
      </c>
      <c r="E142" s="102" t="s">
        <v>1</v>
      </c>
      <c r="F142" s="39"/>
      <c r="G142" s="32"/>
      <c r="H142" s="32"/>
      <c r="I142" s="32"/>
      <c r="J142" s="32">
        <v>14500</v>
      </c>
      <c r="K142" s="32"/>
      <c r="L142" s="32"/>
      <c r="M142" s="32"/>
      <c r="N142" s="32">
        <f t="shared" si="1"/>
        <v>76.271186440677965</v>
      </c>
      <c r="O142" s="32">
        <v>76.271186440677965</v>
      </c>
      <c r="P142" s="32">
        <v>76.271186440677965</v>
      </c>
      <c r="Q142" s="32">
        <v>76.271186440677965</v>
      </c>
      <c r="R142" s="32">
        <v>76.271186440677965</v>
      </c>
      <c r="S142" s="32">
        <v>76.271186440677965</v>
      </c>
      <c r="T142" s="32">
        <v>76.271186440677965</v>
      </c>
      <c r="U142" s="32">
        <v>76.271186440677965</v>
      </c>
      <c r="V142" s="32">
        <v>76.271186440677965</v>
      </c>
      <c r="W142" s="32">
        <v>76.271186440677965</v>
      </c>
      <c r="X142" s="32">
        <v>76.271186440677965</v>
      </c>
      <c r="Y142" s="32">
        <v>76.271186440677965</v>
      </c>
      <c r="Z142" s="124" t="s">
        <v>690</v>
      </c>
      <c r="AA142" s="126">
        <v>90</v>
      </c>
      <c r="AB142" s="16" t="s">
        <v>816</v>
      </c>
    </row>
    <row r="143" spans="1:28" ht="24.75" customHeight="1">
      <c r="A143" s="123"/>
      <c r="B143" s="21" t="s">
        <v>37</v>
      </c>
      <c r="C143" s="29" t="s">
        <v>828</v>
      </c>
      <c r="D143" s="23">
        <v>1</v>
      </c>
      <c r="E143" s="102" t="s">
        <v>1</v>
      </c>
      <c r="F143" s="39"/>
      <c r="G143" s="32"/>
      <c r="H143" s="32"/>
      <c r="I143" s="32"/>
      <c r="J143" s="32"/>
      <c r="K143" s="32"/>
      <c r="L143" s="32"/>
      <c r="M143" s="32"/>
      <c r="N143" s="32">
        <f t="shared" si="1"/>
        <v>105.93220338983052</v>
      </c>
      <c r="O143" s="32">
        <v>105.93220338983052</v>
      </c>
      <c r="P143" s="32">
        <v>105.93220338983052</v>
      </c>
      <c r="Q143" s="32">
        <v>105.93220338983052</v>
      </c>
      <c r="R143" s="32">
        <v>105.93220338983052</v>
      </c>
      <c r="S143" s="32">
        <v>105.93220338983052</v>
      </c>
      <c r="T143" s="32">
        <v>105.93220338983052</v>
      </c>
      <c r="U143" s="32">
        <v>105.93220338983052</v>
      </c>
      <c r="V143" s="32">
        <v>105.93220338983052</v>
      </c>
      <c r="W143" s="32">
        <v>105.93220338983052</v>
      </c>
      <c r="X143" s="32">
        <v>105.93220338983052</v>
      </c>
      <c r="Y143" s="32">
        <v>105.93220338983052</v>
      </c>
      <c r="Z143" s="124" t="s">
        <v>690</v>
      </c>
      <c r="AA143" s="126">
        <v>125</v>
      </c>
      <c r="AB143" s="16" t="s">
        <v>816</v>
      </c>
    </row>
    <row r="144" spans="1:28" ht="24.75" customHeight="1">
      <c r="A144" s="123"/>
      <c r="B144" s="21" t="s">
        <v>40</v>
      </c>
      <c r="C144" s="29" t="s">
        <v>829</v>
      </c>
      <c r="D144" s="23">
        <v>1</v>
      </c>
      <c r="E144" s="102" t="s">
        <v>1</v>
      </c>
      <c r="F144" s="39"/>
      <c r="G144" s="32"/>
      <c r="H144" s="32"/>
      <c r="I144" s="32"/>
      <c r="J144" s="32"/>
      <c r="K144" s="32"/>
      <c r="L144" s="32"/>
      <c r="M144" s="32"/>
      <c r="N144" s="32">
        <f t="shared" si="1"/>
        <v>173.72881355932205</v>
      </c>
      <c r="O144" s="32">
        <v>173.72881355932205</v>
      </c>
      <c r="P144" s="32">
        <v>173.72881355932205</v>
      </c>
      <c r="Q144" s="32">
        <v>173.72881355932205</v>
      </c>
      <c r="R144" s="32">
        <v>173.72881355932205</v>
      </c>
      <c r="S144" s="32">
        <v>173.72881355932205</v>
      </c>
      <c r="T144" s="32">
        <v>173.72881355932205</v>
      </c>
      <c r="U144" s="32">
        <v>173.72881355932205</v>
      </c>
      <c r="V144" s="32">
        <v>173.72881355932205</v>
      </c>
      <c r="W144" s="32">
        <v>173.72881355932205</v>
      </c>
      <c r="X144" s="32">
        <v>173.72881355932205</v>
      </c>
      <c r="Y144" s="32">
        <v>173.72881355932205</v>
      </c>
      <c r="Z144" s="124" t="s">
        <v>690</v>
      </c>
      <c r="AA144" s="126">
        <v>205</v>
      </c>
      <c r="AB144" s="16" t="s">
        <v>816</v>
      </c>
    </row>
    <row r="145" spans="1:28" ht="24.75" customHeight="1">
      <c r="A145" s="123"/>
      <c r="B145" s="21" t="s">
        <v>67</v>
      </c>
      <c r="C145" s="29" t="s">
        <v>830</v>
      </c>
      <c r="D145" s="23">
        <v>1</v>
      </c>
      <c r="E145" s="102" t="s">
        <v>1</v>
      </c>
      <c r="F145" s="39"/>
      <c r="G145" s="32"/>
      <c r="H145" s="32"/>
      <c r="I145" s="32"/>
      <c r="J145" s="32"/>
      <c r="K145" s="32"/>
      <c r="L145" s="32"/>
      <c r="M145" s="32"/>
      <c r="N145" s="32">
        <f t="shared" si="1"/>
        <v>224.57627118644069</v>
      </c>
      <c r="O145" s="32">
        <v>224.57627118644069</v>
      </c>
      <c r="P145" s="32">
        <v>224.57627118644069</v>
      </c>
      <c r="Q145" s="32">
        <v>224.57627118644069</v>
      </c>
      <c r="R145" s="32">
        <v>224.57627118644069</v>
      </c>
      <c r="S145" s="32">
        <v>224.57627118644069</v>
      </c>
      <c r="T145" s="32">
        <v>224.57627118644069</v>
      </c>
      <c r="U145" s="32">
        <v>224.57627118644069</v>
      </c>
      <c r="V145" s="32">
        <v>224.57627118644069</v>
      </c>
      <c r="W145" s="32">
        <v>224.57627118644069</v>
      </c>
      <c r="X145" s="32">
        <v>224.57627118644069</v>
      </c>
      <c r="Y145" s="32">
        <v>224.57627118644069</v>
      </c>
      <c r="Z145" s="124" t="s">
        <v>690</v>
      </c>
      <c r="AA145" s="126">
        <v>265</v>
      </c>
      <c r="AB145" s="16" t="s">
        <v>816</v>
      </c>
    </row>
    <row r="146" spans="1:28" ht="24.75" customHeight="1">
      <c r="A146" s="123"/>
      <c r="B146" s="21" t="s">
        <v>71</v>
      </c>
      <c r="C146" s="29" t="s">
        <v>831</v>
      </c>
      <c r="D146" s="23">
        <v>1</v>
      </c>
      <c r="E146" s="102" t="s">
        <v>1</v>
      </c>
      <c r="F146" s="39"/>
      <c r="G146" s="32"/>
      <c r="H146" s="32"/>
      <c r="I146" s="32"/>
      <c r="J146" s="32"/>
      <c r="K146" s="32"/>
      <c r="L146" s="32"/>
      <c r="M146" s="32"/>
      <c r="N146" s="32">
        <f t="shared" si="1"/>
        <v>309.32203389830511</v>
      </c>
      <c r="O146" s="32">
        <v>309.32203389830511</v>
      </c>
      <c r="P146" s="32">
        <v>309.32203389830511</v>
      </c>
      <c r="Q146" s="32">
        <v>309.32203389830511</v>
      </c>
      <c r="R146" s="32">
        <v>309.32203389830511</v>
      </c>
      <c r="S146" s="32">
        <v>309.32203389830511</v>
      </c>
      <c r="T146" s="32">
        <v>309.32203389830511</v>
      </c>
      <c r="U146" s="32">
        <v>309.32203389830511</v>
      </c>
      <c r="V146" s="32">
        <v>309.32203389830511</v>
      </c>
      <c r="W146" s="32">
        <v>309.32203389830511</v>
      </c>
      <c r="X146" s="32">
        <v>309.32203389830511</v>
      </c>
      <c r="Y146" s="32">
        <v>309.32203389830511</v>
      </c>
      <c r="Z146" s="124" t="s">
        <v>690</v>
      </c>
      <c r="AA146" s="126">
        <v>365</v>
      </c>
      <c r="AB146" s="16" t="s">
        <v>816</v>
      </c>
    </row>
    <row r="147" spans="1:28" ht="24.75" customHeight="1">
      <c r="A147" s="123"/>
      <c r="B147" s="21" t="s">
        <v>73</v>
      </c>
      <c r="C147" s="29" t="s">
        <v>832</v>
      </c>
      <c r="D147" s="23">
        <v>1</v>
      </c>
      <c r="E147" s="102" t="s">
        <v>1</v>
      </c>
      <c r="F147" s="39"/>
      <c r="G147" s="32"/>
      <c r="H147" s="32"/>
      <c r="I147" s="32"/>
      <c r="J147" s="32">
        <v>39900</v>
      </c>
      <c r="K147" s="32"/>
      <c r="L147" s="32"/>
      <c r="M147" s="32"/>
      <c r="N147" s="32">
        <f t="shared" si="1"/>
        <v>529.66101694915255</v>
      </c>
      <c r="O147" s="32">
        <v>529.66101694915255</v>
      </c>
      <c r="P147" s="32">
        <v>529.66101694915255</v>
      </c>
      <c r="Q147" s="32">
        <v>529.66101694915255</v>
      </c>
      <c r="R147" s="32">
        <v>529.66101694915255</v>
      </c>
      <c r="S147" s="32">
        <v>529.66101694915255</v>
      </c>
      <c r="T147" s="32">
        <v>529.66101694915255</v>
      </c>
      <c r="U147" s="32">
        <v>529.66101694915255</v>
      </c>
      <c r="V147" s="32">
        <v>529.66101694915255</v>
      </c>
      <c r="W147" s="32">
        <v>529.66101694915255</v>
      </c>
      <c r="X147" s="32">
        <v>529.66101694915255</v>
      </c>
      <c r="Y147" s="32">
        <v>529.66101694915255</v>
      </c>
      <c r="Z147" s="124" t="s">
        <v>690</v>
      </c>
      <c r="AA147" s="126">
        <v>625</v>
      </c>
      <c r="AB147" s="16" t="s">
        <v>816</v>
      </c>
    </row>
    <row r="148" spans="1:28" ht="24.75" customHeight="1">
      <c r="A148" s="123"/>
      <c r="B148" s="21" t="s">
        <v>164</v>
      </c>
      <c r="C148" s="29" t="s">
        <v>833</v>
      </c>
      <c r="D148" s="23">
        <v>1</v>
      </c>
      <c r="E148" s="102" t="s">
        <v>1</v>
      </c>
      <c r="F148" s="39"/>
      <c r="G148" s="32"/>
      <c r="H148" s="32"/>
      <c r="I148" s="32"/>
      <c r="J148" s="32"/>
      <c r="K148" s="32"/>
      <c r="L148" s="32"/>
      <c r="M148" s="32"/>
      <c r="N148" s="32">
        <f t="shared" si="1"/>
        <v>987.28813559322043</v>
      </c>
      <c r="O148" s="32">
        <v>987.28813559322043</v>
      </c>
      <c r="P148" s="32">
        <v>987.28813559322043</v>
      </c>
      <c r="Q148" s="32">
        <v>987.28813559322043</v>
      </c>
      <c r="R148" s="32">
        <v>987.28813559322043</v>
      </c>
      <c r="S148" s="32">
        <v>987.28813559322043</v>
      </c>
      <c r="T148" s="32">
        <v>987.28813559322043</v>
      </c>
      <c r="U148" s="32">
        <v>987.28813559322043</v>
      </c>
      <c r="V148" s="32">
        <v>987.28813559322043</v>
      </c>
      <c r="W148" s="32">
        <v>987.28813559322043</v>
      </c>
      <c r="X148" s="32">
        <v>987.28813559322043</v>
      </c>
      <c r="Y148" s="32">
        <v>987.28813559322043</v>
      </c>
      <c r="Z148" s="124" t="s">
        <v>690</v>
      </c>
      <c r="AA148" s="126">
        <v>1165</v>
      </c>
      <c r="AB148" s="16" t="s">
        <v>816</v>
      </c>
    </row>
    <row r="149" spans="1:28" ht="24.75" customHeight="1">
      <c r="A149" s="123"/>
      <c r="B149" s="21" t="s">
        <v>208</v>
      </c>
      <c r="C149" s="29" t="s">
        <v>834</v>
      </c>
      <c r="D149" s="23">
        <v>1</v>
      </c>
      <c r="E149" s="102" t="s">
        <v>1</v>
      </c>
      <c r="F149" s="39"/>
      <c r="G149" s="32"/>
      <c r="H149" s="32"/>
      <c r="I149" s="32"/>
      <c r="J149" s="32"/>
      <c r="K149" s="32"/>
      <c r="L149" s="32"/>
      <c r="M149" s="32"/>
      <c r="N149" s="32">
        <f t="shared" si="1"/>
        <v>1580.5084745762713</v>
      </c>
      <c r="O149" s="32">
        <v>1580.5084745762713</v>
      </c>
      <c r="P149" s="32">
        <v>1580.5084745762713</v>
      </c>
      <c r="Q149" s="32">
        <v>1580.5084745762713</v>
      </c>
      <c r="R149" s="32">
        <v>1580.5084745762713</v>
      </c>
      <c r="S149" s="32">
        <v>1580.5084745762713</v>
      </c>
      <c r="T149" s="32">
        <v>1580.5084745762713</v>
      </c>
      <c r="U149" s="32">
        <v>1580.5084745762713</v>
      </c>
      <c r="V149" s="32">
        <v>1580.5084745762713</v>
      </c>
      <c r="W149" s="32">
        <v>1580.5084745762713</v>
      </c>
      <c r="X149" s="32">
        <v>1580.5084745762713</v>
      </c>
      <c r="Y149" s="32">
        <v>1580.5084745762713</v>
      </c>
      <c r="Z149" s="124" t="s">
        <v>690</v>
      </c>
      <c r="AA149" s="126">
        <v>1865</v>
      </c>
      <c r="AB149" s="16" t="s">
        <v>816</v>
      </c>
    </row>
    <row r="150" spans="1:28" ht="24.75" customHeight="1">
      <c r="A150" s="123"/>
      <c r="B150" s="21" t="s">
        <v>835</v>
      </c>
      <c r="C150" s="29" t="s">
        <v>836</v>
      </c>
      <c r="D150" s="23">
        <v>1</v>
      </c>
      <c r="E150" s="102" t="s">
        <v>1</v>
      </c>
      <c r="F150" s="39"/>
      <c r="G150" s="39"/>
      <c r="H150" s="39"/>
      <c r="I150" s="39"/>
      <c r="J150" s="32">
        <v>2200</v>
      </c>
      <c r="K150" s="32"/>
      <c r="L150" s="32"/>
      <c r="M150" s="32"/>
      <c r="N150" s="32">
        <f t="shared" si="1"/>
        <v>48.305084745762713</v>
      </c>
      <c r="O150" s="32">
        <v>48.305084745762713</v>
      </c>
      <c r="P150" s="32">
        <v>48.305084745762713</v>
      </c>
      <c r="Q150" s="32">
        <v>48.305084745762713</v>
      </c>
      <c r="R150" s="32">
        <v>48.305084745762713</v>
      </c>
      <c r="S150" s="32">
        <v>48.305084745762713</v>
      </c>
      <c r="T150" s="32">
        <v>48.305084745762713</v>
      </c>
      <c r="U150" s="32">
        <v>48.305084745762713</v>
      </c>
      <c r="V150" s="32">
        <v>48.305084745762713</v>
      </c>
      <c r="W150" s="32">
        <v>48.305084745762713</v>
      </c>
      <c r="X150" s="32">
        <v>48.305084745762713</v>
      </c>
      <c r="Y150" s="32">
        <v>48.305084745762713</v>
      </c>
      <c r="Z150" s="124" t="s">
        <v>690</v>
      </c>
      <c r="AA150" s="126">
        <v>57</v>
      </c>
      <c r="AB150" s="16" t="s">
        <v>816</v>
      </c>
    </row>
    <row r="151" spans="1:28" ht="24.75" customHeight="1">
      <c r="A151" s="123"/>
      <c r="B151" s="21" t="s">
        <v>837</v>
      </c>
      <c r="C151" s="29" t="s">
        <v>838</v>
      </c>
      <c r="D151" s="23">
        <v>1</v>
      </c>
      <c r="E151" s="102" t="s">
        <v>1</v>
      </c>
      <c r="F151" s="39"/>
      <c r="G151" s="39"/>
      <c r="H151" s="39"/>
      <c r="I151" s="39"/>
      <c r="J151" s="32"/>
      <c r="K151" s="32"/>
      <c r="L151" s="32"/>
      <c r="M151" s="32"/>
      <c r="N151" s="32">
        <f t="shared" si="1"/>
        <v>84.745762711864415</v>
      </c>
      <c r="O151" s="32">
        <v>84.745762711864415</v>
      </c>
      <c r="P151" s="32">
        <v>84.745762711864415</v>
      </c>
      <c r="Q151" s="32">
        <v>84.745762711864415</v>
      </c>
      <c r="R151" s="32">
        <v>84.745762711864415</v>
      </c>
      <c r="S151" s="32">
        <v>84.745762711864415</v>
      </c>
      <c r="T151" s="32">
        <v>84.745762711864415</v>
      </c>
      <c r="U151" s="32">
        <v>84.745762711864415</v>
      </c>
      <c r="V151" s="32">
        <v>84.745762711864415</v>
      </c>
      <c r="W151" s="32">
        <v>84.745762711864415</v>
      </c>
      <c r="X151" s="32">
        <v>84.745762711864415</v>
      </c>
      <c r="Y151" s="32">
        <v>84.745762711864415</v>
      </c>
      <c r="Z151" s="124" t="s">
        <v>690</v>
      </c>
      <c r="AA151" s="126">
        <v>100</v>
      </c>
      <c r="AB151" s="16" t="s">
        <v>816</v>
      </c>
    </row>
    <row r="152" spans="1:28" ht="24.75" customHeight="1">
      <c r="A152" s="123"/>
      <c r="B152" s="21" t="s">
        <v>839</v>
      </c>
      <c r="C152" s="29" t="s">
        <v>840</v>
      </c>
      <c r="D152" s="23">
        <v>1</v>
      </c>
      <c r="E152" s="102" t="s">
        <v>1</v>
      </c>
      <c r="F152" s="39"/>
      <c r="G152" s="39"/>
      <c r="H152" s="39"/>
      <c r="I152" s="39"/>
      <c r="J152" s="32"/>
      <c r="K152" s="32"/>
      <c r="L152" s="32"/>
      <c r="M152" s="32"/>
      <c r="N152" s="32">
        <f t="shared" si="1"/>
        <v>101.69491525423729</v>
      </c>
      <c r="O152" s="32">
        <v>101.69491525423729</v>
      </c>
      <c r="P152" s="32">
        <v>101.69491525423729</v>
      </c>
      <c r="Q152" s="32">
        <v>101.69491525423729</v>
      </c>
      <c r="R152" s="32">
        <v>101.69491525423729</v>
      </c>
      <c r="S152" s="32">
        <v>101.69491525423729</v>
      </c>
      <c r="T152" s="32">
        <v>101.69491525423729</v>
      </c>
      <c r="U152" s="32">
        <v>101.69491525423729</v>
      </c>
      <c r="V152" s="32">
        <v>101.69491525423729</v>
      </c>
      <c r="W152" s="32">
        <v>101.69491525423729</v>
      </c>
      <c r="X152" s="32">
        <v>101.69491525423729</v>
      </c>
      <c r="Y152" s="32">
        <v>101.69491525423729</v>
      </c>
      <c r="Z152" s="124" t="s">
        <v>690</v>
      </c>
      <c r="AA152" s="126">
        <v>120</v>
      </c>
      <c r="AB152" s="16" t="s">
        <v>816</v>
      </c>
    </row>
    <row r="153" spans="1:28" ht="24.75" customHeight="1">
      <c r="A153" s="123"/>
      <c r="B153" s="21" t="s">
        <v>841</v>
      </c>
      <c r="C153" s="29" t="s">
        <v>842</v>
      </c>
      <c r="D153" s="23">
        <v>1</v>
      </c>
      <c r="E153" s="102" t="s">
        <v>1</v>
      </c>
      <c r="F153" s="39"/>
      <c r="G153" s="26"/>
      <c r="H153" s="26"/>
      <c r="I153" s="26"/>
      <c r="J153" s="26"/>
      <c r="K153" s="26"/>
      <c r="L153" s="26"/>
      <c r="M153" s="26"/>
      <c r="N153" s="26">
        <f t="shared" si="1"/>
        <v>169.49152542372883</v>
      </c>
      <c r="O153" s="26">
        <v>169.49152542372883</v>
      </c>
      <c r="P153" s="26">
        <v>169.49152542372883</v>
      </c>
      <c r="Q153" s="26">
        <v>169.49152542372883</v>
      </c>
      <c r="R153" s="26">
        <v>169.49152542372883</v>
      </c>
      <c r="S153" s="26">
        <v>169.49152542372883</v>
      </c>
      <c r="T153" s="26">
        <v>169.49152542372883</v>
      </c>
      <c r="U153" s="26">
        <v>169.49152542372883</v>
      </c>
      <c r="V153" s="26">
        <v>169.49152542372883</v>
      </c>
      <c r="W153" s="26">
        <v>169.49152542372883</v>
      </c>
      <c r="X153" s="26">
        <v>169.49152542372883</v>
      </c>
      <c r="Y153" s="26">
        <v>169.49152542372883</v>
      </c>
      <c r="Z153" s="124" t="s">
        <v>690</v>
      </c>
      <c r="AA153" s="126">
        <v>200</v>
      </c>
      <c r="AB153" s="16" t="s">
        <v>816</v>
      </c>
    </row>
    <row r="154" spans="1:28" ht="24.75" customHeight="1">
      <c r="A154" s="123"/>
      <c r="B154" s="21" t="s">
        <v>843</v>
      </c>
      <c r="C154" s="29" t="s">
        <v>844</v>
      </c>
      <c r="D154" s="23">
        <v>1</v>
      </c>
      <c r="E154" s="102" t="s">
        <v>1</v>
      </c>
      <c r="F154" s="39"/>
      <c r="G154" s="26"/>
      <c r="H154" s="26"/>
      <c r="I154" s="26"/>
      <c r="J154" s="26"/>
      <c r="K154" s="26"/>
      <c r="L154" s="26"/>
      <c r="M154" s="26"/>
      <c r="N154" s="26">
        <f t="shared" si="1"/>
        <v>241.52542372881356</v>
      </c>
      <c r="O154" s="26">
        <v>241.52542372881356</v>
      </c>
      <c r="P154" s="26">
        <v>241.52542372881356</v>
      </c>
      <c r="Q154" s="26">
        <v>241.52542372881356</v>
      </c>
      <c r="R154" s="26">
        <v>241.52542372881356</v>
      </c>
      <c r="S154" s="26">
        <v>241.52542372881356</v>
      </c>
      <c r="T154" s="26">
        <v>241.52542372881356</v>
      </c>
      <c r="U154" s="26">
        <v>241.52542372881356</v>
      </c>
      <c r="V154" s="26">
        <v>241.52542372881356</v>
      </c>
      <c r="W154" s="26">
        <v>241.52542372881356</v>
      </c>
      <c r="X154" s="26">
        <v>241.52542372881356</v>
      </c>
      <c r="Y154" s="26">
        <v>241.52542372881356</v>
      </c>
      <c r="Z154" s="124" t="s">
        <v>690</v>
      </c>
      <c r="AA154" s="126">
        <v>285</v>
      </c>
      <c r="AB154" s="16" t="s">
        <v>816</v>
      </c>
    </row>
    <row r="155" spans="1:28" ht="24.75" customHeight="1">
      <c r="A155" s="123"/>
      <c r="B155" s="21" t="s">
        <v>845</v>
      </c>
      <c r="C155" s="29" t="s">
        <v>846</v>
      </c>
      <c r="D155" s="23">
        <v>1</v>
      </c>
      <c r="E155" s="102" t="s">
        <v>1</v>
      </c>
      <c r="F155" s="39"/>
      <c r="G155" s="26"/>
      <c r="H155" s="26"/>
      <c r="I155" s="26"/>
      <c r="J155" s="26"/>
      <c r="K155" s="26"/>
      <c r="L155" s="26"/>
      <c r="M155" s="26"/>
      <c r="N155" s="26">
        <f t="shared" si="1"/>
        <v>330.50847457627123</v>
      </c>
      <c r="O155" s="26">
        <v>330.50847457627123</v>
      </c>
      <c r="P155" s="26">
        <v>330.50847457627123</v>
      </c>
      <c r="Q155" s="26">
        <v>330.50847457627123</v>
      </c>
      <c r="R155" s="26">
        <v>330.50847457627123</v>
      </c>
      <c r="S155" s="26">
        <v>330.50847457627123</v>
      </c>
      <c r="T155" s="26">
        <v>330.50847457627123</v>
      </c>
      <c r="U155" s="26">
        <v>330.50847457627123</v>
      </c>
      <c r="V155" s="26">
        <v>330.50847457627123</v>
      </c>
      <c r="W155" s="26">
        <v>330.50847457627123</v>
      </c>
      <c r="X155" s="26">
        <v>330.50847457627123</v>
      </c>
      <c r="Y155" s="26">
        <v>330.50847457627123</v>
      </c>
      <c r="Z155" s="124" t="s">
        <v>690</v>
      </c>
      <c r="AA155" s="126">
        <v>390</v>
      </c>
      <c r="AB155" s="16" t="s">
        <v>816</v>
      </c>
    </row>
    <row r="156" spans="1:28" ht="24.75" customHeight="1">
      <c r="A156" s="123"/>
      <c r="B156" s="21" t="s">
        <v>847</v>
      </c>
      <c r="C156" s="29" t="s">
        <v>848</v>
      </c>
      <c r="D156" s="23">
        <v>1</v>
      </c>
      <c r="E156" s="102" t="s">
        <v>1</v>
      </c>
      <c r="F156" s="39"/>
      <c r="G156" s="127"/>
      <c r="H156" s="127"/>
      <c r="I156" s="127"/>
      <c r="J156" s="26"/>
      <c r="K156" s="26"/>
      <c r="L156" s="26"/>
      <c r="M156" s="26"/>
      <c r="N156" s="26">
        <f t="shared" si="1"/>
        <v>631.3559322033899</v>
      </c>
      <c r="O156" s="26">
        <v>631.3559322033899</v>
      </c>
      <c r="P156" s="26">
        <v>631.3559322033899</v>
      </c>
      <c r="Q156" s="26">
        <v>631.3559322033899</v>
      </c>
      <c r="R156" s="26">
        <v>631.3559322033899</v>
      </c>
      <c r="S156" s="26">
        <v>631.3559322033899</v>
      </c>
      <c r="T156" s="26">
        <v>631.3559322033899</v>
      </c>
      <c r="U156" s="26">
        <v>631.3559322033899</v>
      </c>
      <c r="V156" s="26">
        <v>631.3559322033899</v>
      </c>
      <c r="W156" s="26">
        <v>631.3559322033899</v>
      </c>
      <c r="X156" s="26">
        <v>631.3559322033899</v>
      </c>
      <c r="Y156" s="26">
        <v>631.3559322033899</v>
      </c>
      <c r="Z156" s="124" t="s">
        <v>690</v>
      </c>
      <c r="AA156" s="126">
        <v>745</v>
      </c>
      <c r="AB156" s="16" t="s">
        <v>816</v>
      </c>
    </row>
    <row r="157" spans="1:28" ht="24.75" customHeight="1">
      <c r="A157" s="123"/>
      <c r="B157" s="21" t="s">
        <v>849</v>
      </c>
      <c r="C157" s="29" t="s">
        <v>850</v>
      </c>
      <c r="D157" s="23">
        <v>1</v>
      </c>
      <c r="E157" s="102" t="s">
        <v>1</v>
      </c>
      <c r="F157" s="39"/>
      <c r="G157" s="127"/>
      <c r="H157" s="127"/>
      <c r="I157" s="127"/>
      <c r="J157" s="26"/>
      <c r="K157" s="26"/>
      <c r="L157" s="26"/>
      <c r="M157" s="26"/>
      <c r="N157" s="26">
        <f t="shared" si="1"/>
        <v>995.76271186440681</v>
      </c>
      <c r="O157" s="26">
        <v>995.76271186440681</v>
      </c>
      <c r="P157" s="26">
        <v>995.76271186440681</v>
      </c>
      <c r="Q157" s="26">
        <v>995.76271186440681</v>
      </c>
      <c r="R157" s="26">
        <v>995.76271186440681</v>
      </c>
      <c r="S157" s="26">
        <v>995.76271186440681</v>
      </c>
      <c r="T157" s="26">
        <v>995.76271186440681</v>
      </c>
      <c r="U157" s="26">
        <v>995.76271186440681</v>
      </c>
      <c r="V157" s="26">
        <v>995.76271186440681</v>
      </c>
      <c r="W157" s="26">
        <v>995.76271186440681</v>
      </c>
      <c r="X157" s="26">
        <v>995.76271186440681</v>
      </c>
      <c r="Y157" s="26">
        <v>995.76271186440681</v>
      </c>
      <c r="Z157" s="124" t="s">
        <v>690</v>
      </c>
      <c r="AA157" s="126">
        <v>1175</v>
      </c>
      <c r="AB157" s="16" t="s">
        <v>816</v>
      </c>
    </row>
    <row r="158" spans="1:28" ht="24.75" customHeight="1">
      <c r="A158" s="123"/>
      <c r="B158" s="21" t="s">
        <v>851</v>
      </c>
      <c r="C158" s="29" t="s">
        <v>852</v>
      </c>
      <c r="D158" s="23">
        <v>1</v>
      </c>
      <c r="E158" s="102" t="s">
        <v>1</v>
      </c>
      <c r="F158" s="39"/>
      <c r="G158" s="127"/>
      <c r="H158" s="127"/>
      <c r="I158" s="127"/>
      <c r="J158" s="26"/>
      <c r="K158" s="26"/>
      <c r="L158" s="26"/>
      <c r="M158" s="26"/>
      <c r="N158" s="26">
        <f t="shared" si="1"/>
        <v>1614.406779661017</v>
      </c>
      <c r="O158" s="26">
        <v>1614.406779661017</v>
      </c>
      <c r="P158" s="26">
        <v>1614.406779661017</v>
      </c>
      <c r="Q158" s="26">
        <v>1614.406779661017</v>
      </c>
      <c r="R158" s="26">
        <v>1614.406779661017</v>
      </c>
      <c r="S158" s="26">
        <v>1614.406779661017</v>
      </c>
      <c r="T158" s="26">
        <v>1614.406779661017</v>
      </c>
      <c r="U158" s="26">
        <v>1614.406779661017</v>
      </c>
      <c r="V158" s="26">
        <v>1614.406779661017</v>
      </c>
      <c r="W158" s="26">
        <v>1614.406779661017</v>
      </c>
      <c r="X158" s="26">
        <v>1614.406779661017</v>
      </c>
      <c r="Y158" s="26">
        <v>1614.406779661017</v>
      </c>
      <c r="Z158" s="124" t="s">
        <v>690</v>
      </c>
      <c r="AA158" s="126">
        <v>1905</v>
      </c>
      <c r="AB158" s="16" t="s">
        <v>816</v>
      </c>
    </row>
    <row r="159" spans="1:28" ht="24.75" customHeight="1">
      <c r="A159" s="123"/>
      <c r="B159" s="21" t="s">
        <v>853</v>
      </c>
      <c r="C159" s="29" t="s">
        <v>854</v>
      </c>
      <c r="D159" s="23">
        <v>1</v>
      </c>
      <c r="E159" s="102" t="s">
        <v>1</v>
      </c>
      <c r="F159" s="39"/>
      <c r="G159" s="127"/>
      <c r="H159" s="127"/>
      <c r="I159" s="127"/>
      <c r="J159" s="26"/>
      <c r="K159" s="26"/>
      <c r="L159" s="26"/>
      <c r="M159" s="26"/>
      <c r="N159" s="26">
        <f t="shared" si="1"/>
        <v>44.067796610169495</v>
      </c>
      <c r="O159" s="26">
        <v>44.067796610169495</v>
      </c>
      <c r="P159" s="26">
        <v>44.067796610169495</v>
      </c>
      <c r="Q159" s="26">
        <v>44.067796610169495</v>
      </c>
      <c r="R159" s="26">
        <v>44.067796610169495</v>
      </c>
      <c r="S159" s="26">
        <v>44.067796610169495</v>
      </c>
      <c r="T159" s="26">
        <v>44.067796610169495</v>
      </c>
      <c r="U159" s="26">
        <v>44.067796610169495</v>
      </c>
      <c r="V159" s="26">
        <v>44.067796610169495</v>
      </c>
      <c r="W159" s="26">
        <v>44.067796610169495</v>
      </c>
      <c r="X159" s="26">
        <v>44.067796610169495</v>
      </c>
      <c r="Y159" s="26">
        <v>44.067796610169495</v>
      </c>
      <c r="Z159" s="124" t="s">
        <v>690</v>
      </c>
      <c r="AA159" s="126">
        <v>52</v>
      </c>
      <c r="AB159" s="16" t="s">
        <v>816</v>
      </c>
    </row>
    <row r="160" spans="1:28" ht="24.75" customHeight="1">
      <c r="A160" s="123"/>
      <c r="B160" s="21" t="s">
        <v>855</v>
      </c>
      <c r="C160" s="29" t="s">
        <v>856</v>
      </c>
      <c r="D160" s="23">
        <v>1</v>
      </c>
      <c r="E160" s="102" t="s">
        <v>1</v>
      </c>
      <c r="F160" s="39"/>
      <c r="G160" s="127"/>
      <c r="H160" s="127"/>
      <c r="I160" s="127"/>
      <c r="J160" s="26"/>
      <c r="K160" s="26"/>
      <c r="L160" s="26"/>
      <c r="M160" s="26"/>
      <c r="N160" s="26">
        <f t="shared" si="1"/>
        <v>88.983050847457633</v>
      </c>
      <c r="O160" s="26">
        <v>88.983050847457633</v>
      </c>
      <c r="P160" s="26">
        <v>88.983050847457633</v>
      </c>
      <c r="Q160" s="26">
        <v>88.983050847457633</v>
      </c>
      <c r="R160" s="26">
        <v>88.983050847457633</v>
      </c>
      <c r="S160" s="26">
        <v>88.983050847457633</v>
      </c>
      <c r="T160" s="26">
        <v>88.983050847457633</v>
      </c>
      <c r="U160" s="26">
        <v>88.983050847457633</v>
      </c>
      <c r="V160" s="26">
        <v>88.983050847457633</v>
      </c>
      <c r="W160" s="26">
        <v>88.983050847457633</v>
      </c>
      <c r="X160" s="26">
        <v>88.983050847457633</v>
      </c>
      <c r="Y160" s="26">
        <v>88.983050847457633</v>
      </c>
      <c r="Z160" s="124" t="s">
        <v>690</v>
      </c>
      <c r="AA160" s="126">
        <v>105</v>
      </c>
      <c r="AB160" s="16" t="s">
        <v>816</v>
      </c>
    </row>
    <row r="161" spans="1:29" ht="24.75" customHeight="1">
      <c r="A161" s="123"/>
      <c r="B161" s="21" t="s">
        <v>857</v>
      </c>
      <c r="C161" s="29" t="s">
        <v>858</v>
      </c>
      <c r="D161" s="23">
        <v>1</v>
      </c>
      <c r="E161" s="102" t="s">
        <v>1</v>
      </c>
      <c r="F161" s="39"/>
      <c r="G161" s="127"/>
      <c r="H161" s="127"/>
      <c r="I161" s="127"/>
      <c r="J161" s="26"/>
      <c r="K161" s="26"/>
      <c r="L161" s="26"/>
      <c r="M161" s="26"/>
      <c r="N161" s="26">
        <f t="shared" si="1"/>
        <v>105.93220338983052</v>
      </c>
      <c r="O161" s="26">
        <v>105.93220338983052</v>
      </c>
      <c r="P161" s="26">
        <v>105.93220338983052</v>
      </c>
      <c r="Q161" s="26">
        <v>105.93220338983052</v>
      </c>
      <c r="R161" s="26">
        <v>105.93220338983052</v>
      </c>
      <c r="S161" s="26">
        <v>105.93220338983052</v>
      </c>
      <c r="T161" s="26">
        <v>105.93220338983052</v>
      </c>
      <c r="U161" s="26">
        <v>105.93220338983052</v>
      </c>
      <c r="V161" s="26">
        <v>105.93220338983052</v>
      </c>
      <c r="W161" s="26">
        <v>105.93220338983052</v>
      </c>
      <c r="X161" s="26">
        <v>105.93220338983052</v>
      </c>
      <c r="Y161" s="26">
        <v>105.93220338983052</v>
      </c>
      <c r="Z161" s="124" t="s">
        <v>690</v>
      </c>
      <c r="AA161" s="126">
        <v>125</v>
      </c>
      <c r="AB161" s="16" t="s">
        <v>816</v>
      </c>
    </row>
    <row r="162" spans="1:29" ht="24.75" customHeight="1">
      <c r="A162" s="123"/>
      <c r="B162" s="21" t="s">
        <v>859</v>
      </c>
      <c r="C162" s="29" t="s">
        <v>860</v>
      </c>
      <c r="D162" s="23">
        <v>1</v>
      </c>
      <c r="E162" s="102" t="s">
        <v>1</v>
      </c>
      <c r="F162" s="39"/>
      <c r="G162" s="127"/>
      <c r="H162" s="127"/>
      <c r="I162" s="127"/>
      <c r="J162" s="26"/>
      <c r="K162" s="26"/>
      <c r="L162" s="26"/>
      <c r="M162" s="26"/>
      <c r="N162" s="26">
        <f t="shared" si="1"/>
        <v>194.91525423728814</v>
      </c>
      <c r="O162" s="26">
        <v>194.91525423728814</v>
      </c>
      <c r="P162" s="26">
        <v>194.91525423728814</v>
      </c>
      <c r="Q162" s="26">
        <v>194.91525423728814</v>
      </c>
      <c r="R162" s="26">
        <v>194.91525423728814</v>
      </c>
      <c r="S162" s="26">
        <v>194.91525423728814</v>
      </c>
      <c r="T162" s="26">
        <v>194.91525423728814</v>
      </c>
      <c r="U162" s="26">
        <v>194.91525423728814</v>
      </c>
      <c r="V162" s="26">
        <v>194.91525423728814</v>
      </c>
      <c r="W162" s="26">
        <v>194.91525423728814</v>
      </c>
      <c r="X162" s="26">
        <v>194.91525423728814</v>
      </c>
      <c r="Y162" s="26">
        <v>194.91525423728814</v>
      </c>
      <c r="Z162" s="124" t="s">
        <v>690</v>
      </c>
      <c r="AA162" s="126">
        <v>230</v>
      </c>
      <c r="AB162" s="16" t="s">
        <v>816</v>
      </c>
    </row>
    <row r="163" spans="1:29" ht="24.75" customHeight="1">
      <c r="A163" s="123"/>
      <c r="B163" s="21" t="s">
        <v>861</v>
      </c>
      <c r="C163" s="29" t="s">
        <v>862</v>
      </c>
      <c r="D163" s="23">
        <v>1</v>
      </c>
      <c r="E163" s="102" t="s">
        <v>1</v>
      </c>
      <c r="F163" s="39"/>
      <c r="G163" s="127"/>
      <c r="H163" s="127"/>
      <c r="I163" s="127"/>
      <c r="J163" s="26"/>
      <c r="K163" s="26"/>
      <c r="L163" s="26"/>
      <c r="M163" s="26"/>
      <c r="N163" s="26">
        <f t="shared" si="1"/>
        <v>309.32203389830511</v>
      </c>
      <c r="O163" s="26">
        <v>309.32203389830511</v>
      </c>
      <c r="P163" s="26">
        <v>309.32203389830511</v>
      </c>
      <c r="Q163" s="26">
        <v>309.32203389830511</v>
      </c>
      <c r="R163" s="26">
        <v>309.32203389830511</v>
      </c>
      <c r="S163" s="26">
        <v>309.32203389830511</v>
      </c>
      <c r="T163" s="26">
        <v>309.32203389830511</v>
      </c>
      <c r="U163" s="26">
        <v>309.32203389830511</v>
      </c>
      <c r="V163" s="26">
        <v>309.32203389830511</v>
      </c>
      <c r="W163" s="26">
        <v>309.32203389830511</v>
      </c>
      <c r="X163" s="26">
        <v>309.32203389830511</v>
      </c>
      <c r="Y163" s="26">
        <v>309.32203389830511</v>
      </c>
      <c r="Z163" s="124" t="s">
        <v>690</v>
      </c>
      <c r="AA163" s="126">
        <v>365</v>
      </c>
      <c r="AB163" s="16" t="s">
        <v>816</v>
      </c>
    </row>
    <row r="164" spans="1:29" ht="24.75" customHeight="1">
      <c r="A164" s="123"/>
      <c r="B164" s="21" t="s">
        <v>863</v>
      </c>
      <c r="C164" s="29" t="s">
        <v>864</v>
      </c>
      <c r="D164" s="23">
        <v>1</v>
      </c>
      <c r="E164" s="102" t="s">
        <v>1</v>
      </c>
      <c r="F164" s="39"/>
      <c r="G164" s="127"/>
      <c r="H164" s="127"/>
      <c r="I164" s="127"/>
      <c r="J164" s="26"/>
      <c r="K164" s="26"/>
      <c r="L164" s="26"/>
      <c r="M164" s="26"/>
      <c r="N164" s="26">
        <f t="shared" si="1"/>
        <v>466.10169491525426</v>
      </c>
      <c r="O164" s="26">
        <v>466.10169491525426</v>
      </c>
      <c r="P164" s="26">
        <v>466.10169491525426</v>
      </c>
      <c r="Q164" s="26">
        <v>466.10169491525426</v>
      </c>
      <c r="R164" s="26">
        <v>466.10169491525426</v>
      </c>
      <c r="S164" s="26">
        <v>466.10169491525426</v>
      </c>
      <c r="T164" s="26">
        <v>466.10169491525426</v>
      </c>
      <c r="U164" s="26">
        <v>466.10169491525426</v>
      </c>
      <c r="V164" s="26">
        <v>466.10169491525426</v>
      </c>
      <c r="W164" s="26">
        <v>466.10169491525426</v>
      </c>
      <c r="X164" s="26">
        <v>466.10169491525426</v>
      </c>
      <c r="Y164" s="26">
        <v>466.10169491525426</v>
      </c>
      <c r="Z164" s="124" t="s">
        <v>690</v>
      </c>
      <c r="AA164" s="126">
        <v>550</v>
      </c>
      <c r="AB164" s="16" t="s">
        <v>816</v>
      </c>
    </row>
    <row r="165" spans="1:29" ht="24.75" customHeight="1">
      <c r="A165" s="123"/>
      <c r="B165" s="21" t="s">
        <v>865</v>
      </c>
      <c r="C165" s="29" t="s">
        <v>866</v>
      </c>
      <c r="D165" s="23">
        <v>1</v>
      </c>
      <c r="E165" s="102" t="s">
        <v>1</v>
      </c>
      <c r="F165" s="39"/>
      <c r="G165" s="127"/>
      <c r="H165" s="127"/>
      <c r="I165" s="127"/>
      <c r="J165" s="26"/>
      <c r="K165" s="26"/>
      <c r="L165" s="26"/>
      <c r="M165" s="26"/>
      <c r="N165" s="26">
        <f t="shared" si="1"/>
        <v>822.03389830508479</v>
      </c>
      <c r="O165" s="26">
        <v>822.03389830508479</v>
      </c>
      <c r="P165" s="26">
        <v>822.03389830508479</v>
      </c>
      <c r="Q165" s="26">
        <v>822.03389830508479</v>
      </c>
      <c r="R165" s="26">
        <v>822.03389830508479</v>
      </c>
      <c r="S165" s="26">
        <v>822.03389830508479</v>
      </c>
      <c r="T165" s="26">
        <v>822.03389830508479</v>
      </c>
      <c r="U165" s="26">
        <v>822.03389830508479</v>
      </c>
      <c r="V165" s="26">
        <v>822.03389830508479</v>
      </c>
      <c r="W165" s="26">
        <v>822.03389830508479</v>
      </c>
      <c r="X165" s="26">
        <v>822.03389830508479</v>
      </c>
      <c r="Y165" s="26">
        <v>822.03389830508479</v>
      </c>
      <c r="Z165" s="124" t="s">
        <v>690</v>
      </c>
      <c r="AA165" s="126">
        <v>970</v>
      </c>
      <c r="AB165" s="16" t="s">
        <v>816</v>
      </c>
    </row>
    <row r="166" spans="1:29" ht="24.75" customHeight="1">
      <c r="A166" s="123"/>
      <c r="B166" s="21" t="s">
        <v>867</v>
      </c>
      <c r="C166" s="29" t="s">
        <v>868</v>
      </c>
      <c r="D166" s="23">
        <v>1</v>
      </c>
      <c r="E166" s="102" t="s">
        <v>1</v>
      </c>
      <c r="F166" s="39"/>
      <c r="G166" s="127"/>
      <c r="H166" s="127"/>
      <c r="I166" s="127"/>
      <c r="J166" s="26"/>
      <c r="K166" s="26"/>
      <c r="L166" s="26"/>
      <c r="M166" s="26"/>
      <c r="N166" s="26">
        <f t="shared" si="1"/>
        <v>1322.0338983050849</v>
      </c>
      <c r="O166" s="26">
        <v>1322.0338983050849</v>
      </c>
      <c r="P166" s="26">
        <v>1322.0338983050849</v>
      </c>
      <c r="Q166" s="26">
        <v>1322.0338983050849</v>
      </c>
      <c r="R166" s="26">
        <v>1322.0338983050849</v>
      </c>
      <c r="S166" s="26">
        <v>1322.0338983050849</v>
      </c>
      <c r="T166" s="26">
        <v>1322.0338983050849</v>
      </c>
      <c r="U166" s="26">
        <v>1322.0338983050849</v>
      </c>
      <c r="V166" s="26">
        <v>1322.0338983050849</v>
      </c>
      <c r="W166" s="26">
        <v>1322.0338983050849</v>
      </c>
      <c r="X166" s="26">
        <v>1322.0338983050849</v>
      </c>
      <c r="Y166" s="26">
        <v>1322.0338983050849</v>
      </c>
      <c r="Z166" s="124" t="s">
        <v>690</v>
      </c>
      <c r="AA166" s="126">
        <v>1560</v>
      </c>
      <c r="AB166" s="16" t="s">
        <v>816</v>
      </c>
    </row>
    <row r="167" spans="1:29" ht="24.75" customHeight="1">
      <c r="A167" s="123"/>
      <c r="B167" s="21" t="s">
        <v>869</v>
      </c>
      <c r="C167" s="29" t="s">
        <v>870</v>
      </c>
      <c r="D167" s="23">
        <v>1</v>
      </c>
      <c r="E167" s="102" t="s">
        <v>1</v>
      </c>
      <c r="F167" s="39"/>
      <c r="G167" s="127"/>
      <c r="H167" s="127"/>
      <c r="I167" s="127"/>
      <c r="J167" s="26"/>
      <c r="K167" s="26"/>
      <c r="L167" s="26"/>
      <c r="M167" s="26"/>
      <c r="N167" s="26">
        <f t="shared" si="1"/>
        <v>1970.3389830508477</v>
      </c>
      <c r="O167" s="26">
        <v>1970.3389830508477</v>
      </c>
      <c r="P167" s="26">
        <v>1970.3389830508477</v>
      </c>
      <c r="Q167" s="26">
        <v>1970.3389830508477</v>
      </c>
      <c r="R167" s="26">
        <v>1970.3389830508477</v>
      </c>
      <c r="S167" s="26">
        <v>1970.3389830508477</v>
      </c>
      <c r="T167" s="26">
        <v>1970.3389830508477</v>
      </c>
      <c r="U167" s="26">
        <v>1970.3389830508477</v>
      </c>
      <c r="V167" s="26">
        <v>1970.3389830508477</v>
      </c>
      <c r="W167" s="26">
        <v>1970.3389830508477</v>
      </c>
      <c r="X167" s="26">
        <v>1970.3389830508477</v>
      </c>
      <c r="Y167" s="26">
        <v>1970.3389830508477</v>
      </c>
      <c r="Z167" s="124" t="s">
        <v>690</v>
      </c>
      <c r="AA167" s="126">
        <v>2325</v>
      </c>
      <c r="AB167" s="16" t="s">
        <v>816</v>
      </c>
      <c r="AC167" s="105"/>
    </row>
    <row r="168" spans="1:29" ht="24.75" customHeight="1">
      <c r="A168" s="123"/>
      <c r="B168" s="21" t="s">
        <v>871</v>
      </c>
      <c r="C168" s="29" t="s">
        <v>872</v>
      </c>
      <c r="D168" s="23"/>
      <c r="E168" s="102"/>
      <c r="F168" s="127"/>
      <c r="G168" s="127"/>
      <c r="H168" s="127"/>
      <c r="I168" s="127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>
        <v>56.779661016949156</v>
      </c>
      <c r="W168" s="26">
        <v>56.779661016949156</v>
      </c>
      <c r="X168" s="26">
        <v>56.779661016949156</v>
      </c>
      <c r="Y168" s="26">
        <v>56.779661016949156</v>
      </c>
      <c r="Z168" s="124" t="s">
        <v>690</v>
      </c>
      <c r="AB168" s="16" t="s">
        <v>816</v>
      </c>
      <c r="AC168" s="111"/>
    </row>
    <row r="169" spans="1:29" ht="24.75" customHeight="1">
      <c r="A169" s="123"/>
      <c r="B169" s="21" t="s">
        <v>873</v>
      </c>
      <c r="C169" s="29" t="s">
        <v>874</v>
      </c>
      <c r="D169" s="23"/>
      <c r="E169" s="24"/>
      <c r="F169" s="39"/>
      <c r="G169" s="127"/>
      <c r="H169" s="127"/>
      <c r="I169" s="127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>
        <v>105.93220338983052</v>
      </c>
      <c r="W169" s="26">
        <v>105.93220338983052</v>
      </c>
      <c r="X169" s="26">
        <v>105.93220338983052</v>
      </c>
      <c r="Y169" s="26">
        <v>105.93220338983052</v>
      </c>
      <c r="Z169" s="124" t="s">
        <v>690</v>
      </c>
      <c r="AB169" s="16" t="s">
        <v>816</v>
      </c>
      <c r="AC169" s="111"/>
    </row>
    <row r="170" spans="1:29" ht="24.75" customHeight="1">
      <c r="A170" s="123"/>
      <c r="B170" s="21" t="s">
        <v>875</v>
      </c>
      <c r="C170" s="29" t="s">
        <v>876</v>
      </c>
      <c r="D170" s="23"/>
      <c r="E170" s="24"/>
      <c r="F170" s="39"/>
      <c r="G170" s="127"/>
      <c r="H170" s="127"/>
      <c r="I170" s="127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>
        <v>161.0169491525424</v>
      </c>
      <c r="W170" s="26">
        <v>161.0169491525424</v>
      </c>
      <c r="X170" s="26">
        <v>161.0169491525424</v>
      </c>
      <c r="Y170" s="26">
        <v>161.0169491525424</v>
      </c>
      <c r="Z170" s="124" t="s">
        <v>690</v>
      </c>
      <c r="AB170" s="16" t="s">
        <v>816</v>
      </c>
      <c r="AC170" s="111"/>
    </row>
    <row r="171" spans="1:29" ht="24.75" customHeight="1">
      <c r="A171" s="123"/>
      <c r="B171" s="21" t="s">
        <v>877</v>
      </c>
      <c r="C171" s="29" t="s">
        <v>878</v>
      </c>
      <c r="D171" s="23"/>
      <c r="E171" s="24"/>
      <c r="F171" s="39"/>
      <c r="G171" s="127"/>
      <c r="H171" s="127"/>
      <c r="I171" s="127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>
        <v>262.71186440677968</v>
      </c>
      <c r="W171" s="26">
        <v>262.71186440677968</v>
      </c>
      <c r="X171" s="26">
        <v>262.71186440677968</v>
      </c>
      <c r="Y171" s="26">
        <v>262.71186440677968</v>
      </c>
      <c r="Z171" s="124" t="s">
        <v>690</v>
      </c>
      <c r="AB171" s="16" t="s">
        <v>816</v>
      </c>
      <c r="AC171" s="111"/>
    </row>
    <row r="172" spans="1:29" ht="24.75" customHeight="1">
      <c r="A172" s="123"/>
      <c r="B172" s="21" t="s">
        <v>879</v>
      </c>
      <c r="C172" s="29" t="s">
        <v>880</v>
      </c>
      <c r="D172" s="23"/>
      <c r="E172" s="24"/>
      <c r="F172" s="39"/>
      <c r="G172" s="127"/>
      <c r="H172" s="127"/>
      <c r="I172" s="127"/>
      <c r="J172" s="26">
        <v>765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>
        <v>427.96610169491527</v>
      </c>
      <c r="W172" s="26">
        <v>427.96610169491527</v>
      </c>
      <c r="X172" s="26">
        <v>427.96610169491527</v>
      </c>
      <c r="Y172" s="26">
        <v>427.96610169491527</v>
      </c>
      <c r="Z172" s="124" t="s">
        <v>690</v>
      </c>
      <c r="AB172" s="16" t="s">
        <v>816</v>
      </c>
      <c r="AC172" s="111"/>
    </row>
    <row r="173" spans="1:29" ht="24.75" customHeight="1">
      <c r="A173" s="123"/>
      <c r="B173" s="21" t="s">
        <v>881</v>
      </c>
      <c r="C173" s="29" t="s">
        <v>882</v>
      </c>
      <c r="D173" s="23"/>
      <c r="E173" s="24"/>
      <c r="F173" s="39"/>
      <c r="G173" s="127"/>
      <c r="H173" s="127"/>
      <c r="I173" s="127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>
        <v>597.45762711864415</v>
      </c>
      <c r="W173" s="26">
        <v>597.45762711864415</v>
      </c>
      <c r="X173" s="26">
        <v>597.45762711864415</v>
      </c>
      <c r="Y173" s="26">
        <v>597.45762711864415</v>
      </c>
      <c r="Z173" s="124" t="s">
        <v>690</v>
      </c>
      <c r="AB173" s="16" t="s">
        <v>816</v>
      </c>
      <c r="AC173" s="111"/>
    </row>
    <row r="174" spans="1:29" ht="24.75" customHeight="1">
      <c r="A174" s="123"/>
      <c r="B174" s="21" t="s">
        <v>883</v>
      </c>
      <c r="C174" s="29" t="s">
        <v>884</v>
      </c>
      <c r="D174" s="23"/>
      <c r="E174" s="24"/>
      <c r="F174" s="39"/>
      <c r="G174" s="127"/>
      <c r="H174" s="127"/>
      <c r="I174" s="127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>
        <v>987.28813559322043</v>
      </c>
      <c r="W174" s="26">
        <v>987.28813559322043</v>
      </c>
      <c r="X174" s="26">
        <v>987.28813559322043</v>
      </c>
      <c r="Y174" s="26">
        <v>987.28813559322043</v>
      </c>
      <c r="Z174" s="124" t="s">
        <v>690</v>
      </c>
      <c r="AB174" s="16" t="s">
        <v>816</v>
      </c>
      <c r="AC174" s="111"/>
    </row>
    <row r="175" spans="1:29" ht="24.75" customHeight="1">
      <c r="A175" s="123"/>
      <c r="B175" s="21" t="s">
        <v>885</v>
      </c>
      <c r="C175" s="29" t="s">
        <v>886</v>
      </c>
      <c r="D175" s="23"/>
      <c r="E175" s="24"/>
      <c r="F175" s="39"/>
      <c r="G175" s="127"/>
      <c r="H175" s="127"/>
      <c r="I175" s="127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>
        <v>1728.8135593220341</v>
      </c>
      <c r="W175" s="26">
        <v>1728.8135593220341</v>
      </c>
      <c r="X175" s="26">
        <v>1728.8135593220341</v>
      </c>
      <c r="Y175" s="26">
        <v>1728.8135593220341</v>
      </c>
      <c r="Z175" s="124" t="s">
        <v>690</v>
      </c>
      <c r="AB175" s="16" t="s">
        <v>816</v>
      </c>
      <c r="AC175" s="111"/>
    </row>
    <row r="176" spans="1:29" ht="24.75" customHeight="1">
      <c r="A176" s="123"/>
      <c r="B176" s="21" t="s">
        <v>887</v>
      </c>
      <c r="C176" s="29" t="s">
        <v>888</v>
      </c>
      <c r="D176" s="23"/>
      <c r="E176" s="24"/>
      <c r="F176" s="39"/>
      <c r="G176" s="127"/>
      <c r="H176" s="127"/>
      <c r="I176" s="127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>
        <v>2631.3559322033898</v>
      </c>
      <c r="W176" s="26">
        <v>2631.3559322033898</v>
      </c>
      <c r="X176" s="26">
        <v>2631.3559322033898</v>
      </c>
      <c r="Y176" s="26">
        <v>2631.3559322033898</v>
      </c>
      <c r="Z176" s="124" t="s">
        <v>690</v>
      </c>
      <c r="AB176" s="16" t="s">
        <v>816</v>
      </c>
      <c r="AC176" s="111"/>
    </row>
    <row r="177" spans="1:29" ht="24.75" customHeight="1">
      <c r="A177" s="123"/>
      <c r="B177" s="21" t="s">
        <v>889</v>
      </c>
      <c r="C177" s="29" t="s">
        <v>890</v>
      </c>
      <c r="D177" s="23"/>
      <c r="E177" s="24"/>
      <c r="F177" s="39"/>
      <c r="G177" s="127"/>
      <c r="H177" s="127"/>
      <c r="I177" s="127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>
        <v>66.101694915254242</v>
      </c>
      <c r="W177" s="26">
        <v>66.101694915254242</v>
      </c>
      <c r="X177" s="26">
        <v>66.101694915254242</v>
      </c>
      <c r="Y177" s="26">
        <v>66.101694915254242</v>
      </c>
      <c r="Z177" s="124" t="s">
        <v>690</v>
      </c>
      <c r="AB177" s="16" t="s">
        <v>816</v>
      </c>
      <c r="AC177" s="111"/>
    </row>
    <row r="178" spans="1:29" ht="24.75" customHeight="1">
      <c r="A178" s="123"/>
      <c r="B178" s="21" t="s">
        <v>891</v>
      </c>
      <c r="C178" s="29" t="s">
        <v>892</v>
      </c>
      <c r="D178" s="23"/>
      <c r="E178" s="24"/>
      <c r="F178" s="39"/>
      <c r="G178" s="127"/>
      <c r="H178" s="127"/>
      <c r="I178" s="127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>
        <v>101.69491525423729</v>
      </c>
      <c r="W178" s="26">
        <v>101.69491525423729</v>
      </c>
      <c r="X178" s="26">
        <v>101.69491525423729</v>
      </c>
      <c r="Y178" s="26">
        <v>101.69491525423729</v>
      </c>
      <c r="Z178" s="124" t="s">
        <v>690</v>
      </c>
      <c r="AB178" s="16" t="s">
        <v>816</v>
      </c>
      <c r="AC178" s="111"/>
    </row>
    <row r="179" spans="1:29" ht="24.75" customHeight="1">
      <c r="A179" s="123"/>
      <c r="B179" s="21" t="s">
        <v>893</v>
      </c>
      <c r="C179" s="29" t="s">
        <v>894</v>
      </c>
      <c r="D179" s="23"/>
      <c r="E179" s="24"/>
      <c r="F179" s="39"/>
      <c r="G179" s="127"/>
      <c r="H179" s="127"/>
      <c r="I179" s="127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>
        <v>161.0169491525424</v>
      </c>
      <c r="W179" s="26">
        <v>161.0169491525424</v>
      </c>
      <c r="X179" s="26">
        <v>161.0169491525424</v>
      </c>
      <c r="Y179" s="26">
        <v>161.0169491525424</v>
      </c>
      <c r="Z179" s="124" t="s">
        <v>690</v>
      </c>
      <c r="AB179" s="16" t="s">
        <v>816</v>
      </c>
      <c r="AC179" s="111"/>
    </row>
    <row r="180" spans="1:29" ht="24.75" customHeight="1">
      <c r="A180" s="123"/>
      <c r="B180" s="21" t="s">
        <v>895</v>
      </c>
      <c r="C180" s="29" t="s">
        <v>896</v>
      </c>
      <c r="D180" s="23"/>
      <c r="E180" s="24"/>
      <c r="F180" s="39"/>
      <c r="G180" s="127"/>
      <c r="H180" s="127"/>
      <c r="I180" s="127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>
        <v>326.27118644067798</v>
      </c>
      <c r="W180" s="26">
        <v>326.27118644067798</v>
      </c>
      <c r="X180" s="26">
        <v>326.27118644067798</v>
      </c>
      <c r="Y180" s="26">
        <v>326.27118644067798</v>
      </c>
      <c r="Z180" s="124" t="s">
        <v>690</v>
      </c>
      <c r="AB180" s="16" t="s">
        <v>816</v>
      </c>
      <c r="AC180" s="111"/>
    </row>
    <row r="181" spans="1:29" ht="24.75" customHeight="1">
      <c r="A181" s="123"/>
      <c r="B181" s="21" t="s">
        <v>897</v>
      </c>
      <c r="C181" s="29" t="s">
        <v>898</v>
      </c>
      <c r="D181" s="23"/>
      <c r="E181" s="24"/>
      <c r="F181" s="39"/>
      <c r="G181" s="127"/>
      <c r="H181" s="127"/>
      <c r="I181" s="127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>
        <v>529.66101694915255</v>
      </c>
      <c r="W181" s="26">
        <v>529.66101694915255</v>
      </c>
      <c r="X181" s="26">
        <v>529.66101694915255</v>
      </c>
      <c r="Y181" s="26">
        <v>529.66101694915255</v>
      </c>
      <c r="Z181" s="124" t="s">
        <v>690</v>
      </c>
      <c r="AB181" s="16" t="s">
        <v>816</v>
      </c>
      <c r="AC181" s="111"/>
    </row>
    <row r="182" spans="1:29" ht="24.75" customHeight="1">
      <c r="A182" s="123"/>
      <c r="B182" s="21" t="s">
        <v>899</v>
      </c>
      <c r="C182" s="29" t="s">
        <v>900</v>
      </c>
      <c r="D182" s="23"/>
      <c r="E182" s="24"/>
      <c r="F182" s="39"/>
      <c r="G182" s="127"/>
      <c r="H182" s="127"/>
      <c r="I182" s="127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>
        <v>927.96610169491532</v>
      </c>
      <c r="W182" s="26">
        <v>927.96610169491532</v>
      </c>
      <c r="X182" s="26">
        <v>927.96610169491532</v>
      </c>
      <c r="Y182" s="26">
        <v>927.96610169491532</v>
      </c>
      <c r="Z182" s="124" t="s">
        <v>690</v>
      </c>
      <c r="AB182" s="16" t="s">
        <v>816</v>
      </c>
      <c r="AC182" s="111"/>
    </row>
    <row r="183" spans="1:29" ht="24.75" customHeight="1">
      <c r="A183" s="123"/>
      <c r="B183" s="21" t="s">
        <v>901</v>
      </c>
      <c r="C183" s="29" t="s">
        <v>902</v>
      </c>
      <c r="D183" s="23"/>
      <c r="E183" s="24"/>
      <c r="F183" s="39"/>
      <c r="G183" s="127"/>
      <c r="H183" s="127"/>
      <c r="I183" s="127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>
        <v>1745.7627118644068</v>
      </c>
      <c r="W183" s="26">
        <v>1745.7627118644068</v>
      </c>
      <c r="X183" s="26">
        <v>1745.7627118644068</v>
      </c>
      <c r="Y183" s="26">
        <v>1745.7627118644068</v>
      </c>
      <c r="Z183" s="124" t="s">
        <v>690</v>
      </c>
      <c r="AB183" s="16" t="s">
        <v>816</v>
      </c>
      <c r="AC183" s="111"/>
    </row>
    <row r="184" spans="1:29" ht="24.75" customHeight="1">
      <c r="A184" s="123"/>
      <c r="B184" s="21" t="s">
        <v>903</v>
      </c>
      <c r="C184" s="29" t="s">
        <v>904</v>
      </c>
      <c r="D184" s="23"/>
      <c r="E184" s="24"/>
      <c r="F184" s="39"/>
      <c r="G184" s="127"/>
      <c r="H184" s="127"/>
      <c r="I184" s="127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>
        <v>3483.0508474576272</v>
      </c>
      <c r="W184" s="26">
        <v>3483.0508474576272</v>
      </c>
      <c r="X184" s="26">
        <v>3483.0508474576272</v>
      </c>
      <c r="Y184" s="26">
        <v>3483.0508474576272</v>
      </c>
      <c r="Z184" s="124" t="s">
        <v>690</v>
      </c>
      <c r="AB184" s="16" t="s">
        <v>816</v>
      </c>
      <c r="AC184" s="111"/>
    </row>
    <row r="185" spans="1:29" ht="24.75" customHeight="1">
      <c r="A185" s="123"/>
      <c r="B185" s="21" t="s">
        <v>905</v>
      </c>
      <c r="C185" s="29" t="s">
        <v>906</v>
      </c>
      <c r="D185" s="23"/>
      <c r="E185" s="24"/>
      <c r="F185" s="39"/>
      <c r="G185" s="127"/>
      <c r="H185" s="127"/>
      <c r="I185" s="127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>
        <v>5131.3559322033898</v>
      </c>
      <c r="W185" s="26">
        <v>5131.3559322033898</v>
      </c>
      <c r="X185" s="26">
        <v>5131.3559322033898</v>
      </c>
      <c r="Y185" s="26">
        <v>5131.3559322033898</v>
      </c>
      <c r="Z185" s="124" t="s">
        <v>690</v>
      </c>
      <c r="AB185" s="16" t="s">
        <v>816</v>
      </c>
      <c r="AC185" s="111"/>
    </row>
    <row r="186" spans="1:29" ht="24.75" customHeight="1">
      <c r="A186" s="123"/>
      <c r="B186" s="21" t="s">
        <v>907</v>
      </c>
      <c r="C186" s="29" t="s">
        <v>908</v>
      </c>
      <c r="D186" s="23"/>
      <c r="E186" s="24"/>
      <c r="F186" s="39"/>
      <c r="G186" s="127"/>
      <c r="H186" s="127"/>
      <c r="I186" s="127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>
        <v>48.305084745762713</v>
      </c>
      <c r="W186" s="26">
        <v>48.305084745762713</v>
      </c>
      <c r="X186" s="26">
        <v>48.305084745762713</v>
      </c>
      <c r="Y186" s="26">
        <v>48.305084745762713</v>
      </c>
      <c r="Z186" s="124" t="s">
        <v>690</v>
      </c>
      <c r="AB186" s="16" t="s">
        <v>816</v>
      </c>
      <c r="AC186" s="111"/>
    </row>
    <row r="187" spans="1:29" ht="24.75" customHeight="1">
      <c r="A187" s="123"/>
      <c r="B187" s="21" t="s">
        <v>909</v>
      </c>
      <c r="C187" s="29" t="s">
        <v>910</v>
      </c>
      <c r="D187" s="23"/>
      <c r="E187" s="24"/>
      <c r="F187" s="39"/>
      <c r="G187" s="127"/>
      <c r="H187" s="127"/>
      <c r="I187" s="127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>
        <v>66.101694915254242</v>
      </c>
      <c r="W187" s="26">
        <v>66.101694915254242</v>
      </c>
      <c r="X187" s="26">
        <v>66.101694915254242</v>
      </c>
      <c r="Y187" s="26">
        <v>66.101694915254242</v>
      </c>
      <c r="Z187" s="124" t="s">
        <v>690</v>
      </c>
      <c r="AB187" s="16" t="s">
        <v>816</v>
      </c>
      <c r="AC187" s="111"/>
    </row>
    <row r="188" spans="1:29" ht="24.75" customHeight="1">
      <c r="A188" s="123"/>
      <c r="B188" s="21" t="s">
        <v>911</v>
      </c>
      <c r="C188" s="29" t="s">
        <v>912</v>
      </c>
      <c r="D188" s="23"/>
      <c r="E188" s="24"/>
      <c r="F188" s="39"/>
      <c r="G188" s="127"/>
      <c r="H188" s="127"/>
      <c r="I188" s="127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>
        <v>93.220338983050851</v>
      </c>
      <c r="W188" s="26">
        <v>93.220338983050851</v>
      </c>
      <c r="X188" s="26">
        <v>93.220338983050851</v>
      </c>
      <c r="Y188" s="26">
        <v>93.220338983050851</v>
      </c>
      <c r="Z188" s="124" t="s">
        <v>690</v>
      </c>
      <c r="AB188" s="16" t="s">
        <v>816</v>
      </c>
      <c r="AC188" s="111"/>
    </row>
    <row r="189" spans="1:29" ht="24.75" customHeight="1">
      <c r="A189" s="123"/>
      <c r="B189" s="21" t="s">
        <v>913</v>
      </c>
      <c r="C189" s="29" t="s">
        <v>914</v>
      </c>
      <c r="D189" s="23"/>
      <c r="E189" s="24"/>
      <c r="F189" s="39"/>
      <c r="G189" s="127"/>
      <c r="H189" s="127"/>
      <c r="I189" s="127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>
        <v>131.35593220338984</v>
      </c>
      <c r="W189" s="26">
        <v>131.35593220338984</v>
      </c>
      <c r="X189" s="26">
        <v>131.35593220338984</v>
      </c>
      <c r="Y189" s="26">
        <v>131.35593220338984</v>
      </c>
      <c r="Z189" s="124" t="s">
        <v>690</v>
      </c>
      <c r="AB189" s="16" t="s">
        <v>816</v>
      </c>
      <c r="AC189" s="111"/>
    </row>
    <row r="190" spans="1:29" ht="24.75" customHeight="1">
      <c r="A190" s="123"/>
      <c r="B190" s="21" t="s">
        <v>915</v>
      </c>
      <c r="C190" s="29" t="s">
        <v>916</v>
      </c>
      <c r="D190" s="23"/>
      <c r="E190" s="24"/>
      <c r="F190" s="39"/>
      <c r="G190" s="127"/>
      <c r="H190" s="127"/>
      <c r="I190" s="127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>
        <v>190.67796610169492</v>
      </c>
      <c r="W190" s="26">
        <v>190.67796610169492</v>
      </c>
      <c r="X190" s="26">
        <v>190.67796610169492</v>
      </c>
      <c r="Y190" s="26">
        <v>190.67796610169492</v>
      </c>
      <c r="Z190" s="124" t="s">
        <v>690</v>
      </c>
      <c r="AB190" s="16" t="s">
        <v>816</v>
      </c>
      <c r="AC190" s="111"/>
    </row>
    <row r="191" spans="1:29" ht="24.75" customHeight="1">
      <c r="A191" s="123"/>
      <c r="B191" s="21" t="s">
        <v>917</v>
      </c>
      <c r="C191" s="29" t="s">
        <v>918</v>
      </c>
      <c r="D191" s="23"/>
      <c r="E191" s="24"/>
      <c r="F191" s="39"/>
      <c r="G191" s="127"/>
      <c r="H191" s="127"/>
      <c r="I191" s="127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>
        <v>262.71186440677968</v>
      </c>
      <c r="W191" s="26">
        <v>262.71186440677968</v>
      </c>
      <c r="X191" s="26">
        <v>262.71186440677968</v>
      </c>
      <c r="Y191" s="26">
        <v>262.71186440677968</v>
      </c>
      <c r="Z191" s="124" t="s">
        <v>690</v>
      </c>
      <c r="AB191" s="16" t="s">
        <v>816</v>
      </c>
      <c r="AC191" s="111"/>
    </row>
    <row r="192" spans="1:29" ht="24.75" customHeight="1">
      <c r="A192" s="123"/>
      <c r="B192" s="21" t="s">
        <v>919</v>
      </c>
      <c r="C192" s="29" t="s">
        <v>920</v>
      </c>
      <c r="D192" s="23"/>
      <c r="E192" s="24"/>
      <c r="F192" s="39"/>
      <c r="G192" s="127"/>
      <c r="H192" s="127"/>
      <c r="I192" s="127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>
        <v>530.50847457627117</v>
      </c>
      <c r="W192" s="26">
        <v>530.50847457627117</v>
      </c>
      <c r="X192" s="26">
        <v>530.50847457627117</v>
      </c>
      <c r="Y192" s="26">
        <v>530.50847457627117</v>
      </c>
      <c r="Z192" s="124" t="s">
        <v>690</v>
      </c>
      <c r="AB192" s="16" t="s">
        <v>816</v>
      </c>
      <c r="AC192" s="111"/>
    </row>
    <row r="193" spans="1:29" ht="24.75" customHeight="1">
      <c r="A193" s="123"/>
      <c r="B193" s="21" t="s">
        <v>921</v>
      </c>
      <c r="C193" s="29" t="s">
        <v>922</v>
      </c>
      <c r="D193" s="23"/>
      <c r="E193" s="24"/>
      <c r="F193" s="39"/>
      <c r="G193" s="127"/>
      <c r="H193" s="127"/>
      <c r="I193" s="127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>
        <v>927.96610169491532</v>
      </c>
      <c r="W193" s="26">
        <v>927.96610169491532</v>
      </c>
      <c r="X193" s="26">
        <v>927.96610169491532</v>
      </c>
      <c r="Y193" s="26">
        <v>927.96610169491532</v>
      </c>
      <c r="Z193" s="124" t="s">
        <v>690</v>
      </c>
      <c r="AB193" s="16" t="s">
        <v>816</v>
      </c>
      <c r="AC193" s="111"/>
    </row>
    <row r="194" spans="1:29" ht="24.75" customHeight="1">
      <c r="A194" s="123"/>
      <c r="B194" s="21" t="s">
        <v>923</v>
      </c>
      <c r="C194" s="29" t="s">
        <v>924</v>
      </c>
      <c r="D194" s="23"/>
      <c r="E194" s="24"/>
      <c r="F194" s="39"/>
      <c r="G194" s="127"/>
      <c r="H194" s="127"/>
      <c r="I194" s="127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>
        <v>1118.6440677966102</v>
      </c>
      <c r="W194" s="26">
        <v>1118.6440677966102</v>
      </c>
      <c r="X194" s="26">
        <v>1118.6440677966102</v>
      </c>
      <c r="Y194" s="26">
        <v>1118.6440677966102</v>
      </c>
      <c r="Z194" s="124" t="s">
        <v>690</v>
      </c>
      <c r="AB194" s="16" t="s">
        <v>816</v>
      </c>
      <c r="AC194" s="111"/>
    </row>
    <row r="195" spans="1:29" ht="24.75" customHeight="1">
      <c r="A195" s="123"/>
      <c r="B195" s="21" t="s">
        <v>925</v>
      </c>
      <c r="C195" s="29" t="s">
        <v>926</v>
      </c>
      <c r="D195" s="23"/>
      <c r="E195" s="24"/>
      <c r="F195" s="39"/>
      <c r="G195" s="127"/>
      <c r="H195" s="127"/>
      <c r="I195" s="127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>
        <v>22.033898305084747</v>
      </c>
      <c r="W195" s="26">
        <v>22.033898305084747</v>
      </c>
      <c r="X195" s="26">
        <v>22.033898305084747</v>
      </c>
      <c r="Y195" s="26">
        <v>22.033898305084747</v>
      </c>
      <c r="Z195" s="124" t="s">
        <v>690</v>
      </c>
      <c r="AB195" s="16" t="s">
        <v>816</v>
      </c>
      <c r="AC195" s="111"/>
    </row>
    <row r="196" spans="1:29" ht="24.75" customHeight="1">
      <c r="A196" s="123"/>
      <c r="B196" s="21" t="s">
        <v>927</v>
      </c>
      <c r="C196" s="29" t="s">
        <v>928</v>
      </c>
      <c r="D196" s="23"/>
      <c r="E196" s="24"/>
      <c r="F196" s="39"/>
      <c r="G196" s="127"/>
      <c r="H196" s="127"/>
      <c r="I196" s="127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>
        <v>31.35593220338983</v>
      </c>
      <c r="W196" s="26">
        <v>31.35593220338983</v>
      </c>
      <c r="X196" s="26">
        <v>31.35593220338983</v>
      </c>
      <c r="Y196" s="26">
        <v>31.35593220338983</v>
      </c>
      <c r="Z196" s="124" t="s">
        <v>690</v>
      </c>
      <c r="AB196" s="16" t="s">
        <v>816</v>
      </c>
      <c r="AC196" s="111"/>
    </row>
    <row r="197" spans="1:29" ht="24.75" customHeight="1">
      <c r="A197" s="123"/>
      <c r="B197" s="21" t="s">
        <v>929</v>
      </c>
      <c r="C197" s="29" t="s">
        <v>930</v>
      </c>
      <c r="D197" s="23"/>
      <c r="E197" s="24"/>
      <c r="F197" s="39"/>
      <c r="G197" s="127"/>
      <c r="H197" s="127"/>
      <c r="I197" s="127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>
        <v>35.593220338983052</v>
      </c>
      <c r="W197" s="26">
        <v>35.593220338983052</v>
      </c>
      <c r="X197" s="26">
        <v>35.593220338983052</v>
      </c>
      <c r="Y197" s="26">
        <v>35.593220338983052</v>
      </c>
      <c r="Z197" s="124" t="s">
        <v>690</v>
      </c>
      <c r="AB197" s="16" t="s">
        <v>816</v>
      </c>
      <c r="AC197" s="111"/>
    </row>
    <row r="198" spans="1:29" ht="24.75" customHeight="1">
      <c r="A198" s="123"/>
      <c r="B198" s="21" t="s">
        <v>931</v>
      </c>
      <c r="C198" s="29" t="s">
        <v>932</v>
      </c>
      <c r="D198" s="23"/>
      <c r="E198" s="24"/>
      <c r="F198" s="39"/>
      <c r="G198" s="127"/>
      <c r="H198" s="127"/>
      <c r="I198" s="127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>
        <v>35.593220338983052</v>
      </c>
      <c r="W198" s="26">
        <v>35.593220338983052</v>
      </c>
      <c r="X198" s="26">
        <v>35.593220338983052</v>
      </c>
      <c r="Y198" s="26">
        <v>35.593220338983052</v>
      </c>
      <c r="Z198" s="124" t="s">
        <v>690</v>
      </c>
      <c r="AB198" s="16" t="s">
        <v>816</v>
      </c>
      <c r="AC198" s="111"/>
    </row>
    <row r="199" spans="1:29" ht="24.75" customHeight="1">
      <c r="A199" s="123"/>
      <c r="B199" s="21" t="s">
        <v>933</v>
      </c>
      <c r="C199" s="29" t="s">
        <v>934</v>
      </c>
      <c r="D199" s="23"/>
      <c r="E199" s="24"/>
      <c r="F199" s="39"/>
      <c r="G199" s="127"/>
      <c r="H199" s="127"/>
      <c r="I199" s="127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>
        <v>39.83050847457627</v>
      </c>
      <c r="W199" s="26">
        <v>39.83050847457627</v>
      </c>
      <c r="X199" s="26">
        <v>39.83050847457627</v>
      </c>
      <c r="Y199" s="26">
        <v>39.83050847457627</v>
      </c>
      <c r="Z199" s="124" t="s">
        <v>690</v>
      </c>
      <c r="AB199" s="16" t="s">
        <v>816</v>
      </c>
      <c r="AC199" s="111"/>
    </row>
    <row r="200" spans="1:29" ht="24.75" customHeight="1">
      <c r="A200" s="123"/>
      <c r="B200" s="21" t="s">
        <v>935</v>
      </c>
      <c r="C200" s="29" t="s">
        <v>936</v>
      </c>
      <c r="D200" s="23"/>
      <c r="E200" s="24"/>
      <c r="F200" s="39"/>
      <c r="G200" s="127"/>
      <c r="H200" s="127"/>
      <c r="I200" s="127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>
        <v>44.067796610169495</v>
      </c>
      <c r="W200" s="26">
        <v>44.067796610169495</v>
      </c>
      <c r="X200" s="26">
        <v>44.067796610169495</v>
      </c>
      <c r="Y200" s="26">
        <v>44.067796610169495</v>
      </c>
      <c r="Z200" s="124" t="s">
        <v>690</v>
      </c>
      <c r="AB200" s="16" t="s">
        <v>816</v>
      </c>
      <c r="AC200" s="111"/>
    </row>
    <row r="201" spans="1:29" ht="24.75" customHeight="1">
      <c r="A201" s="123"/>
      <c r="B201" s="21" t="s">
        <v>937</v>
      </c>
      <c r="C201" s="29" t="s">
        <v>938</v>
      </c>
      <c r="D201" s="23"/>
      <c r="E201" s="24"/>
      <c r="F201" s="39"/>
      <c r="G201" s="127"/>
      <c r="H201" s="127"/>
      <c r="I201" s="127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>
        <v>127.11864406779662</v>
      </c>
      <c r="W201" s="26">
        <v>127.11864406779662</v>
      </c>
      <c r="X201" s="26">
        <v>127.11864406779662</v>
      </c>
      <c r="Y201" s="26">
        <v>127.11864406779662</v>
      </c>
      <c r="Z201" s="124" t="s">
        <v>690</v>
      </c>
      <c r="AB201" s="16" t="s">
        <v>816</v>
      </c>
      <c r="AC201" s="111"/>
    </row>
    <row r="202" spans="1:29" ht="24.75" customHeight="1">
      <c r="A202" s="123"/>
      <c r="B202" s="21" t="s">
        <v>939</v>
      </c>
      <c r="C202" s="29" t="s">
        <v>940</v>
      </c>
      <c r="D202" s="23"/>
      <c r="E202" s="24"/>
      <c r="F202" s="39"/>
      <c r="G202" s="127"/>
      <c r="H202" s="127"/>
      <c r="I202" s="127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>
        <v>144.06779661016949</v>
      </c>
      <c r="W202" s="26">
        <v>144.06779661016949</v>
      </c>
      <c r="X202" s="26">
        <v>144.06779661016949</v>
      </c>
      <c r="Y202" s="26">
        <v>144.06779661016949</v>
      </c>
      <c r="Z202" s="124" t="s">
        <v>690</v>
      </c>
      <c r="AB202" s="16" t="s">
        <v>816</v>
      </c>
      <c r="AC202" s="111"/>
    </row>
    <row r="203" spans="1:29" ht="24.75" customHeight="1">
      <c r="A203" s="123"/>
      <c r="B203" s="21" t="s">
        <v>941</v>
      </c>
      <c r="C203" s="29" t="s">
        <v>942</v>
      </c>
      <c r="D203" s="23"/>
      <c r="E203" s="24"/>
      <c r="F203" s="39"/>
      <c r="G203" s="127"/>
      <c r="H203" s="127"/>
      <c r="I203" s="127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>
        <v>279.66101694915255</v>
      </c>
      <c r="W203" s="26">
        <v>279.66101694915255</v>
      </c>
      <c r="X203" s="26">
        <v>279.66101694915255</v>
      </c>
      <c r="Y203" s="26">
        <v>279.66101694915255</v>
      </c>
      <c r="Z203" s="124" t="s">
        <v>690</v>
      </c>
      <c r="AB203" s="16" t="s">
        <v>816</v>
      </c>
      <c r="AC203" s="111"/>
    </row>
    <row r="204" spans="1:29" ht="24.75" customHeight="1">
      <c r="A204" s="123"/>
      <c r="B204" s="21" t="s">
        <v>943</v>
      </c>
      <c r="C204" s="29" t="s">
        <v>944</v>
      </c>
      <c r="D204" s="23"/>
      <c r="E204" s="24"/>
      <c r="F204" s="39"/>
      <c r="G204" s="127"/>
      <c r="H204" s="127"/>
      <c r="I204" s="127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>
        <v>52.542372881355938</v>
      </c>
      <c r="W204" s="26">
        <v>52.542372881355938</v>
      </c>
      <c r="X204" s="26">
        <v>52.542372881355938</v>
      </c>
      <c r="Y204" s="26">
        <v>52.542372881355938</v>
      </c>
      <c r="Z204" s="124" t="s">
        <v>690</v>
      </c>
      <c r="AB204" s="16" t="s">
        <v>816</v>
      </c>
      <c r="AC204" s="111"/>
    </row>
    <row r="205" spans="1:29" ht="24.75" customHeight="1">
      <c r="A205" s="123"/>
      <c r="B205" s="21" t="s">
        <v>945</v>
      </c>
      <c r="C205" s="29" t="s">
        <v>946</v>
      </c>
      <c r="D205" s="23"/>
      <c r="E205" s="24"/>
      <c r="F205" s="39"/>
      <c r="G205" s="127"/>
      <c r="H205" s="127"/>
      <c r="I205" s="127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>
        <v>84.745762711864415</v>
      </c>
      <c r="W205" s="26">
        <v>84.745762711864415</v>
      </c>
      <c r="X205" s="26">
        <v>84.745762711864415</v>
      </c>
      <c r="Y205" s="26">
        <v>84.745762711864415</v>
      </c>
      <c r="Z205" s="124" t="s">
        <v>690</v>
      </c>
      <c r="AB205" s="16" t="s">
        <v>816</v>
      </c>
      <c r="AC205" s="111"/>
    </row>
    <row r="206" spans="1:29" ht="24.75" customHeight="1">
      <c r="A206" s="123"/>
      <c r="B206" s="21" t="s">
        <v>947</v>
      </c>
      <c r="C206" s="29" t="s">
        <v>948</v>
      </c>
      <c r="D206" s="23"/>
      <c r="E206" s="24"/>
      <c r="F206" s="39"/>
      <c r="G206" s="127"/>
      <c r="H206" s="127"/>
      <c r="I206" s="127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>
        <v>114.40677966101696</v>
      </c>
      <c r="W206" s="26">
        <v>114.40677966101696</v>
      </c>
      <c r="X206" s="26">
        <v>114.40677966101696</v>
      </c>
      <c r="Y206" s="26">
        <v>114.40677966101696</v>
      </c>
      <c r="Z206" s="124" t="s">
        <v>690</v>
      </c>
      <c r="AB206" s="16" t="s">
        <v>816</v>
      </c>
      <c r="AC206" s="111"/>
    </row>
    <row r="207" spans="1:29" ht="24.75" customHeight="1">
      <c r="A207" s="123"/>
      <c r="B207" s="21" t="s">
        <v>949</v>
      </c>
      <c r="C207" s="29" t="s">
        <v>950</v>
      </c>
      <c r="D207" s="23"/>
      <c r="E207" s="24"/>
      <c r="F207" s="39"/>
      <c r="G207" s="127"/>
      <c r="H207" s="127"/>
      <c r="I207" s="127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>
        <v>275.42372881355936</v>
      </c>
      <c r="W207" s="26">
        <v>275.42372881355936</v>
      </c>
      <c r="X207" s="26">
        <v>275.42372881355936</v>
      </c>
      <c r="Y207" s="26">
        <v>275.42372881355936</v>
      </c>
      <c r="Z207" s="124" t="s">
        <v>690</v>
      </c>
      <c r="AB207" s="16" t="s">
        <v>816</v>
      </c>
      <c r="AC207" s="111"/>
    </row>
    <row r="208" spans="1:29" ht="24.75" customHeight="1">
      <c r="A208" s="123"/>
      <c r="B208" s="21" t="s">
        <v>951</v>
      </c>
      <c r="C208" s="29" t="s">
        <v>952</v>
      </c>
      <c r="D208" s="23"/>
      <c r="E208" s="24"/>
      <c r="F208" s="39"/>
      <c r="G208" s="127"/>
      <c r="H208" s="127"/>
      <c r="I208" s="127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>
        <v>394.06779661016952</v>
      </c>
      <c r="W208" s="26">
        <v>394.06779661016952</v>
      </c>
      <c r="X208" s="26">
        <v>394.06779661016952</v>
      </c>
      <c r="Y208" s="26">
        <v>394.06779661016952</v>
      </c>
      <c r="Z208" s="124" t="s">
        <v>690</v>
      </c>
      <c r="AB208" s="16" t="s">
        <v>816</v>
      </c>
      <c r="AC208" s="111"/>
    </row>
    <row r="209" spans="1:29" ht="24.75" customHeight="1">
      <c r="A209" s="123"/>
      <c r="B209" s="21" t="s">
        <v>953</v>
      </c>
      <c r="C209" s="29" t="s">
        <v>954</v>
      </c>
      <c r="D209" s="23"/>
      <c r="E209" s="24"/>
      <c r="F209" s="39"/>
      <c r="G209" s="127"/>
      <c r="H209" s="127"/>
      <c r="I209" s="127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>
        <v>639.83050847457628</v>
      </c>
      <c r="W209" s="26">
        <v>639.83050847457628</v>
      </c>
      <c r="X209" s="26">
        <v>639.83050847457628</v>
      </c>
      <c r="Y209" s="26">
        <v>639.83050847457628</v>
      </c>
      <c r="Z209" s="124" t="s">
        <v>690</v>
      </c>
      <c r="AB209" s="16" t="s">
        <v>816</v>
      </c>
      <c r="AC209" s="111"/>
    </row>
    <row r="210" spans="1:29" ht="24.75" customHeight="1">
      <c r="A210" s="123"/>
      <c r="B210" s="15"/>
      <c r="C210" s="16" t="s">
        <v>955</v>
      </c>
      <c r="D210" s="23"/>
      <c r="E210" s="24"/>
      <c r="F210" s="39"/>
      <c r="G210" s="127"/>
      <c r="H210" s="127"/>
      <c r="I210" s="127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128"/>
    </row>
    <row r="211" spans="1:29" ht="24.75" customHeight="1">
      <c r="A211" s="123"/>
      <c r="B211" s="15"/>
      <c r="C211" s="38" t="s">
        <v>956</v>
      </c>
      <c r="D211" s="23"/>
      <c r="E211" s="24"/>
      <c r="F211" s="39"/>
      <c r="G211" s="127"/>
      <c r="H211" s="127"/>
      <c r="I211" s="127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128"/>
    </row>
    <row r="212" spans="1:29" ht="24.75" customHeight="1">
      <c r="A212" s="123"/>
      <c r="B212" s="21" t="s">
        <v>8</v>
      </c>
      <c r="C212" s="29" t="s">
        <v>957</v>
      </c>
      <c r="D212" s="23"/>
      <c r="E212" s="24"/>
      <c r="F212" s="39"/>
      <c r="G212" s="127"/>
      <c r="H212" s="127"/>
      <c r="I212" s="127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>
        <v>66.101694915254242</v>
      </c>
      <c r="W212" s="26">
        <v>66.101694915254242</v>
      </c>
      <c r="X212" s="26">
        <v>66.101694915254242</v>
      </c>
      <c r="Y212" s="26">
        <v>66.101694915254242</v>
      </c>
      <c r="Z212" s="124" t="s">
        <v>690</v>
      </c>
      <c r="AB212" s="16" t="s">
        <v>955</v>
      </c>
      <c r="AC212" s="38" t="s">
        <v>956</v>
      </c>
    </row>
    <row r="213" spans="1:29" ht="24.75" customHeight="1">
      <c r="A213" s="123"/>
      <c r="B213" s="21" t="s">
        <v>11</v>
      </c>
      <c r="C213" s="29" t="s">
        <v>958</v>
      </c>
      <c r="D213" s="23"/>
      <c r="E213" s="24"/>
      <c r="F213" s="39"/>
      <c r="G213" s="127"/>
      <c r="H213" s="127"/>
      <c r="I213" s="127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>
        <v>88.983050847457633</v>
      </c>
      <c r="W213" s="26">
        <v>88.983050847457633</v>
      </c>
      <c r="X213" s="26">
        <v>88.983050847457633</v>
      </c>
      <c r="Y213" s="26">
        <v>88.983050847457633</v>
      </c>
      <c r="Z213" s="124" t="s">
        <v>690</v>
      </c>
      <c r="AB213" s="16" t="s">
        <v>955</v>
      </c>
      <c r="AC213" s="38" t="s">
        <v>956</v>
      </c>
    </row>
    <row r="214" spans="1:29" ht="24.75" customHeight="1">
      <c r="A214" s="123"/>
      <c r="B214" s="21" t="s">
        <v>13</v>
      </c>
      <c r="C214" s="29" t="s">
        <v>959</v>
      </c>
      <c r="D214" s="23"/>
      <c r="E214" s="24"/>
      <c r="F214" s="39"/>
      <c r="G214" s="127"/>
      <c r="H214" s="127"/>
      <c r="I214" s="127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>
        <v>97.457627118644069</v>
      </c>
      <c r="W214" s="26">
        <v>97.457627118644069</v>
      </c>
      <c r="X214" s="26">
        <v>97.457627118644069</v>
      </c>
      <c r="Y214" s="26">
        <v>97.457627118644069</v>
      </c>
      <c r="Z214" s="124" t="s">
        <v>690</v>
      </c>
      <c r="AB214" s="16" t="s">
        <v>955</v>
      </c>
      <c r="AC214" s="38" t="s">
        <v>956</v>
      </c>
    </row>
    <row r="215" spans="1:29" ht="24.75" customHeight="1">
      <c r="A215" s="123"/>
      <c r="B215" s="21" t="s">
        <v>15</v>
      </c>
      <c r="C215" s="29" t="s">
        <v>960</v>
      </c>
      <c r="D215" s="23"/>
      <c r="E215" s="24"/>
      <c r="F215" s="39"/>
      <c r="G215" s="127"/>
      <c r="H215" s="127"/>
      <c r="I215" s="127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>
        <v>118.64406779661017</v>
      </c>
      <c r="W215" s="26">
        <v>118.64406779661017</v>
      </c>
      <c r="X215" s="26">
        <v>118.64406779661017</v>
      </c>
      <c r="Y215" s="26">
        <v>118.64406779661017</v>
      </c>
      <c r="Z215" s="124" t="s">
        <v>690</v>
      </c>
      <c r="AB215" s="16" t="s">
        <v>955</v>
      </c>
      <c r="AC215" s="38" t="s">
        <v>956</v>
      </c>
    </row>
    <row r="216" spans="1:29" ht="24.75" customHeight="1">
      <c r="A216" s="123"/>
      <c r="B216" s="21" t="s">
        <v>18</v>
      </c>
      <c r="C216" s="29" t="s">
        <v>961</v>
      </c>
      <c r="D216" s="23"/>
      <c r="E216" s="24"/>
      <c r="F216" s="39"/>
      <c r="G216" s="127"/>
      <c r="H216" s="127"/>
      <c r="I216" s="127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>
        <v>139.83050847457628</v>
      </c>
      <c r="W216" s="26">
        <v>139.83050847457628</v>
      </c>
      <c r="X216" s="26">
        <v>139.83050847457628</v>
      </c>
      <c r="Y216" s="26">
        <v>139.83050847457628</v>
      </c>
      <c r="Z216" s="124" t="s">
        <v>690</v>
      </c>
      <c r="AB216" s="16" t="s">
        <v>955</v>
      </c>
      <c r="AC216" s="38" t="s">
        <v>956</v>
      </c>
    </row>
    <row r="217" spans="1:29" ht="24.75" customHeight="1">
      <c r="A217" s="123"/>
      <c r="B217" s="21" t="s">
        <v>20</v>
      </c>
      <c r="C217" s="29" t="s">
        <v>962</v>
      </c>
      <c r="D217" s="23"/>
      <c r="E217" s="24"/>
      <c r="F217" s="39"/>
      <c r="G217" s="127"/>
      <c r="H217" s="127"/>
      <c r="I217" s="127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>
        <v>161.0169491525424</v>
      </c>
      <c r="W217" s="26">
        <v>161.0169491525424</v>
      </c>
      <c r="X217" s="26">
        <v>161.0169491525424</v>
      </c>
      <c r="Y217" s="26">
        <v>161.0169491525424</v>
      </c>
      <c r="Z217" s="124" t="s">
        <v>690</v>
      </c>
      <c r="AB217" s="16" t="s">
        <v>955</v>
      </c>
      <c r="AC217" s="38" t="s">
        <v>956</v>
      </c>
    </row>
    <row r="218" spans="1:29" ht="24.75" customHeight="1">
      <c r="A218" s="123"/>
      <c r="B218" s="21" t="s">
        <v>24</v>
      </c>
      <c r="C218" s="29" t="s">
        <v>963</v>
      </c>
      <c r="D218" s="23"/>
      <c r="E218" s="24"/>
      <c r="F218" s="39"/>
      <c r="G218" s="127"/>
      <c r="H218" s="127"/>
      <c r="I218" s="127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>
        <v>173.72881355932205</v>
      </c>
      <c r="W218" s="26">
        <v>173.72881355932205</v>
      </c>
      <c r="X218" s="26">
        <v>173.72881355932205</v>
      </c>
      <c r="Y218" s="26">
        <v>173.72881355932205</v>
      </c>
      <c r="Z218" s="124" t="s">
        <v>690</v>
      </c>
      <c r="AB218" s="16" t="s">
        <v>955</v>
      </c>
      <c r="AC218" s="38" t="s">
        <v>956</v>
      </c>
    </row>
    <row r="219" spans="1:29" ht="24.75" customHeight="1">
      <c r="A219" s="123"/>
      <c r="B219" s="21" t="s">
        <v>27</v>
      </c>
      <c r="C219" s="29" t="s">
        <v>964</v>
      </c>
      <c r="D219" s="23"/>
      <c r="E219" s="24"/>
      <c r="F219" s="39"/>
      <c r="G219" s="127"/>
      <c r="H219" s="127"/>
      <c r="I219" s="127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>
        <v>194.91525423728814</v>
      </c>
      <c r="W219" s="26">
        <v>194.91525423728814</v>
      </c>
      <c r="X219" s="26">
        <v>194.91525423728814</v>
      </c>
      <c r="Y219" s="26">
        <v>194.91525423728814</v>
      </c>
      <c r="Z219" s="124" t="s">
        <v>690</v>
      </c>
      <c r="AB219" s="16" t="s">
        <v>955</v>
      </c>
      <c r="AC219" s="38" t="s">
        <v>956</v>
      </c>
    </row>
    <row r="220" spans="1:29" ht="24.75" customHeight="1">
      <c r="A220" s="123"/>
      <c r="B220" s="21" t="s">
        <v>30</v>
      </c>
      <c r="C220" s="29" t="s">
        <v>965</v>
      </c>
      <c r="D220" s="23"/>
      <c r="E220" s="24"/>
      <c r="F220" s="39"/>
      <c r="G220" s="127"/>
      <c r="H220" s="127"/>
      <c r="I220" s="127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>
        <v>224.57627118644069</v>
      </c>
      <c r="W220" s="26">
        <v>224.57627118644069</v>
      </c>
      <c r="X220" s="26">
        <v>224.57627118644069</v>
      </c>
      <c r="Y220" s="26">
        <v>224.57627118644069</v>
      </c>
      <c r="Z220" s="124" t="s">
        <v>690</v>
      </c>
      <c r="AB220" s="16" t="s">
        <v>955</v>
      </c>
      <c r="AC220" s="38" t="s">
        <v>956</v>
      </c>
    </row>
    <row r="221" spans="1:29" ht="24.75" customHeight="1">
      <c r="A221" s="123"/>
      <c r="B221" s="21" t="s">
        <v>32</v>
      </c>
      <c r="C221" s="29" t="s">
        <v>966</v>
      </c>
      <c r="D221" s="23"/>
      <c r="E221" s="24"/>
      <c r="F221" s="39"/>
      <c r="G221" s="127"/>
      <c r="H221" s="127"/>
      <c r="I221" s="127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>
        <v>237.28813559322035</v>
      </c>
      <c r="W221" s="26">
        <v>237.28813559322035</v>
      </c>
      <c r="X221" s="26">
        <v>237.28813559322035</v>
      </c>
      <c r="Y221" s="26">
        <v>237.28813559322035</v>
      </c>
      <c r="Z221" s="124" t="s">
        <v>690</v>
      </c>
      <c r="AB221" s="16" t="s">
        <v>955</v>
      </c>
      <c r="AC221" s="38" t="s">
        <v>956</v>
      </c>
    </row>
    <row r="222" spans="1:29" ht="24.75" customHeight="1">
      <c r="A222" s="123"/>
      <c r="B222" s="21" t="s">
        <v>35</v>
      </c>
      <c r="C222" s="29" t="s">
        <v>967</v>
      </c>
      <c r="D222" s="23"/>
      <c r="E222" s="24"/>
      <c r="F222" s="39"/>
      <c r="G222" s="127"/>
      <c r="H222" s="127"/>
      <c r="I222" s="127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>
        <v>296.61016949152543</v>
      </c>
      <c r="W222" s="26">
        <v>296.61016949152543</v>
      </c>
      <c r="X222" s="26">
        <v>296.61016949152543</v>
      </c>
      <c r="Y222" s="26">
        <v>296.61016949152543</v>
      </c>
      <c r="Z222" s="124" t="s">
        <v>690</v>
      </c>
      <c r="AB222" s="16" t="s">
        <v>955</v>
      </c>
      <c r="AC222" s="38" t="s">
        <v>956</v>
      </c>
    </row>
    <row r="223" spans="1:29" ht="24.75" customHeight="1">
      <c r="A223" s="123"/>
      <c r="B223" s="21" t="s">
        <v>37</v>
      </c>
      <c r="C223" s="29" t="s">
        <v>968</v>
      </c>
      <c r="D223" s="23"/>
      <c r="E223" s="24"/>
      <c r="F223" s="39"/>
      <c r="G223" s="127"/>
      <c r="H223" s="127"/>
      <c r="I223" s="127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>
        <v>300.84745762711867</v>
      </c>
      <c r="W223" s="26">
        <v>300.84745762711867</v>
      </c>
      <c r="X223" s="26">
        <v>300.84745762711867</v>
      </c>
      <c r="Y223" s="26">
        <v>300.84745762711867</v>
      </c>
      <c r="Z223" s="124" t="s">
        <v>690</v>
      </c>
      <c r="AB223" s="16" t="s">
        <v>955</v>
      </c>
      <c r="AC223" s="38" t="s">
        <v>956</v>
      </c>
    </row>
    <row r="224" spans="1:29" ht="24.75" customHeight="1">
      <c r="A224" s="123"/>
      <c r="B224" s="21" t="s">
        <v>40</v>
      </c>
      <c r="C224" s="29" t="s">
        <v>969</v>
      </c>
      <c r="D224" s="23"/>
      <c r="E224" s="24"/>
      <c r="F224" s="39"/>
      <c r="G224" s="127"/>
      <c r="H224" s="127"/>
      <c r="I224" s="127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>
        <v>322.03389830508479</v>
      </c>
      <c r="W224" s="26">
        <v>322.03389830508479</v>
      </c>
      <c r="X224" s="26">
        <v>322.03389830508479</v>
      </c>
      <c r="Y224" s="26">
        <v>322.03389830508479</v>
      </c>
      <c r="Z224" s="124" t="s">
        <v>690</v>
      </c>
      <c r="AB224" s="16" t="s">
        <v>955</v>
      </c>
      <c r="AC224" s="38" t="s">
        <v>956</v>
      </c>
    </row>
    <row r="225" spans="1:29" ht="24.75" customHeight="1">
      <c r="A225" s="123"/>
      <c r="B225" s="21" t="s">
        <v>67</v>
      </c>
      <c r="C225" s="29" t="s">
        <v>970</v>
      </c>
      <c r="D225" s="23"/>
      <c r="E225" s="24"/>
      <c r="F225" s="39"/>
      <c r="G225" s="127"/>
      <c r="H225" s="127"/>
      <c r="I225" s="127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>
        <v>326.27118644067798</v>
      </c>
      <c r="W225" s="26">
        <v>326.27118644067798</v>
      </c>
      <c r="X225" s="26">
        <v>326.27118644067798</v>
      </c>
      <c r="Y225" s="26">
        <v>326.27118644067798</v>
      </c>
      <c r="Z225" s="124" t="s">
        <v>690</v>
      </c>
      <c r="AB225" s="16" t="s">
        <v>955</v>
      </c>
      <c r="AC225" s="38" t="s">
        <v>956</v>
      </c>
    </row>
    <row r="226" spans="1:29" ht="24.75" customHeight="1">
      <c r="A226" s="123"/>
      <c r="B226" s="21" t="s">
        <v>71</v>
      </c>
      <c r="C226" s="29" t="s">
        <v>971</v>
      </c>
      <c r="D226" s="23"/>
      <c r="E226" s="24"/>
      <c r="F226" s="39"/>
      <c r="G226" s="127"/>
      <c r="H226" s="127"/>
      <c r="I226" s="127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>
        <v>334.74576271186442</v>
      </c>
      <c r="W226" s="26">
        <v>334.74576271186442</v>
      </c>
      <c r="X226" s="26">
        <v>334.74576271186442</v>
      </c>
      <c r="Y226" s="26">
        <v>334.74576271186442</v>
      </c>
      <c r="Z226" s="124" t="s">
        <v>690</v>
      </c>
      <c r="AB226" s="16" t="s">
        <v>955</v>
      </c>
      <c r="AC226" s="38" t="s">
        <v>956</v>
      </c>
    </row>
    <row r="227" spans="1:29" ht="24.75" customHeight="1">
      <c r="A227" s="123"/>
      <c r="B227" s="21" t="s">
        <v>73</v>
      </c>
      <c r="C227" s="29" t="s">
        <v>972</v>
      </c>
      <c r="D227" s="23"/>
      <c r="E227" s="24"/>
      <c r="F227" s="39"/>
      <c r="G227" s="127"/>
      <c r="H227" s="127"/>
      <c r="I227" s="127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>
        <v>521.18644067796617</v>
      </c>
      <c r="W227" s="26">
        <v>521.18644067796617</v>
      </c>
      <c r="X227" s="26">
        <v>521.18644067796617</v>
      </c>
      <c r="Y227" s="26">
        <v>521.18644067796617</v>
      </c>
      <c r="Z227" s="124" t="s">
        <v>690</v>
      </c>
      <c r="AB227" s="16" t="s">
        <v>955</v>
      </c>
      <c r="AC227" s="38" t="s">
        <v>956</v>
      </c>
    </row>
    <row r="228" spans="1:29" ht="24.75" customHeight="1">
      <c r="A228" s="123"/>
      <c r="B228" s="21" t="s">
        <v>164</v>
      </c>
      <c r="C228" s="29" t="s">
        <v>973</v>
      </c>
      <c r="D228" s="23"/>
      <c r="E228" s="24"/>
      <c r="F228" s="39"/>
      <c r="G228" s="127"/>
      <c r="H228" s="127"/>
      <c r="I228" s="127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>
        <v>529.66101694915255</v>
      </c>
      <c r="W228" s="26">
        <v>529.66101694915255</v>
      </c>
      <c r="X228" s="26">
        <v>529.66101694915255</v>
      </c>
      <c r="Y228" s="26">
        <v>529.66101694915255</v>
      </c>
      <c r="Z228" s="124" t="s">
        <v>690</v>
      </c>
      <c r="AB228" s="16" t="s">
        <v>955</v>
      </c>
      <c r="AC228" s="38" t="s">
        <v>956</v>
      </c>
    </row>
    <row r="229" spans="1:29" ht="24.75" customHeight="1">
      <c r="A229" s="123"/>
      <c r="B229" s="21" t="s">
        <v>208</v>
      </c>
      <c r="C229" s="29" t="s">
        <v>974</v>
      </c>
      <c r="D229" s="23"/>
      <c r="E229" s="24"/>
      <c r="F229" s="39"/>
      <c r="G229" s="127"/>
      <c r="H229" s="127"/>
      <c r="I229" s="127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>
        <v>533.89830508474574</v>
      </c>
      <c r="W229" s="26">
        <v>533.89830508474574</v>
      </c>
      <c r="X229" s="26">
        <v>533.89830508474574</v>
      </c>
      <c r="Y229" s="26">
        <v>533.89830508474574</v>
      </c>
      <c r="Z229" s="124" t="s">
        <v>690</v>
      </c>
      <c r="AB229" s="16" t="s">
        <v>955</v>
      </c>
      <c r="AC229" s="38" t="s">
        <v>956</v>
      </c>
    </row>
    <row r="230" spans="1:29" ht="24.75" customHeight="1">
      <c r="A230" s="123"/>
      <c r="B230" s="21" t="s">
        <v>835</v>
      </c>
      <c r="C230" s="29" t="s">
        <v>975</v>
      </c>
      <c r="D230" s="23"/>
      <c r="E230" s="24"/>
      <c r="F230" s="39"/>
      <c r="G230" s="127"/>
      <c r="H230" s="127"/>
      <c r="I230" s="127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>
        <v>593.22033898305085</v>
      </c>
      <c r="W230" s="26">
        <v>593.22033898305085</v>
      </c>
      <c r="X230" s="26">
        <v>593.22033898305085</v>
      </c>
      <c r="Y230" s="26">
        <v>593.22033898305085</v>
      </c>
      <c r="Z230" s="124" t="s">
        <v>690</v>
      </c>
      <c r="AB230" s="16" t="s">
        <v>955</v>
      </c>
      <c r="AC230" s="38" t="s">
        <v>956</v>
      </c>
    </row>
    <row r="231" spans="1:29" ht="24.75" customHeight="1">
      <c r="A231" s="123"/>
      <c r="B231" s="21" t="s">
        <v>837</v>
      </c>
      <c r="C231" s="29" t="s">
        <v>976</v>
      </c>
      <c r="D231" s="23"/>
      <c r="E231" s="24"/>
      <c r="F231" s="39"/>
      <c r="G231" s="127"/>
      <c r="H231" s="127"/>
      <c r="I231" s="127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>
        <v>614.40677966101703</v>
      </c>
      <c r="W231" s="26">
        <v>614.40677966101703</v>
      </c>
      <c r="X231" s="26">
        <v>614.40677966101703</v>
      </c>
      <c r="Y231" s="26">
        <v>614.40677966101703</v>
      </c>
      <c r="Z231" s="124" t="s">
        <v>690</v>
      </c>
      <c r="AB231" s="16" t="s">
        <v>955</v>
      </c>
      <c r="AC231" s="38" t="s">
        <v>956</v>
      </c>
    </row>
    <row r="232" spans="1:29" ht="24.75" customHeight="1">
      <c r="A232" s="123"/>
      <c r="B232" s="21" t="s">
        <v>839</v>
      </c>
      <c r="C232" s="29" t="s">
        <v>977</v>
      </c>
      <c r="D232" s="23"/>
      <c r="E232" s="24"/>
      <c r="F232" s="39"/>
      <c r="G232" s="127"/>
      <c r="H232" s="127"/>
      <c r="I232" s="127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>
        <v>665.25423728813564</v>
      </c>
      <c r="W232" s="26">
        <v>665.25423728813564</v>
      </c>
      <c r="X232" s="26">
        <v>665.25423728813564</v>
      </c>
      <c r="Y232" s="26">
        <v>665.25423728813564</v>
      </c>
      <c r="Z232" s="124" t="s">
        <v>690</v>
      </c>
      <c r="AB232" s="16" t="s">
        <v>955</v>
      </c>
      <c r="AC232" s="38" t="s">
        <v>956</v>
      </c>
    </row>
    <row r="233" spans="1:29" ht="24.75" customHeight="1">
      <c r="A233" s="123"/>
      <c r="B233" s="21" t="s">
        <v>841</v>
      </c>
      <c r="C233" s="29" t="s">
        <v>978</v>
      </c>
      <c r="D233" s="23"/>
      <c r="E233" s="24"/>
      <c r="F233" s="39"/>
      <c r="G233" s="127"/>
      <c r="H233" s="127"/>
      <c r="I233" s="127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>
        <v>724.57627118644075</v>
      </c>
      <c r="W233" s="26">
        <v>724.57627118644075</v>
      </c>
      <c r="X233" s="26">
        <v>724.57627118644075</v>
      </c>
      <c r="Y233" s="26">
        <v>724.57627118644075</v>
      </c>
      <c r="Z233" s="124" t="s">
        <v>690</v>
      </c>
      <c r="AB233" s="16" t="s">
        <v>955</v>
      </c>
      <c r="AC233" s="38" t="s">
        <v>956</v>
      </c>
    </row>
    <row r="234" spans="1:29" ht="24.75" customHeight="1">
      <c r="A234" s="123"/>
      <c r="B234" s="21" t="s">
        <v>843</v>
      </c>
      <c r="C234" s="29" t="s">
        <v>979</v>
      </c>
      <c r="D234" s="23"/>
      <c r="E234" s="24"/>
      <c r="F234" s="39"/>
      <c r="G234" s="127"/>
      <c r="H234" s="127"/>
      <c r="I234" s="127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>
        <v>809.32203389830511</v>
      </c>
      <c r="W234" s="26">
        <v>809.32203389830511</v>
      </c>
      <c r="X234" s="26">
        <v>809.32203389830511</v>
      </c>
      <c r="Y234" s="26">
        <v>809.32203389830511</v>
      </c>
      <c r="Z234" s="124" t="s">
        <v>690</v>
      </c>
      <c r="AB234" s="16" t="s">
        <v>955</v>
      </c>
      <c r="AC234" s="38" t="s">
        <v>956</v>
      </c>
    </row>
    <row r="235" spans="1:29" ht="24.75" customHeight="1">
      <c r="A235" s="123"/>
      <c r="B235" s="21" t="s">
        <v>845</v>
      </c>
      <c r="C235" s="29" t="s">
        <v>980</v>
      </c>
      <c r="D235" s="23"/>
      <c r="E235" s="24"/>
      <c r="F235" s="39"/>
      <c r="G235" s="127"/>
      <c r="H235" s="127"/>
      <c r="I235" s="127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>
        <v>1402.542372881356</v>
      </c>
      <c r="W235" s="26">
        <v>1402.542372881356</v>
      </c>
      <c r="X235" s="26">
        <v>1402.542372881356</v>
      </c>
      <c r="Y235" s="26">
        <v>1402.542372881356</v>
      </c>
      <c r="Z235" s="124" t="s">
        <v>690</v>
      </c>
      <c r="AB235" s="16" t="s">
        <v>955</v>
      </c>
      <c r="AC235" s="38" t="s">
        <v>956</v>
      </c>
    </row>
    <row r="236" spans="1:29" ht="24.75" customHeight="1">
      <c r="A236" s="123"/>
      <c r="B236" s="21" t="s">
        <v>847</v>
      </c>
      <c r="C236" s="29" t="s">
        <v>981</v>
      </c>
      <c r="D236" s="23"/>
      <c r="E236" s="24"/>
      <c r="F236" s="39"/>
      <c r="G236" s="127"/>
      <c r="H236" s="127"/>
      <c r="I236" s="127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>
        <v>1470.3389830508474</v>
      </c>
      <c r="W236" s="26">
        <v>1470.3389830508474</v>
      </c>
      <c r="X236" s="26">
        <v>1470.3389830508474</v>
      </c>
      <c r="Y236" s="26">
        <v>1470.3389830508474</v>
      </c>
      <c r="Z236" s="124" t="s">
        <v>690</v>
      </c>
      <c r="AB236" s="16" t="s">
        <v>955</v>
      </c>
      <c r="AC236" s="38" t="s">
        <v>956</v>
      </c>
    </row>
    <row r="237" spans="1:29" ht="24.75" customHeight="1">
      <c r="A237" s="123"/>
      <c r="B237" s="21" t="s">
        <v>849</v>
      </c>
      <c r="C237" s="29" t="s">
        <v>982</v>
      </c>
      <c r="D237" s="23"/>
      <c r="E237" s="24"/>
      <c r="F237" s="39"/>
      <c r="G237" s="127"/>
      <c r="H237" s="127"/>
      <c r="I237" s="127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>
        <v>1546.6101694915255</v>
      </c>
      <c r="W237" s="26">
        <v>1546.6101694915255</v>
      </c>
      <c r="X237" s="26">
        <v>1546.6101694915255</v>
      </c>
      <c r="Y237" s="26">
        <v>1546.6101694915255</v>
      </c>
      <c r="Z237" s="124" t="s">
        <v>690</v>
      </c>
      <c r="AB237" s="16" t="s">
        <v>955</v>
      </c>
      <c r="AC237" s="38" t="s">
        <v>956</v>
      </c>
    </row>
    <row r="238" spans="1:29" ht="24.75" customHeight="1">
      <c r="A238" s="123"/>
      <c r="B238" s="21" t="s">
        <v>851</v>
      </c>
      <c r="C238" s="29" t="s">
        <v>983</v>
      </c>
      <c r="D238" s="23"/>
      <c r="E238" s="24"/>
      <c r="F238" s="39"/>
      <c r="G238" s="127"/>
      <c r="H238" s="127"/>
      <c r="I238" s="127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>
        <v>1720.3389830508474</v>
      </c>
      <c r="W238" s="26">
        <v>1720.3389830508474</v>
      </c>
      <c r="X238" s="26">
        <v>1720.3389830508474</v>
      </c>
      <c r="Y238" s="26">
        <v>1720.3389830508474</v>
      </c>
      <c r="Z238" s="124" t="s">
        <v>690</v>
      </c>
      <c r="AB238" s="16" t="s">
        <v>955</v>
      </c>
      <c r="AC238" s="38" t="s">
        <v>956</v>
      </c>
    </row>
    <row r="239" spans="1:29" ht="24.75" customHeight="1">
      <c r="A239" s="123"/>
      <c r="B239" s="129"/>
      <c r="C239" s="38" t="s">
        <v>984</v>
      </c>
      <c r="D239" s="23"/>
      <c r="E239" s="24"/>
      <c r="F239" s="39"/>
      <c r="G239" s="127"/>
      <c r="H239" s="127"/>
      <c r="I239" s="127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124"/>
      <c r="AB239" s="16" t="s">
        <v>955</v>
      </c>
    </row>
    <row r="240" spans="1:29" ht="24.75" customHeight="1">
      <c r="A240" s="123"/>
      <c r="B240" s="21" t="s">
        <v>8</v>
      </c>
      <c r="C240" s="29" t="s">
        <v>957</v>
      </c>
      <c r="D240" s="23"/>
      <c r="E240" s="24"/>
      <c r="F240" s="39"/>
      <c r="G240" s="127"/>
      <c r="H240" s="127"/>
      <c r="I240" s="127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>
        <v>105.93220338983052</v>
      </c>
      <c r="W240" s="26">
        <v>105.93220338983052</v>
      </c>
      <c r="X240" s="26">
        <v>105.93220338983052</v>
      </c>
      <c r="Y240" s="26">
        <v>105.93220338983052</v>
      </c>
      <c r="Z240" s="124" t="s">
        <v>690</v>
      </c>
      <c r="AB240" s="16" t="s">
        <v>955</v>
      </c>
      <c r="AC240" s="38" t="s">
        <v>984</v>
      </c>
    </row>
    <row r="241" spans="1:29" ht="24.75" customHeight="1">
      <c r="A241" s="123"/>
      <c r="B241" s="21" t="s">
        <v>11</v>
      </c>
      <c r="C241" s="29" t="s">
        <v>958</v>
      </c>
      <c r="D241" s="23"/>
      <c r="E241" s="24"/>
      <c r="F241" s="39"/>
      <c r="G241" s="127"/>
      <c r="H241" s="127"/>
      <c r="I241" s="127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>
        <v>144.06779661016949</v>
      </c>
      <c r="W241" s="26">
        <v>144.06779661016949</v>
      </c>
      <c r="X241" s="26">
        <v>144.06779661016949</v>
      </c>
      <c r="Y241" s="26">
        <v>144.06779661016949</v>
      </c>
      <c r="Z241" s="124" t="s">
        <v>690</v>
      </c>
      <c r="AB241" s="16" t="s">
        <v>955</v>
      </c>
      <c r="AC241" s="38" t="s">
        <v>984</v>
      </c>
    </row>
    <row r="242" spans="1:29" ht="24.75" customHeight="1">
      <c r="A242" s="123"/>
      <c r="B242" s="21" t="s">
        <v>13</v>
      </c>
      <c r="C242" s="29" t="s">
        <v>959</v>
      </c>
      <c r="D242" s="23"/>
      <c r="E242" s="24"/>
      <c r="F242" s="39"/>
      <c r="G242" s="127"/>
      <c r="H242" s="127"/>
      <c r="I242" s="127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>
        <v>152.54237288135593</v>
      </c>
      <c r="W242" s="26">
        <v>152.54237288135593</v>
      </c>
      <c r="X242" s="26">
        <v>152.54237288135593</v>
      </c>
      <c r="Y242" s="26">
        <v>152.54237288135593</v>
      </c>
      <c r="Z242" s="124" t="s">
        <v>690</v>
      </c>
      <c r="AB242" s="16" t="s">
        <v>955</v>
      </c>
      <c r="AC242" s="38" t="s">
        <v>984</v>
      </c>
    </row>
    <row r="243" spans="1:29" ht="24.75" customHeight="1">
      <c r="A243" s="123"/>
      <c r="B243" s="21" t="s">
        <v>15</v>
      </c>
      <c r="C243" s="29" t="s">
        <v>960</v>
      </c>
      <c r="D243" s="23"/>
      <c r="E243" s="24"/>
      <c r="F243" s="39"/>
      <c r="G243" s="127"/>
      <c r="H243" s="127"/>
      <c r="I243" s="127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>
        <v>211.86440677966104</v>
      </c>
      <c r="W243" s="26">
        <v>211.86440677966104</v>
      </c>
      <c r="X243" s="26">
        <v>211.86440677966104</v>
      </c>
      <c r="Y243" s="26">
        <v>211.86440677966104</v>
      </c>
      <c r="Z243" s="124" t="s">
        <v>690</v>
      </c>
      <c r="AB243" s="16" t="s">
        <v>955</v>
      </c>
      <c r="AC243" s="38" t="s">
        <v>984</v>
      </c>
    </row>
    <row r="244" spans="1:29" ht="24.75" customHeight="1">
      <c r="A244" s="123"/>
      <c r="B244" s="21" t="s">
        <v>18</v>
      </c>
      <c r="C244" s="29" t="s">
        <v>961</v>
      </c>
      <c r="D244" s="23"/>
      <c r="E244" s="24"/>
      <c r="F244" s="39"/>
      <c r="G244" s="127"/>
      <c r="H244" s="127"/>
      <c r="I244" s="127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>
        <v>245.76271186440678</v>
      </c>
      <c r="W244" s="26">
        <v>245.76271186440678</v>
      </c>
      <c r="X244" s="26">
        <v>245.76271186440678</v>
      </c>
      <c r="Y244" s="26">
        <v>245.76271186440678</v>
      </c>
      <c r="Z244" s="124" t="s">
        <v>690</v>
      </c>
      <c r="AB244" s="16" t="s">
        <v>955</v>
      </c>
      <c r="AC244" s="38" t="s">
        <v>984</v>
      </c>
    </row>
    <row r="245" spans="1:29" ht="24.75" customHeight="1">
      <c r="A245" s="123"/>
      <c r="B245" s="21" t="s">
        <v>20</v>
      </c>
      <c r="C245" s="29" t="s">
        <v>962</v>
      </c>
      <c r="D245" s="23"/>
      <c r="E245" s="24"/>
      <c r="F245" s="39"/>
      <c r="G245" s="127"/>
      <c r="H245" s="127"/>
      <c r="I245" s="127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>
        <v>254.23728813559325</v>
      </c>
      <c r="W245" s="26">
        <v>254.23728813559325</v>
      </c>
      <c r="X245" s="26">
        <v>254.23728813559325</v>
      </c>
      <c r="Y245" s="26">
        <v>254.23728813559325</v>
      </c>
      <c r="Z245" s="124" t="s">
        <v>690</v>
      </c>
      <c r="AB245" s="16" t="s">
        <v>955</v>
      </c>
      <c r="AC245" s="38" t="s">
        <v>984</v>
      </c>
    </row>
    <row r="246" spans="1:29" ht="24.75" customHeight="1">
      <c r="A246" s="123"/>
      <c r="B246" s="21" t="s">
        <v>24</v>
      </c>
      <c r="C246" s="29" t="s">
        <v>963</v>
      </c>
      <c r="D246" s="23"/>
      <c r="E246" s="24"/>
      <c r="F246" s="39"/>
      <c r="G246" s="127"/>
      <c r="H246" s="127"/>
      <c r="I246" s="127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>
        <v>309.32203389830511</v>
      </c>
      <c r="W246" s="26">
        <v>309.32203389830511</v>
      </c>
      <c r="X246" s="26">
        <v>309.32203389830511</v>
      </c>
      <c r="Y246" s="26">
        <v>309.32203389830511</v>
      </c>
      <c r="Z246" s="124" t="s">
        <v>690</v>
      </c>
      <c r="AB246" s="16" t="s">
        <v>955</v>
      </c>
      <c r="AC246" s="38" t="s">
        <v>984</v>
      </c>
    </row>
    <row r="247" spans="1:29" ht="24.75" customHeight="1">
      <c r="A247" s="123"/>
      <c r="B247" s="21" t="s">
        <v>27</v>
      </c>
      <c r="C247" s="29" t="s">
        <v>964</v>
      </c>
      <c r="D247" s="23"/>
      <c r="E247" s="24"/>
      <c r="F247" s="39"/>
      <c r="G247" s="127"/>
      <c r="H247" s="127"/>
      <c r="I247" s="127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>
        <v>343.22033898305085</v>
      </c>
      <c r="W247" s="26">
        <v>343.22033898305085</v>
      </c>
      <c r="X247" s="26">
        <v>343.22033898305085</v>
      </c>
      <c r="Y247" s="26">
        <v>343.22033898305085</v>
      </c>
      <c r="Z247" s="124" t="s">
        <v>690</v>
      </c>
      <c r="AB247" s="16" t="s">
        <v>955</v>
      </c>
      <c r="AC247" s="38" t="s">
        <v>984</v>
      </c>
    </row>
    <row r="248" spans="1:29" ht="24.75" customHeight="1">
      <c r="A248" s="123"/>
      <c r="B248" s="21" t="s">
        <v>30</v>
      </c>
      <c r="C248" s="29" t="s">
        <v>965</v>
      </c>
      <c r="D248" s="23"/>
      <c r="E248" s="24"/>
      <c r="F248" s="39"/>
      <c r="G248" s="127"/>
      <c r="H248" s="127"/>
      <c r="I248" s="127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>
        <v>347.4576271186441</v>
      </c>
      <c r="W248" s="26">
        <v>347.4576271186441</v>
      </c>
      <c r="X248" s="26">
        <v>347.4576271186441</v>
      </c>
      <c r="Y248" s="26">
        <v>347.4576271186441</v>
      </c>
      <c r="Z248" s="124" t="s">
        <v>690</v>
      </c>
      <c r="AB248" s="16" t="s">
        <v>955</v>
      </c>
      <c r="AC248" s="38" t="s">
        <v>984</v>
      </c>
    </row>
    <row r="249" spans="1:29" ht="24.75" customHeight="1">
      <c r="A249" s="123"/>
      <c r="B249" s="21" t="s">
        <v>32</v>
      </c>
      <c r="C249" s="29" t="s">
        <v>966</v>
      </c>
      <c r="D249" s="23"/>
      <c r="E249" s="24"/>
      <c r="F249" s="39"/>
      <c r="G249" s="127"/>
      <c r="H249" s="127"/>
      <c r="I249" s="127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>
        <v>402.54237288135596</v>
      </c>
      <c r="W249" s="26">
        <v>402.54237288135596</v>
      </c>
      <c r="X249" s="26">
        <v>402.54237288135596</v>
      </c>
      <c r="Y249" s="26">
        <v>402.54237288135596</v>
      </c>
      <c r="Z249" s="124" t="s">
        <v>690</v>
      </c>
      <c r="AB249" s="16" t="s">
        <v>955</v>
      </c>
      <c r="AC249" s="38" t="s">
        <v>984</v>
      </c>
    </row>
    <row r="250" spans="1:29" ht="24.75" customHeight="1">
      <c r="A250" s="123"/>
      <c r="B250" s="21" t="s">
        <v>35</v>
      </c>
      <c r="C250" s="29" t="s">
        <v>967</v>
      </c>
      <c r="D250" s="23"/>
      <c r="E250" s="24"/>
      <c r="F250" s="39"/>
      <c r="G250" s="127"/>
      <c r="H250" s="127"/>
      <c r="I250" s="127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>
        <v>644.06779661016958</v>
      </c>
      <c r="W250" s="26">
        <v>644.06779661016958</v>
      </c>
      <c r="X250" s="26">
        <v>644.06779661016958</v>
      </c>
      <c r="Y250" s="26">
        <v>644.06779661016958</v>
      </c>
      <c r="Z250" s="124" t="s">
        <v>690</v>
      </c>
      <c r="AB250" s="16" t="s">
        <v>955</v>
      </c>
      <c r="AC250" s="38" t="s">
        <v>984</v>
      </c>
    </row>
    <row r="251" spans="1:29" ht="24.75" customHeight="1">
      <c r="A251" s="123"/>
      <c r="B251" s="21" t="s">
        <v>37</v>
      </c>
      <c r="C251" s="29" t="s">
        <v>968</v>
      </c>
      <c r="D251" s="23"/>
      <c r="E251" s="24"/>
      <c r="F251" s="39"/>
      <c r="G251" s="127"/>
      <c r="H251" s="127"/>
      <c r="I251" s="127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>
        <v>644.06779661016958</v>
      </c>
      <c r="W251" s="26">
        <v>644.06779661016958</v>
      </c>
      <c r="X251" s="26">
        <v>644.06779661016958</v>
      </c>
      <c r="Y251" s="26">
        <v>644.06779661016958</v>
      </c>
      <c r="Z251" s="124" t="s">
        <v>690</v>
      </c>
      <c r="AB251" s="16" t="s">
        <v>955</v>
      </c>
      <c r="AC251" s="38" t="s">
        <v>984</v>
      </c>
    </row>
    <row r="252" spans="1:29" ht="24.75" customHeight="1">
      <c r="A252" s="123"/>
      <c r="B252" s="21" t="s">
        <v>40</v>
      </c>
      <c r="C252" s="29" t="s">
        <v>969</v>
      </c>
      <c r="D252" s="23"/>
      <c r="E252" s="24"/>
      <c r="F252" s="39"/>
      <c r="G252" s="127"/>
      <c r="H252" s="127"/>
      <c r="I252" s="127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>
        <v>656.77966101694915</v>
      </c>
      <c r="W252" s="26">
        <v>656.77966101694915</v>
      </c>
      <c r="X252" s="26">
        <v>656.77966101694915</v>
      </c>
      <c r="Y252" s="26">
        <v>656.77966101694915</v>
      </c>
      <c r="Z252" s="124" t="s">
        <v>690</v>
      </c>
      <c r="AB252" s="16" t="s">
        <v>955</v>
      </c>
      <c r="AC252" s="38" t="s">
        <v>984</v>
      </c>
    </row>
    <row r="253" spans="1:29" ht="24.75" customHeight="1">
      <c r="A253" s="123"/>
      <c r="B253" s="21" t="s">
        <v>67</v>
      </c>
      <c r="C253" s="29" t="s">
        <v>970</v>
      </c>
      <c r="D253" s="23"/>
      <c r="E253" s="24"/>
      <c r="F253" s="39"/>
      <c r="G253" s="127"/>
      <c r="H253" s="127"/>
      <c r="I253" s="127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>
        <v>665.25423728813564</v>
      </c>
      <c r="W253" s="26">
        <v>665.25423728813564</v>
      </c>
      <c r="X253" s="26">
        <v>665.25423728813564</v>
      </c>
      <c r="Y253" s="26">
        <v>665.25423728813564</v>
      </c>
      <c r="Z253" s="124" t="s">
        <v>690</v>
      </c>
      <c r="AB253" s="16" t="s">
        <v>955</v>
      </c>
      <c r="AC253" s="38" t="s">
        <v>984</v>
      </c>
    </row>
    <row r="254" spans="1:29" ht="24.75" customHeight="1">
      <c r="A254" s="123"/>
      <c r="B254" s="21" t="s">
        <v>71</v>
      </c>
      <c r="C254" s="29" t="s">
        <v>971</v>
      </c>
      <c r="D254" s="23"/>
      <c r="E254" s="24"/>
      <c r="F254" s="39"/>
      <c r="G254" s="127"/>
      <c r="H254" s="127"/>
      <c r="I254" s="127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>
        <v>669.49152542372883</v>
      </c>
      <c r="W254" s="26">
        <v>669.49152542372883</v>
      </c>
      <c r="X254" s="26">
        <v>669.49152542372883</v>
      </c>
      <c r="Y254" s="26">
        <v>669.49152542372883</v>
      </c>
      <c r="Z254" s="124" t="s">
        <v>690</v>
      </c>
      <c r="AB254" s="16" t="s">
        <v>955</v>
      </c>
      <c r="AC254" s="38" t="s">
        <v>984</v>
      </c>
    </row>
    <row r="255" spans="1:29" ht="24.75" customHeight="1">
      <c r="A255" s="123"/>
      <c r="B255" s="21" t="s">
        <v>73</v>
      </c>
      <c r="C255" s="29" t="s">
        <v>972</v>
      </c>
      <c r="D255" s="23"/>
      <c r="E255" s="24"/>
      <c r="F255" s="39"/>
      <c r="G255" s="127"/>
      <c r="H255" s="127"/>
      <c r="I255" s="127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>
        <v>1190.6779661016949</v>
      </c>
      <c r="W255" s="26">
        <v>1190.6779661016949</v>
      </c>
      <c r="X255" s="26">
        <v>1190.6779661016949</v>
      </c>
      <c r="Y255" s="26">
        <v>1190.6779661016949</v>
      </c>
      <c r="Z255" s="124" t="s">
        <v>690</v>
      </c>
      <c r="AB255" s="16" t="s">
        <v>955</v>
      </c>
      <c r="AC255" s="38" t="s">
        <v>984</v>
      </c>
    </row>
    <row r="256" spans="1:29" ht="24.75" customHeight="1">
      <c r="A256" s="123"/>
      <c r="B256" s="21" t="s">
        <v>164</v>
      </c>
      <c r="C256" s="29" t="s">
        <v>973</v>
      </c>
      <c r="D256" s="23"/>
      <c r="E256" s="24"/>
      <c r="F256" s="39"/>
      <c r="G256" s="127"/>
      <c r="H256" s="127"/>
      <c r="I256" s="127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>
        <v>1211.8644067796611</v>
      </c>
      <c r="W256" s="26">
        <v>1211.8644067796611</v>
      </c>
      <c r="X256" s="26">
        <v>1211.8644067796611</v>
      </c>
      <c r="Y256" s="26">
        <v>1211.8644067796611</v>
      </c>
      <c r="Z256" s="124" t="s">
        <v>690</v>
      </c>
      <c r="AB256" s="16" t="s">
        <v>955</v>
      </c>
      <c r="AC256" s="38" t="s">
        <v>984</v>
      </c>
    </row>
    <row r="257" spans="1:30" ht="24.75" customHeight="1">
      <c r="A257" s="123"/>
      <c r="B257" s="21" t="s">
        <v>208</v>
      </c>
      <c r="C257" s="29" t="s">
        <v>974</v>
      </c>
      <c r="D257" s="23"/>
      <c r="E257" s="24"/>
      <c r="F257" s="39"/>
      <c r="G257" s="127"/>
      <c r="H257" s="127"/>
      <c r="I257" s="127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>
        <v>1220.3389830508474</v>
      </c>
      <c r="W257" s="26">
        <v>1220.3389830508474</v>
      </c>
      <c r="X257" s="26">
        <v>1220.3389830508474</v>
      </c>
      <c r="Y257" s="26">
        <v>1220.3389830508474</v>
      </c>
      <c r="Z257" s="124" t="s">
        <v>690</v>
      </c>
      <c r="AB257" s="16" t="s">
        <v>955</v>
      </c>
      <c r="AC257" s="38" t="s">
        <v>984</v>
      </c>
    </row>
    <row r="258" spans="1:30" ht="24.75" customHeight="1">
      <c r="A258" s="123"/>
      <c r="B258" s="21" t="s">
        <v>835</v>
      </c>
      <c r="C258" s="29" t="s">
        <v>975</v>
      </c>
      <c r="D258" s="23"/>
      <c r="E258" s="24"/>
      <c r="F258" s="39"/>
      <c r="G258" s="127"/>
      <c r="H258" s="127"/>
      <c r="I258" s="127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>
        <v>1237.2881355932204</v>
      </c>
      <c r="W258" s="26">
        <v>1237.2881355932204</v>
      </c>
      <c r="X258" s="26">
        <v>1237.2881355932204</v>
      </c>
      <c r="Y258" s="26">
        <v>1237.2881355932204</v>
      </c>
      <c r="Z258" s="124" t="s">
        <v>690</v>
      </c>
      <c r="AB258" s="16" t="s">
        <v>955</v>
      </c>
      <c r="AC258" s="38" t="s">
        <v>984</v>
      </c>
    </row>
    <row r="259" spans="1:30" ht="24.75" customHeight="1">
      <c r="A259" s="123"/>
      <c r="B259" s="21" t="s">
        <v>837</v>
      </c>
      <c r="C259" s="29" t="s">
        <v>976</v>
      </c>
      <c r="D259" s="23"/>
      <c r="E259" s="24"/>
      <c r="F259" s="39"/>
      <c r="G259" s="127"/>
      <c r="H259" s="127"/>
      <c r="I259" s="127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>
        <v>1690.6779661016949</v>
      </c>
      <c r="W259" s="26">
        <v>1690.6779661016949</v>
      </c>
      <c r="X259" s="26">
        <v>1690.6779661016949</v>
      </c>
      <c r="Y259" s="26">
        <v>1690.6779661016949</v>
      </c>
      <c r="Z259" s="124" t="s">
        <v>690</v>
      </c>
      <c r="AB259" s="16" t="s">
        <v>955</v>
      </c>
      <c r="AC259" s="38" t="s">
        <v>984</v>
      </c>
    </row>
    <row r="260" spans="1:30" ht="24.75" customHeight="1">
      <c r="A260" s="123"/>
      <c r="B260" s="21" t="s">
        <v>839</v>
      </c>
      <c r="C260" s="29" t="s">
        <v>977</v>
      </c>
      <c r="D260" s="23"/>
      <c r="E260" s="24"/>
      <c r="F260" s="39"/>
      <c r="G260" s="127"/>
      <c r="H260" s="127"/>
      <c r="I260" s="127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>
        <v>1766.949152542373</v>
      </c>
      <c r="W260" s="26">
        <v>1766.949152542373</v>
      </c>
      <c r="X260" s="26">
        <v>1766.949152542373</v>
      </c>
      <c r="Y260" s="26">
        <v>1766.949152542373</v>
      </c>
      <c r="Z260" s="124" t="s">
        <v>690</v>
      </c>
      <c r="AB260" s="16" t="s">
        <v>955</v>
      </c>
      <c r="AC260" s="38" t="s">
        <v>984</v>
      </c>
    </row>
    <row r="261" spans="1:30" ht="24.75" customHeight="1">
      <c r="A261" s="123"/>
      <c r="B261" s="21" t="s">
        <v>841</v>
      </c>
      <c r="C261" s="29" t="s">
        <v>978</v>
      </c>
      <c r="D261" s="23"/>
      <c r="E261" s="24"/>
      <c r="F261" s="39"/>
      <c r="G261" s="127"/>
      <c r="H261" s="127"/>
      <c r="I261" s="127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>
        <v>1796.6101694915255</v>
      </c>
      <c r="W261" s="26">
        <v>1796.6101694915255</v>
      </c>
      <c r="X261" s="26">
        <v>1796.6101694915255</v>
      </c>
      <c r="Y261" s="26">
        <v>1796.6101694915255</v>
      </c>
      <c r="Z261" s="124" t="s">
        <v>690</v>
      </c>
      <c r="AB261" s="16" t="s">
        <v>955</v>
      </c>
      <c r="AC261" s="38" t="s">
        <v>984</v>
      </c>
    </row>
    <row r="262" spans="1:30" ht="24.75" customHeight="1">
      <c r="A262" s="123"/>
      <c r="B262" s="21" t="s">
        <v>843</v>
      </c>
      <c r="C262" s="29" t="s">
        <v>979</v>
      </c>
      <c r="D262" s="23"/>
      <c r="E262" s="24"/>
      <c r="F262" s="39"/>
      <c r="G262" s="127"/>
      <c r="H262" s="127"/>
      <c r="I262" s="127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>
        <v>1813.5593220338983</v>
      </c>
      <c r="W262" s="26">
        <v>1813.5593220338983</v>
      </c>
      <c r="X262" s="26">
        <v>1813.5593220338983</v>
      </c>
      <c r="Y262" s="26">
        <v>1813.5593220338983</v>
      </c>
      <c r="Z262" s="124" t="s">
        <v>690</v>
      </c>
      <c r="AB262" s="16" t="s">
        <v>955</v>
      </c>
      <c r="AC262" s="38" t="s">
        <v>984</v>
      </c>
    </row>
    <row r="263" spans="1:30" ht="24.75" customHeight="1">
      <c r="A263" s="123"/>
      <c r="B263" s="21" t="s">
        <v>845</v>
      </c>
      <c r="C263" s="29" t="s">
        <v>980</v>
      </c>
      <c r="D263" s="23"/>
      <c r="E263" s="24"/>
      <c r="F263" s="39"/>
      <c r="G263" s="127"/>
      <c r="H263" s="127"/>
      <c r="I263" s="127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>
        <v>2665.2542372881358</v>
      </c>
      <c r="W263" s="26">
        <v>2665.2542372881358</v>
      </c>
      <c r="X263" s="26">
        <v>2665.2542372881358</v>
      </c>
      <c r="Y263" s="26">
        <v>2665.2542372881358</v>
      </c>
      <c r="Z263" s="124" t="s">
        <v>690</v>
      </c>
      <c r="AB263" s="16" t="s">
        <v>955</v>
      </c>
      <c r="AC263" s="38" t="s">
        <v>984</v>
      </c>
    </row>
    <row r="264" spans="1:30" ht="24.75" customHeight="1">
      <c r="A264" s="123"/>
      <c r="B264" s="21" t="s">
        <v>847</v>
      </c>
      <c r="C264" s="29" t="s">
        <v>981</v>
      </c>
      <c r="D264" s="23"/>
      <c r="E264" s="24"/>
      <c r="F264" s="39"/>
      <c r="G264" s="127"/>
      <c r="H264" s="127"/>
      <c r="I264" s="127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>
        <v>2800.8474576271187</v>
      </c>
      <c r="W264" s="26">
        <v>2800.8474576271187</v>
      </c>
      <c r="X264" s="26">
        <v>2800.8474576271187</v>
      </c>
      <c r="Y264" s="26">
        <v>2800.8474576271187</v>
      </c>
      <c r="Z264" s="124" t="s">
        <v>690</v>
      </c>
      <c r="AB264" s="16" t="s">
        <v>955</v>
      </c>
      <c r="AC264" s="38" t="s">
        <v>984</v>
      </c>
    </row>
    <row r="265" spans="1:30" ht="24.75" customHeight="1">
      <c r="A265" s="123"/>
      <c r="B265" s="21" t="s">
        <v>849</v>
      </c>
      <c r="C265" s="29" t="s">
        <v>982</v>
      </c>
      <c r="D265" s="23"/>
      <c r="E265" s="24"/>
      <c r="F265" s="39"/>
      <c r="G265" s="127"/>
      <c r="H265" s="127"/>
      <c r="I265" s="127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>
        <v>2838.9830508474579</v>
      </c>
      <c r="W265" s="26">
        <v>2838.9830508474579</v>
      </c>
      <c r="X265" s="26">
        <v>2838.9830508474579</v>
      </c>
      <c r="Y265" s="26">
        <v>2838.9830508474579</v>
      </c>
      <c r="Z265" s="124" t="s">
        <v>690</v>
      </c>
      <c r="AB265" s="16" t="s">
        <v>955</v>
      </c>
      <c r="AC265" s="38" t="s">
        <v>984</v>
      </c>
    </row>
    <row r="266" spans="1:30" ht="24.75" customHeight="1">
      <c r="A266" s="123"/>
      <c r="B266" s="21" t="s">
        <v>851</v>
      </c>
      <c r="C266" s="29" t="s">
        <v>983</v>
      </c>
      <c r="D266" s="23"/>
      <c r="E266" s="24"/>
      <c r="F266" s="39"/>
      <c r="G266" s="127"/>
      <c r="H266" s="127"/>
      <c r="I266" s="127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>
        <v>2898.305084745763</v>
      </c>
      <c r="W266" s="26">
        <v>2898.305084745763</v>
      </c>
      <c r="X266" s="26">
        <v>2898.305084745763</v>
      </c>
      <c r="Y266" s="26">
        <v>2898.305084745763</v>
      </c>
      <c r="Z266" s="124" t="s">
        <v>690</v>
      </c>
      <c r="AB266" s="16" t="s">
        <v>955</v>
      </c>
      <c r="AC266" s="38" t="s">
        <v>984</v>
      </c>
    </row>
    <row r="267" spans="1:30" ht="24.75" customHeight="1">
      <c r="A267" s="123"/>
      <c r="B267" s="15"/>
      <c r="C267" s="16" t="s">
        <v>985</v>
      </c>
      <c r="D267" s="23"/>
      <c r="E267" s="24"/>
      <c r="F267" s="39"/>
      <c r="G267" s="127"/>
      <c r="H267" s="127"/>
      <c r="I267" s="127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130"/>
    </row>
    <row r="268" spans="1:30" ht="24.75" customHeight="1">
      <c r="A268" s="123"/>
      <c r="B268" s="21" t="s">
        <v>8</v>
      </c>
      <c r="C268" s="29" t="s">
        <v>986</v>
      </c>
      <c r="D268" s="23"/>
      <c r="E268" s="24"/>
      <c r="F268" s="39"/>
      <c r="G268" s="127"/>
      <c r="H268" s="127"/>
      <c r="I268" s="127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>
        <v>2372.8813559322034</v>
      </c>
      <c r="W268" s="26">
        <v>2372.8813559322034</v>
      </c>
      <c r="X268" s="26">
        <v>2372.8813559322034</v>
      </c>
      <c r="Y268" s="26">
        <v>2372.8813559322034</v>
      </c>
      <c r="Z268" s="124" t="s">
        <v>690</v>
      </c>
      <c r="AB268" s="16" t="s">
        <v>985</v>
      </c>
      <c r="AC268" s="111"/>
      <c r="AD268" s="105"/>
    </row>
    <row r="269" spans="1:30" ht="24.75" customHeight="1">
      <c r="A269" s="123"/>
      <c r="B269" s="21" t="s">
        <v>11</v>
      </c>
      <c r="C269" s="29" t="s">
        <v>987</v>
      </c>
      <c r="D269" s="23"/>
      <c r="E269" s="24"/>
      <c r="F269" s="39"/>
      <c r="G269" s="127"/>
      <c r="H269" s="127"/>
      <c r="I269" s="127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>
        <v>1415.2542372881358</v>
      </c>
      <c r="W269" s="26">
        <v>1415.2542372881358</v>
      </c>
      <c r="X269" s="26">
        <v>1415.2542372881358</v>
      </c>
      <c r="Y269" s="26">
        <v>1415.2542372881358</v>
      </c>
      <c r="Z269" s="124" t="s">
        <v>690</v>
      </c>
      <c r="AB269" s="16" t="s">
        <v>985</v>
      </c>
      <c r="AC269" s="111"/>
      <c r="AD269" s="105"/>
    </row>
    <row r="270" spans="1:30" ht="24.75" customHeight="1">
      <c r="A270" s="123"/>
      <c r="B270" s="21" t="s">
        <v>13</v>
      </c>
      <c r="C270" s="29" t="s">
        <v>988</v>
      </c>
      <c r="D270" s="23"/>
      <c r="E270" s="24"/>
      <c r="F270" s="39"/>
      <c r="G270" s="127"/>
      <c r="H270" s="127"/>
      <c r="I270" s="127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>
        <v>639.83050847457628</v>
      </c>
      <c r="W270" s="26">
        <v>639.83050847457628</v>
      </c>
      <c r="X270" s="26">
        <v>639.83050847457628</v>
      </c>
      <c r="Y270" s="26">
        <v>639.83050847457628</v>
      </c>
      <c r="Z270" s="124" t="s">
        <v>690</v>
      </c>
      <c r="AB270" s="16" t="s">
        <v>985</v>
      </c>
      <c r="AC270" s="111"/>
      <c r="AD270" s="105"/>
    </row>
    <row r="271" spans="1:30" ht="24.75" customHeight="1">
      <c r="A271" s="123"/>
      <c r="B271" s="21" t="s">
        <v>15</v>
      </c>
      <c r="C271" s="29" t="s">
        <v>989</v>
      </c>
      <c r="D271" s="23"/>
      <c r="E271" s="24"/>
      <c r="F271" s="39"/>
      <c r="G271" s="127"/>
      <c r="H271" s="127"/>
      <c r="I271" s="127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>
        <v>279.66101694915255</v>
      </c>
      <c r="W271" s="26">
        <v>279.66101694915255</v>
      </c>
      <c r="X271" s="26">
        <v>279.66101694915255</v>
      </c>
      <c r="Y271" s="26">
        <v>279.66101694915255</v>
      </c>
      <c r="Z271" s="124" t="s">
        <v>690</v>
      </c>
      <c r="AB271" s="16" t="s">
        <v>985</v>
      </c>
      <c r="AC271" s="111"/>
      <c r="AD271" s="105"/>
    </row>
    <row r="272" spans="1:30" ht="24.75" customHeight="1">
      <c r="A272" s="123"/>
      <c r="B272" s="21" t="s">
        <v>18</v>
      </c>
      <c r="C272" s="29" t="s">
        <v>990</v>
      </c>
      <c r="D272" s="23"/>
      <c r="E272" s="24"/>
      <c r="F272" s="39"/>
      <c r="G272" s="127"/>
      <c r="H272" s="127"/>
      <c r="I272" s="127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>
        <v>898.30508474576277</v>
      </c>
      <c r="W272" s="26">
        <v>898.30508474576277</v>
      </c>
      <c r="X272" s="26">
        <v>898.30508474576277</v>
      </c>
      <c r="Y272" s="26">
        <v>898.30508474576277</v>
      </c>
      <c r="Z272" s="124" t="s">
        <v>690</v>
      </c>
      <c r="AB272" s="16" t="s">
        <v>985</v>
      </c>
      <c r="AC272" s="111"/>
      <c r="AD272" s="105"/>
    </row>
    <row r="273" spans="1:30" ht="24.75" customHeight="1">
      <c r="A273" s="123"/>
      <c r="B273" s="21" t="s">
        <v>20</v>
      </c>
      <c r="C273" s="29" t="s">
        <v>991</v>
      </c>
      <c r="D273" s="23"/>
      <c r="E273" s="24"/>
      <c r="F273" s="39"/>
      <c r="G273" s="127"/>
      <c r="H273" s="127"/>
      <c r="I273" s="127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>
        <v>254.23728813559325</v>
      </c>
      <c r="W273" s="26">
        <v>254.23728813559325</v>
      </c>
      <c r="X273" s="26">
        <v>254.23728813559325</v>
      </c>
      <c r="Y273" s="26">
        <v>254.23728813559325</v>
      </c>
      <c r="Z273" s="124" t="s">
        <v>690</v>
      </c>
      <c r="AB273" s="16" t="s">
        <v>985</v>
      </c>
      <c r="AC273" s="111"/>
      <c r="AD273" s="105"/>
    </row>
    <row r="274" spans="1:30" ht="24.75" customHeight="1">
      <c r="A274" s="123"/>
      <c r="B274" s="21" t="s">
        <v>24</v>
      </c>
      <c r="C274" s="29" t="s">
        <v>992</v>
      </c>
      <c r="D274" s="23"/>
      <c r="E274" s="24"/>
      <c r="F274" s="39"/>
      <c r="G274" s="127"/>
      <c r="H274" s="127"/>
      <c r="I274" s="127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>
        <v>1677.9661016949153</v>
      </c>
      <c r="W274" s="26">
        <v>1677.9661016949153</v>
      </c>
      <c r="X274" s="26">
        <v>1677.9661016949153</v>
      </c>
      <c r="Y274" s="26">
        <v>1677.9661016949153</v>
      </c>
      <c r="Z274" s="124" t="s">
        <v>690</v>
      </c>
      <c r="AB274" s="16" t="s">
        <v>985</v>
      </c>
      <c r="AC274" s="111"/>
      <c r="AD274" s="105"/>
    </row>
    <row r="275" spans="1:30" ht="24.75" customHeight="1">
      <c r="A275" s="123"/>
      <c r="B275" s="21" t="s">
        <v>27</v>
      </c>
      <c r="C275" s="29" t="s">
        <v>993</v>
      </c>
      <c r="D275" s="23"/>
      <c r="E275" s="24"/>
      <c r="F275" s="39"/>
      <c r="G275" s="127"/>
      <c r="H275" s="127"/>
      <c r="I275" s="127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>
        <v>152.54237288135593</v>
      </c>
      <c r="W275" s="26">
        <v>152.54237288135593</v>
      </c>
      <c r="X275" s="26">
        <v>152.54237288135593</v>
      </c>
      <c r="Y275" s="26">
        <v>152.54237288135593</v>
      </c>
      <c r="Z275" s="124" t="s">
        <v>690</v>
      </c>
      <c r="AB275" s="16" t="s">
        <v>985</v>
      </c>
      <c r="AC275" s="111"/>
      <c r="AD275" s="105"/>
    </row>
    <row r="276" spans="1:30" ht="24.75" customHeight="1">
      <c r="A276" s="123"/>
      <c r="B276" s="21" t="s">
        <v>30</v>
      </c>
      <c r="C276" s="29" t="s">
        <v>994</v>
      </c>
      <c r="D276" s="23"/>
      <c r="E276" s="24"/>
      <c r="F276" s="39"/>
      <c r="G276" s="127"/>
      <c r="H276" s="127"/>
      <c r="I276" s="127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>
        <v>76.271186440677965</v>
      </c>
      <c r="W276" s="26">
        <v>76.271186440677965</v>
      </c>
      <c r="X276" s="26">
        <v>76.271186440677965</v>
      </c>
      <c r="Y276" s="26">
        <v>76.271186440677965</v>
      </c>
      <c r="Z276" s="124" t="s">
        <v>690</v>
      </c>
      <c r="AB276" s="16" t="s">
        <v>985</v>
      </c>
      <c r="AC276" s="111"/>
      <c r="AD276" s="105"/>
    </row>
    <row r="277" spans="1:30" ht="24.75" customHeight="1">
      <c r="A277" s="123"/>
      <c r="B277" s="21" t="s">
        <v>32</v>
      </c>
      <c r="C277" s="29" t="s">
        <v>995</v>
      </c>
      <c r="D277" s="23"/>
      <c r="E277" s="24"/>
      <c r="F277" s="39"/>
      <c r="G277" s="127"/>
      <c r="H277" s="127"/>
      <c r="I277" s="127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>
        <v>411.0169491525424</v>
      </c>
      <c r="W277" s="26">
        <v>411.0169491525424</v>
      </c>
      <c r="X277" s="26">
        <v>411.0169491525424</v>
      </c>
      <c r="Y277" s="26">
        <v>411.0169491525424</v>
      </c>
      <c r="Z277" s="124" t="s">
        <v>690</v>
      </c>
      <c r="AB277" s="16" t="s">
        <v>985</v>
      </c>
      <c r="AC277" s="111"/>
      <c r="AD277" s="105"/>
    </row>
    <row r="278" spans="1:30" ht="24.75" customHeight="1">
      <c r="A278" s="123"/>
      <c r="B278" s="21" t="s">
        <v>35</v>
      </c>
      <c r="C278" s="29" t="s">
        <v>996</v>
      </c>
      <c r="D278" s="23"/>
      <c r="E278" s="24"/>
      <c r="F278" s="39"/>
      <c r="G278" s="127"/>
      <c r="H278" s="127"/>
      <c r="I278" s="127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>
        <v>334.74576271186442</v>
      </c>
      <c r="W278" s="26">
        <v>334.74576271186442</v>
      </c>
      <c r="X278" s="26">
        <v>334.74576271186442</v>
      </c>
      <c r="Y278" s="26">
        <v>334.74576271186442</v>
      </c>
      <c r="Z278" s="124" t="s">
        <v>690</v>
      </c>
      <c r="AB278" s="16" t="s">
        <v>985</v>
      </c>
      <c r="AC278" s="111"/>
      <c r="AD278" s="105"/>
    </row>
    <row r="279" spans="1:30" ht="24.75" customHeight="1">
      <c r="A279" s="123"/>
      <c r="B279" s="21" t="s">
        <v>37</v>
      </c>
      <c r="C279" s="29" t="s">
        <v>997</v>
      </c>
      <c r="D279" s="23"/>
      <c r="E279" s="24"/>
      <c r="F279" s="39"/>
      <c r="G279" s="127"/>
      <c r="H279" s="127"/>
      <c r="I279" s="127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>
        <v>66.101694915254242</v>
      </c>
      <c r="W279" s="26">
        <v>66.101694915254242</v>
      </c>
      <c r="X279" s="26">
        <v>66.101694915254242</v>
      </c>
      <c r="Y279" s="26">
        <v>66.101694915254242</v>
      </c>
      <c r="Z279" s="124" t="s">
        <v>690</v>
      </c>
      <c r="AB279" s="16" t="s">
        <v>985</v>
      </c>
      <c r="AC279" s="111"/>
      <c r="AD279" s="105"/>
    </row>
    <row r="280" spans="1:30" ht="24.75" customHeight="1">
      <c r="A280" s="123"/>
      <c r="B280" s="15"/>
      <c r="C280" s="16" t="s">
        <v>998</v>
      </c>
      <c r="D280" s="23"/>
      <c r="E280" s="24"/>
      <c r="F280" s="39"/>
      <c r="G280" s="127"/>
      <c r="H280" s="127"/>
      <c r="I280" s="127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128"/>
      <c r="AB280" s="105"/>
      <c r="AC280" s="105"/>
      <c r="AD280" s="105"/>
    </row>
    <row r="281" spans="1:30" ht="24.75" customHeight="1">
      <c r="A281" s="123"/>
      <c r="B281" s="15"/>
      <c r="C281" s="38" t="s">
        <v>999</v>
      </c>
      <c r="D281" s="23"/>
      <c r="E281" s="24"/>
      <c r="F281" s="39"/>
      <c r="G281" s="127"/>
      <c r="H281" s="127"/>
      <c r="I281" s="127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128"/>
      <c r="AB281" s="105"/>
      <c r="AC281" s="105"/>
      <c r="AD281" s="105"/>
    </row>
    <row r="282" spans="1:30" ht="24.75" customHeight="1">
      <c r="A282" s="123"/>
      <c r="B282" s="21" t="s">
        <v>8</v>
      </c>
      <c r="C282" s="29" t="s">
        <v>1000</v>
      </c>
      <c r="D282" s="23"/>
      <c r="E282" s="24"/>
      <c r="F282" s="39"/>
      <c r="G282" s="127"/>
      <c r="H282" s="127"/>
      <c r="I282" s="127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>
        <v>233.05084745762713</v>
      </c>
      <c r="W282" s="26">
        <v>233.05084745762713</v>
      </c>
      <c r="X282" s="26">
        <v>233.05084745762713</v>
      </c>
      <c r="Y282" s="26">
        <v>233.05084745762713</v>
      </c>
      <c r="Z282" s="124" t="s">
        <v>690</v>
      </c>
      <c r="AB282" s="16" t="s">
        <v>998</v>
      </c>
      <c r="AC282" s="38" t="s">
        <v>999</v>
      </c>
      <c r="AD282" s="105"/>
    </row>
    <row r="283" spans="1:30" ht="24.75" customHeight="1">
      <c r="A283" s="123"/>
      <c r="B283" s="21" t="s">
        <v>11</v>
      </c>
      <c r="C283" s="29" t="s">
        <v>1001</v>
      </c>
      <c r="D283" s="23"/>
      <c r="E283" s="24"/>
      <c r="F283" s="39"/>
      <c r="G283" s="127"/>
      <c r="H283" s="127"/>
      <c r="I283" s="127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>
        <v>279.66101694915255</v>
      </c>
      <c r="W283" s="26">
        <v>279.66101694915255</v>
      </c>
      <c r="X283" s="26">
        <v>279.66101694915255</v>
      </c>
      <c r="Y283" s="26">
        <v>279.66101694915255</v>
      </c>
      <c r="Z283" s="124" t="s">
        <v>690</v>
      </c>
      <c r="AB283" s="16" t="s">
        <v>998</v>
      </c>
      <c r="AC283" s="38" t="s">
        <v>1427</v>
      </c>
      <c r="AD283" s="105"/>
    </row>
    <row r="284" spans="1:30" ht="24.75" customHeight="1">
      <c r="A284" s="123"/>
      <c r="B284" s="21" t="s">
        <v>13</v>
      </c>
      <c r="C284" s="29" t="s">
        <v>1002</v>
      </c>
      <c r="D284" s="23"/>
      <c r="E284" s="24"/>
      <c r="F284" s="39"/>
      <c r="G284" s="127"/>
      <c r="H284" s="127"/>
      <c r="I284" s="127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>
        <v>381.35593220338984</v>
      </c>
      <c r="W284" s="26">
        <v>381.35593220338984</v>
      </c>
      <c r="X284" s="26">
        <v>381.35593220338984</v>
      </c>
      <c r="Y284" s="26">
        <v>381.35593220338984</v>
      </c>
      <c r="Z284" s="124" t="s">
        <v>690</v>
      </c>
      <c r="AB284" s="16" t="s">
        <v>998</v>
      </c>
      <c r="AC284" s="38" t="s">
        <v>1428</v>
      </c>
    </row>
    <row r="285" spans="1:30" ht="24.75" customHeight="1">
      <c r="A285" s="123"/>
      <c r="B285" s="21" t="s">
        <v>15</v>
      </c>
      <c r="C285" s="29" t="s">
        <v>1003</v>
      </c>
      <c r="D285" s="23"/>
      <c r="E285" s="24"/>
      <c r="F285" s="39"/>
      <c r="G285" s="127"/>
      <c r="H285" s="127"/>
      <c r="I285" s="127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>
        <v>974.57627118644075</v>
      </c>
      <c r="W285" s="26">
        <v>974.57627118644075</v>
      </c>
      <c r="X285" s="26">
        <v>974.57627118644075</v>
      </c>
      <c r="Y285" s="26">
        <v>974.57627118644075</v>
      </c>
      <c r="Z285" s="124" t="s">
        <v>690</v>
      </c>
      <c r="AB285" s="16" t="s">
        <v>998</v>
      </c>
      <c r="AC285" s="38" t="s">
        <v>1429</v>
      </c>
    </row>
    <row r="286" spans="1:30" ht="24.75" customHeight="1">
      <c r="A286" s="123"/>
      <c r="B286" s="21" t="s">
        <v>18</v>
      </c>
      <c r="C286" s="29" t="s">
        <v>1004</v>
      </c>
      <c r="D286" s="23"/>
      <c r="E286" s="24"/>
      <c r="F286" s="39"/>
      <c r="G286" s="127"/>
      <c r="H286" s="127"/>
      <c r="I286" s="127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>
        <v>2254.2372881355932</v>
      </c>
      <c r="W286" s="26">
        <v>2254.2372881355932</v>
      </c>
      <c r="X286" s="26">
        <v>2254.2372881355932</v>
      </c>
      <c r="Y286" s="26">
        <v>2254.2372881355932</v>
      </c>
      <c r="Z286" s="124" t="s">
        <v>690</v>
      </c>
      <c r="AB286" s="16" t="s">
        <v>998</v>
      </c>
      <c r="AC286" s="38" t="s">
        <v>1430</v>
      </c>
    </row>
    <row r="287" spans="1:30" ht="24.75" customHeight="1">
      <c r="A287" s="123"/>
      <c r="B287" s="21"/>
      <c r="C287" s="38" t="s">
        <v>1005</v>
      </c>
      <c r="D287" s="23"/>
      <c r="E287" s="24"/>
      <c r="F287" s="39"/>
      <c r="G287" s="127"/>
      <c r="H287" s="127"/>
      <c r="I287" s="127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>
        <v>0</v>
      </c>
      <c r="W287" s="26">
        <v>0</v>
      </c>
      <c r="X287" s="26">
        <v>0</v>
      </c>
      <c r="Y287" s="26">
        <v>0</v>
      </c>
      <c r="Z287" s="128"/>
      <c r="AB287" s="16" t="s">
        <v>998</v>
      </c>
      <c r="AC287" s="111"/>
    </row>
    <row r="288" spans="1:30" ht="24.75" customHeight="1">
      <c r="A288" s="123"/>
      <c r="B288" s="21" t="s">
        <v>8</v>
      </c>
      <c r="C288" s="29" t="s">
        <v>1000</v>
      </c>
      <c r="D288" s="23"/>
      <c r="E288" s="24"/>
      <c r="F288" s="39"/>
      <c r="G288" s="127"/>
      <c r="H288" s="127"/>
      <c r="I288" s="127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>
        <v>224.57627118644069</v>
      </c>
      <c r="W288" s="26">
        <v>224.57627118644069</v>
      </c>
      <c r="X288" s="26">
        <v>224.57627118644069</v>
      </c>
      <c r="Y288" s="26">
        <v>224.57627118644069</v>
      </c>
      <c r="Z288" s="124" t="s">
        <v>690</v>
      </c>
      <c r="AB288" s="16" t="s">
        <v>998</v>
      </c>
      <c r="AC288" s="38" t="s">
        <v>1005</v>
      </c>
    </row>
    <row r="289" spans="1:29" ht="24.75" customHeight="1">
      <c r="A289" s="123"/>
      <c r="B289" s="21" t="s">
        <v>11</v>
      </c>
      <c r="C289" s="29" t="s">
        <v>1001</v>
      </c>
      <c r="D289" s="23"/>
      <c r="E289" s="24"/>
      <c r="F289" s="39"/>
      <c r="G289" s="127"/>
      <c r="H289" s="127"/>
      <c r="I289" s="127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>
        <v>288.13559322033899</v>
      </c>
      <c r="W289" s="26">
        <v>288.13559322033899</v>
      </c>
      <c r="X289" s="26">
        <v>288.13559322033899</v>
      </c>
      <c r="Y289" s="26">
        <v>288.13559322033899</v>
      </c>
      <c r="Z289" s="124" t="s">
        <v>690</v>
      </c>
      <c r="AB289" s="16" t="s">
        <v>998</v>
      </c>
      <c r="AC289" s="38" t="s">
        <v>1431</v>
      </c>
    </row>
    <row r="290" spans="1:29" ht="24.75" customHeight="1">
      <c r="A290" s="123"/>
      <c r="B290" s="21" t="s">
        <v>13</v>
      </c>
      <c r="C290" s="29" t="s">
        <v>1002</v>
      </c>
      <c r="D290" s="23"/>
      <c r="E290" s="24"/>
      <c r="F290" s="39"/>
      <c r="G290" s="127"/>
      <c r="H290" s="127"/>
      <c r="I290" s="127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>
        <v>436.4406779661017</v>
      </c>
      <c r="W290" s="26">
        <v>436.4406779661017</v>
      </c>
      <c r="X290" s="26">
        <v>436.4406779661017</v>
      </c>
      <c r="Y290" s="26">
        <v>436.4406779661017</v>
      </c>
      <c r="Z290" s="124" t="s">
        <v>690</v>
      </c>
      <c r="AB290" s="16" t="s">
        <v>998</v>
      </c>
      <c r="AC290" s="38" t="s">
        <v>1432</v>
      </c>
    </row>
    <row r="291" spans="1:29" ht="24.75" customHeight="1">
      <c r="A291" s="123"/>
      <c r="B291" s="21" t="s">
        <v>15</v>
      </c>
      <c r="C291" s="29" t="s">
        <v>1003</v>
      </c>
      <c r="D291" s="23"/>
      <c r="E291" s="24"/>
      <c r="F291" s="39"/>
      <c r="G291" s="127"/>
      <c r="H291" s="127"/>
      <c r="I291" s="127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>
        <v>940.67796610169501</v>
      </c>
      <c r="W291" s="26">
        <v>940.67796610169501</v>
      </c>
      <c r="X291" s="26">
        <v>940.67796610169501</v>
      </c>
      <c r="Y291" s="26">
        <v>940.67796610169501</v>
      </c>
      <c r="Z291" s="124" t="s">
        <v>690</v>
      </c>
      <c r="AB291" s="16" t="s">
        <v>998</v>
      </c>
      <c r="AC291" s="38" t="s">
        <v>1433</v>
      </c>
    </row>
    <row r="292" spans="1:29" ht="24.75" customHeight="1">
      <c r="A292" s="123"/>
      <c r="B292" s="21" t="s">
        <v>18</v>
      </c>
      <c r="C292" s="29" t="s">
        <v>1004</v>
      </c>
      <c r="D292" s="23"/>
      <c r="E292" s="24"/>
      <c r="F292" s="39"/>
      <c r="G292" s="127"/>
      <c r="H292" s="127"/>
      <c r="I292" s="127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>
        <v>2864.406779661017</v>
      </c>
      <c r="W292" s="26">
        <v>2864.406779661017</v>
      </c>
      <c r="X292" s="26">
        <v>2864.406779661017</v>
      </c>
      <c r="Y292" s="26">
        <v>2864.406779661017</v>
      </c>
      <c r="Z292" s="124" t="s">
        <v>690</v>
      </c>
      <c r="AB292" s="16" t="s">
        <v>998</v>
      </c>
      <c r="AC292" s="38" t="s">
        <v>1434</v>
      </c>
    </row>
    <row r="293" spans="1:29" ht="24.75" customHeight="1">
      <c r="A293" s="123"/>
      <c r="B293" s="21"/>
      <c r="C293" s="38" t="s">
        <v>1006</v>
      </c>
      <c r="D293" s="23"/>
      <c r="E293" s="24"/>
      <c r="F293" s="39"/>
      <c r="G293" s="127"/>
      <c r="H293" s="127"/>
      <c r="I293" s="127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>
        <v>0</v>
      </c>
      <c r="W293" s="26">
        <v>0</v>
      </c>
      <c r="X293" s="26">
        <v>0</v>
      </c>
      <c r="Y293" s="26">
        <v>0</v>
      </c>
      <c r="Z293" s="128"/>
      <c r="AB293" s="16" t="s">
        <v>998</v>
      </c>
      <c r="AC293" s="111"/>
    </row>
    <row r="294" spans="1:29" ht="24.75" customHeight="1">
      <c r="A294" s="123"/>
      <c r="B294" s="21" t="s">
        <v>8</v>
      </c>
      <c r="C294" s="29" t="s">
        <v>1000</v>
      </c>
      <c r="D294" s="23"/>
      <c r="E294" s="24"/>
      <c r="F294" s="39"/>
      <c r="G294" s="127"/>
      <c r="H294" s="127"/>
      <c r="I294" s="127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>
        <v>262.71186440677968</v>
      </c>
      <c r="W294" s="26">
        <v>262.71186440677968</v>
      </c>
      <c r="X294" s="26">
        <v>262.71186440677968</v>
      </c>
      <c r="Y294" s="26">
        <v>262.71186440677968</v>
      </c>
      <c r="Z294" s="124" t="s">
        <v>690</v>
      </c>
      <c r="AB294" s="16" t="s">
        <v>998</v>
      </c>
      <c r="AC294" s="38" t="s">
        <v>1006</v>
      </c>
    </row>
    <row r="295" spans="1:29" ht="24.75" customHeight="1">
      <c r="A295" s="123"/>
      <c r="B295" s="21" t="s">
        <v>11</v>
      </c>
      <c r="C295" s="29" t="s">
        <v>1001</v>
      </c>
      <c r="D295" s="23"/>
      <c r="E295" s="24"/>
      <c r="F295" s="39"/>
      <c r="G295" s="127"/>
      <c r="H295" s="127"/>
      <c r="I295" s="127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>
        <v>377.11864406779665</v>
      </c>
      <c r="W295" s="26">
        <v>377.11864406779665</v>
      </c>
      <c r="X295" s="26">
        <v>377.11864406779665</v>
      </c>
      <c r="Y295" s="26">
        <v>377.11864406779665</v>
      </c>
      <c r="Z295" s="124" t="s">
        <v>690</v>
      </c>
      <c r="AB295" s="16" t="s">
        <v>998</v>
      </c>
      <c r="AC295" s="38" t="s">
        <v>1006</v>
      </c>
    </row>
    <row r="296" spans="1:29" ht="24.75" customHeight="1">
      <c r="A296" s="123"/>
      <c r="B296" s="21" t="s">
        <v>13</v>
      </c>
      <c r="C296" s="29" t="s">
        <v>1002</v>
      </c>
      <c r="D296" s="23"/>
      <c r="E296" s="24"/>
      <c r="F296" s="39"/>
      <c r="G296" s="127"/>
      <c r="H296" s="127"/>
      <c r="I296" s="127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>
        <v>580.50847457627117</v>
      </c>
      <c r="W296" s="26">
        <v>580.50847457627117</v>
      </c>
      <c r="X296" s="26">
        <v>580.50847457627117</v>
      </c>
      <c r="Y296" s="26">
        <v>580.50847457627117</v>
      </c>
      <c r="Z296" s="124" t="s">
        <v>690</v>
      </c>
      <c r="AB296" s="16" t="s">
        <v>998</v>
      </c>
      <c r="AC296" s="38" t="s">
        <v>1006</v>
      </c>
    </row>
    <row r="297" spans="1:29" ht="24.75" customHeight="1">
      <c r="A297" s="123"/>
      <c r="B297" s="21" t="s">
        <v>15</v>
      </c>
      <c r="C297" s="29" t="s">
        <v>1003</v>
      </c>
      <c r="D297" s="23"/>
      <c r="E297" s="24"/>
      <c r="F297" s="39"/>
      <c r="G297" s="127"/>
      <c r="H297" s="127"/>
      <c r="I297" s="127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>
        <v>1330.5084745762713</v>
      </c>
      <c r="W297" s="26">
        <v>1330.5084745762713</v>
      </c>
      <c r="X297" s="26">
        <v>1330.5084745762713</v>
      </c>
      <c r="Y297" s="26">
        <v>1330.5084745762713</v>
      </c>
      <c r="Z297" s="124" t="s">
        <v>690</v>
      </c>
      <c r="AB297" s="16" t="s">
        <v>998</v>
      </c>
      <c r="AC297" s="38" t="s">
        <v>1006</v>
      </c>
    </row>
    <row r="298" spans="1:29" ht="24.75" customHeight="1">
      <c r="A298" s="123"/>
      <c r="B298" s="21" t="s">
        <v>18</v>
      </c>
      <c r="C298" s="29" t="s">
        <v>1004</v>
      </c>
      <c r="D298" s="23"/>
      <c r="E298" s="24"/>
      <c r="F298" s="39"/>
      <c r="G298" s="127"/>
      <c r="H298" s="127"/>
      <c r="I298" s="127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>
        <v>3474.5762711864409</v>
      </c>
      <c r="W298" s="26">
        <v>3474.5762711864409</v>
      </c>
      <c r="X298" s="26">
        <v>3474.5762711864409</v>
      </c>
      <c r="Y298" s="26">
        <v>3474.5762711864409</v>
      </c>
      <c r="Z298" s="124" t="s">
        <v>690</v>
      </c>
      <c r="AB298" s="16" t="s">
        <v>998</v>
      </c>
      <c r="AC298" s="38" t="s">
        <v>1006</v>
      </c>
    </row>
    <row r="299" spans="1:29" ht="24.75" customHeight="1">
      <c r="A299" s="123"/>
      <c r="B299" s="21"/>
      <c r="C299" s="38" t="s">
        <v>1007</v>
      </c>
      <c r="D299" s="23"/>
      <c r="E299" s="24"/>
      <c r="F299" s="39"/>
      <c r="G299" s="127"/>
      <c r="H299" s="127"/>
      <c r="I299" s="127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>
        <v>0</v>
      </c>
      <c r="W299" s="26">
        <v>0</v>
      </c>
      <c r="X299" s="26">
        <v>0</v>
      </c>
      <c r="Y299" s="26">
        <v>0</v>
      </c>
      <c r="Z299" s="128"/>
      <c r="AB299" s="16" t="s">
        <v>998</v>
      </c>
      <c r="AC299" s="111"/>
    </row>
    <row r="300" spans="1:29" ht="24.75" customHeight="1">
      <c r="A300" s="123"/>
      <c r="B300" s="21" t="s">
        <v>8</v>
      </c>
      <c r="C300" s="29" t="s">
        <v>1000</v>
      </c>
      <c r="D300" s="23"/>
      <c r="E300" s="24"/>
      <c r="F300" s="39"/>
      <c r="G300" s="127"/>
      <c r="H300" s="127"/>
      <c r="I300" s="127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>
        <v>432.20338983050851</v>
      </c>
      <c r="W300" s="26">
        <v>432.20338983050851</v>
      </c>
      <c r="X300" s="26">
        <v>432.20338983050851</v>
      </c>
      <c r="Y300" s="26">
        <v>432.20338983050851</v>
      </c>
      <c r="Z300" s="124" t="s">
        <v>690</v>
      </c>
      <c r="AB300" s="16" t="s">
        <v>998</v>
      </c>
      <c r="AC300" s="38" t="s">
        <v>1007</v>
      </c>
    </row>
    <row r="301" spans="1:29" ht="24.75" customHeight="1">
      <c r="A301" s="123"/>
      <c r="B301" s="21" t="s">
        <v>11</v>
      </c>
      <c r="C301" s="29" t="s">
        <v>1001</v>
      </c>
      <c r="D301" s="23"/>
      <c r="E301" s="24"/>
      <c r="F301" s="39"/>
      <c r="G301" s="127"/>
      <c r="H301" s="127"/>
      <c r="I301" s="127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>
        <v>652.54237288135596</v>
      </c>
      <c r="W301" s="26">
        <v>652.54237288135596</v>
      </c>
      <c r="X301" s="26">
        <v>652.54237288135596</v>
      </c>
      <c r="Y301" s="26">
        <v>652.54237288135596</v>
      </c>
      <c r="Z301" s="124" t="s">
        <v>690</v>
      </c>
      <c r="AB301" s="16" t="s">
        <v>998</v>
      </c>
      <c r="AC301" s="38" t="s">
        <v>1007</v>
      </c>
    </row>
    <row r="302" spans="1:29" ht="24.75" customHeight="1">
      <c r="A302" s="123"/>
      <c r="B302" s="21" t="s">
        <v>13</v>
      </c>
      <c r="C302" s="29" t="s">
        <v>1002</v>
      </c>
      <c r="D302" s="23"/>
      <c r="E302" s="24"/>
      <c r="F302" s="39"/>
      <c r="G302" s="127"/>
      <c r="H302" s="127"/>
      <c r="I302" s="127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>
        <v>830.50847457627128</v>
      </c>
      <c r="W302" s="26">
        <v>830.50847457627128</v>
      </c>
      <c r="X302" s="26">
        <v>830.50847457627128</v>
      </c>
      <c r="Y302" s="26">
        <v>830.50847457627128</v>
      </c>
      <c r="Z302" s="124" t="s">
        <v>690</v>
      </c>
      <c r="AB302" s="16" t="s">
        <v>998</v>
      </c>
      <c r="AC302" s="38" t="s">
        <v>1007</v>
      </c>
    </row>
    <row r="303" spans="1:29" ht="24.75" customHeight="1">
      <c r="A303" s="123"/>
      <c r="B303" s="21" t="s">
        <v>15</v>
      </c>
      <c r="C303" s="29" t="s">
        <v>1003</v>
      </c>
      <c r="D303" s="23"/>
      <c r="E303" s="24"/>
      <c r="F303" s="39"/>
      <c r="G303" s="127"/>
      <c r="H303" s="127"/>
      <c r="I303" s="127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>
        <v>1525.4237288135594</v>
      </c>
      <c r="W303" s="26">
        <v>1525.4237288135594</v>
      </c>
      <c r="X303" s="26">
        <v>1525.4237288135594</v>
      </c>
      <c r="Y303" s="26">
        <v>1525.4237288135594</v>
      </c>
      <c r="Z303" s="124" t="s">
        <v>690</v>
      </c>
      <c r="AB303" s="16" t="s">
        <v>998</v>
      </c>
      <c r="AC303" s="38" t="s">
        <v>1007</v>
      </c>
    </row>
    <row r="304" spans="1:29" ht="24.75" customHeight="1">
      <c r="A304" s="123"/>
      <c r="B304" s="21"/>
      <c r="C304" s="38" t="s">
        <v>1008</v>
      </c>
      <c r="D304" s="23"/>
      <c r="E304" s="24"/>
      <c r="F304" s="39"/>
      <c r="G304" s="127"/>
      <c r="H304" s="127"/>
      <c r="I304" s="127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>
        <v>0</v>
      </c>
      <c r="W304" s="26">
        <v>0</v>
      </c>
      <c r="X304" s="26">
        <v>0</v>
      </c>
      <c r="Y304" s="26">
        <v>0</v>
      </c>
      <c r="Z304" s="128"/>
      <c r="AB304" s="16" t="s">
        <v>998</v>
      </c>
      <c r="AC304" s="111"/>
    </row>
    <row r="305" spans="1:29" ht="24.75" customHeight="1">
      <c r="A305" s="123"/>
      <c r="B305" s="21" t="s">
        <v>8</v>
      </c>
      <c r="C305" s="29" t="s">
        <v>1000</v>
      </c>
      <c r="D305" s="23"/>
      <c r="E305" s="24"/>
      <c r="F305" s="39"/>
      <c r="G305" s="127"/>
      <c r="H305" s="127"/>
      <c r="I305" s="127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>
        <v>245.76271186440678</v>
      </c>
      <c r="W305" s="26">
        <v>245.76271186440678</v>
      </c>
      <c r="X305" s="26">
        <v>245.76271186440678</v>
      </c>
      <c r="Y305" s="26">
        <v>245.76271186440678</v>
      </c>
      <c r="Z305" s="124" t="s">
        <v>690</v>
      </c>
      <c r="AB305" s="16" t="s">
        <v>998</v>
      </c>
      <c r="AC305" s="38" t="s">
        <v>1008</v>
      </c>
    </row>
    <row r="306" spans="1:29" ht="24.75" customHeight="1">
      <c r="A306" s="123"/>
      <c r="B306" s="21" t="s">
        <v>11</v>
      </c>
      <c r="C306" s="29" t="s">
        <v>1001</v>
      </c>
      <c r="D306" s="23"/>
      <c r="E306" s="24"/>
      <c r="F306" s="39"/>
      <c r="G306" s="127"/>
      <c r="H306" s="127"/>
      <c r="I306" s="127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>
        <v>436.4406779661017</v>
      </c>
      <c r="W306" s="26">
        <v>436.4406779661017</v>
      </c>
      <c r="X306" s="26">
        <v>436.4406779661017</v>
      </c>
      <c r="Y306" s="26">
        <v>436.4406779661017</v>
      </c>
      <c r="Z306" s="124" t="s">
        <v>690</v>
      </c>
      <c r="AB306" s="16" t="s">
        <v>998</v>
      </c>
      <c r="AC306" s="38" t="s">
        <v>1008</v>
      </c>
    </row>
    <row r="307" spans="1:29" ht="24.75" customHeight="1">
      <c r="A307" s="123"/>
      <c r="B307" s="21" t="s">
        <v>13</v>
      </c>
      <c r="C307" s="29" t="s">
        <v>1002</v>
      </c>
      <c r="D307" s="23"/>
      <c r="E307" s="24"/>
      <c r="F307" s="39"/>
      <c r="G307" s="127"/>
      <c r="H307" s="127"/>
      <c r="I307" s="127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>
        <v>610.16949152542372</v>
      </c>
      <c r="W307" s="26">
        <v>610.16949152542372</v>
      </c>
      <c r="X307" s="26">
        <v>610.16949152542372</v>
      </c>
      <c r="Y307" s="26">
        <v>610.16949152542372</v>
      </c>
      <c r="Z307" s="124" t="s">
        <v>690</v>
      </c>
      <c r="AB307" s="16" t="s">
        <v>998</v>
      </c>
      <c r="AC307" s="38" t="s">
        <v>1008</v>
      </c>
    </row>
    <row r="308" spans="1:29" ht="24.75" customHeight="1">
      <c r="A308" s="123"/>
      <c r="B308" s="21" t="s">
        <v>15</v>
      </c>
      <c r="C308" s="29" t="s">
        <v>1003</v>
      </c>
      <c r="D308" s="23"/>
      <c r="E308" s="24"/>
      <c r="F308" s="39"/>
      <c r="G308" s="127"/>
      <c r="H308" s="127"/>
      <c r="I308" s="127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>
        <v>1614.406779661017</v>
      </c>
      <c r="W308" s="26">
        <v>1614.406779661017</v>
      </c>
      <c r="X308" s="26">
        <v>1614.406779661017</v>
      </c>
      <c r="Y308" s="26">
        <v>1614.406779661017</v>
      </c>
      <c r="Z308" s="124" t="s">
        <v>690</v>
      </c>
      <c r="AB308" s="16" t="s">
        <v>998</v>
      </c>
      <c r="AC308" s="38" t="s">
        <v>1008</v>
      </c>
    </row>
    <row r="309" spans="1:29" ht="24.75" customHeight="1">
      <c r="A309" s="123"/>
      <c r="B309" s="21"/>
      <c r="C309" s="38" t="s">
        <v>1009</v>
      </c>
      <c r="D309" s="23"/>
      <c r="E309" s="24"/>
      <c r="F309" s="39"/>
      <c r="G309" s="127"/>
      <c r="H309" s="127"/>
      <c r="I309" s="127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>
        <v>0</v>
      </c>
      <c r="W309" s="26">
        <v>0</v>
      </c>
      <c r="X309" s="26">
        <v>0</v>
      </c>
      <c r="Y309" s="26">
        <v>0</v>
      </c>
      <c r="Z309" s="128"/>
      <c r="AB309" s="16" t="s">
        <v>998</v>
      </c>
      <c r="AC309" s="111"/>
    </row>
    <row r="310" spans="1:29" ht="24.75" customHeight="1">
      <c r="A310" s="123"/>
      <c r="B310" s="21" t="s">
        <v>8</v>
      </c>
      <c r="C310" s="29" t="s">
        <v>1001</v>
      </c>
      <c r="D310" s="23"/>
      <c r="E310" s="24"/>
      <c r="F310" s="39"/>
      <c r="G310" s="127"/>
      <c r="H310" s="127"/>
      <c r="I310" s="127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>
        <v>105.93220338983052</v>
      </c>
      <c r="W310" s="26">
        <v>105.93220338983052</v>
      </c>
      <c r="X310" s="26">
        <v>105.93220338983052</v>
      </c>
      <c r="Y310" s="26">
        <v>105.93220338983052</v>
      </c>
      <c r="Z310" s="124" t="s">
        <v>690</v>
      </c>
      <c r="AB310" s="16" t="s">
        <v>998</v>
      </c>
      <c r="AC310" s="38" t="s">
        <v>1009</v>
      </c>
    </row>
    <row r="311" spans="1:29" ht="24.75" customHeight="1">
      <c r="A311" s="123"/>
      <c r="B311" s="21" t="s">
        <v>11</v>
      </c>
      <c r="C311" s="29" t="s">
        <v>1002</v>
      </c>
      <c r="D311" s="23"/>
      <c r="E311" s="24"/>
      <c r="F311" s="39"/>
      <c r="G311" s="127"/>
      <c r="H311" s="127"/>
      <c r="I311" s="127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>
        <v>165.25423728813561</v>
      </c>
      <c r="W311" s="26">
        <v>165.25423728813561</v>
      </c>
      <c r="X311" s="26">
        <v>165.25423728813561</v>
      </c>
      <c r="Y311" s="26">
        <v>165.25423728813561</v>
      </c>
      <c r="Z311" s="124" t="s">
        <v>690</v>
      </c>
      <c r="AB311" s="16" t="s">
        <v>998</v>
      </c>
      <c r="AC311" s="38" t="s">
        <v>1009</v>
      </c>
    </row>
    <row r="312" spans="1:29" ht="24.75" customHeight="1">
      <c r="A312" s="123"/>
      <c r="B312" s="21" t="s">
        <v>13</v>
      </c>
      <c r="C312" s="29" t="s">
        <v>1003</v>
      </c>
      <c r="D312" s="23"/>
      <c r="E312" s="24"/>
      <c r="F312" s="39"/>
      <c r="G312" s="127"/>
      <c r="H312" s="127"/>
      <c r="I312" s="127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>
        <v>381.35593220338984</v>
      </c>
      <c r="W312" s="26">
        <v>381.35593220338984</v>
      </c>
      <c r="X312" s="26">
        <v>381.35593220338984</v>
      </c>
      <c r="Y312" s="26">
        <v>381.35593220338984</v>
      </c>
      <c r="Z312" s="124" t="s">
        <v>690</v>
      </c>
      <c r="AB312" s="16" t="s">
        <v>998</v>
      </c>
      <c r="AC312" s="38" t="s">
        <v>1009</v>
      </c>
    </row>
    <row r="313" spans="1:29" ht="24.75" customHeight="1">
      <c r="A313" s="123"/>
      <c r="B313" s="21"/>
      <c r="C313" s="38" t="s">
        <v>1010</v>
      </c>
      <c r="D313" s="23"/>
      <c r="E313" s="24"/>
      <c r="F313" s="39"/>
      <c r="G313" s="127"/>
      <c r="H313" s="127"/>
      <c r="I313" s="127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>
        <v>0</v>
      </c>
      <c r="W313" s="26">
        <v>0</v>
      </c>
      <c r="X313" s="26">
        <v>0</v>
      </c>
      <c r="Y313" s="26">
        <v>0</v>
      </c>
      <c r="Z313" s="128"/>
      <c r="AB313" s="16" t="s">
        <v>998</v>
      </c>
      <c r="AC313" s="111"/>
    </row>
    <row r="314" spans="1:29" ht="24.75" customHeight="1">
      <c r="A314" s="123"/>
      <c r="B314" s="21" t="s">
        <v>8</v>
      </c>
      <c r="C314" s="29" t="s">
        <v>1000</v>
      </c>
      <c r="D314" s="23"/>
      <c r="E314" s="24"/>
      <c r="F314" s="39"/>
      <c r="G314" s="127"/>
      <c r="H314" s="127"/>
      <c r="I314" s="127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>
        <v>309.32203389830511</v>
      </c>
      <c r="W314" s="26">
        <v>309.32203389830511</v>
      </c>
      <c r="X314" s="26">
        <v>309.32203389830511</v>
      </c>
      <c r="Y314" s="26">
        <v>309.32203389830511</v>
      </c>
      <c r="Z314" s="124" t="s">
        <v>690</v>
      </c>
      <c r="AB314" s="16" t="s">
        <v>998</v>
      </c>
      <c r="AC314" s="38" t="s">
        <v>1010</v>
      </c>
    </row>
    <row r="315" spans="1:29" ht="24.75" customHeight="1">
      <c r="A315" s="123"/>
      <c r="B315" s="21" t="s">
        <v>11</v>
      </c>
      <c r="C315" s="29" t="s">
        <v>1001</v>
      </c>
      <c r="D315" s="23"/>
      <c r="E315" s="24"/>
      <c r="F315" s="39"/>
      <c r="G315" s="127"/>
      <c r="H315" s="127"/>
      <c r="I315" s="127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>
        <v>394.06779661016952</v>
      </c>
      <c r="W315" s="26">
        <v>394.06779661016952</v>
      </c>
      <c r="X315" s="26">
        <v>394.06779661016952</v>
      </c>
      <c r="Y315" s="26">
        <v>394.06779661016952</v>
      </c>
      <c r="Z315" s="124" t="s">
        <v>690</v>
      </c>
      <c r="AB315" s="16" t="s">
        <v>998</v>
      </c>
      <c r="AC315" s="38" t="s">
        <v>1435</v>
      </c>
    </row>
    <row r="316" spans="1:29" ht="24.75" customHeight="1">
      <c r="A316" s="123"/>
      <c r="B316" s="21" t="s">
        <v>13</v>
      </c>
      <c r="C316" s="29" t="s">
        <v>1002</v>
      </c>
      <c r="D316" s="23"/>
      <c r="E316" s="24"/>
      <c r="F316" s="39"/>
      <c r="G316" s="127"/>
      <c r="H316" s="127"/>
      <c r="I316" s="127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>
        <v>525.42372881355936</v>
      </c>
      <c r="W316" s="26">
        <v>525.42372881355936</v>
      </c>
      <c r="X316" s="26">
        <v>525.42372881355936</v>
      </c>
      <c r="Y316" s="26">
        <v>525.42372881355936</v>
      </c>
      <c r="Z316" s="124" t="s">
        <v>690</v>
      </c>
      <c r="AB316" s="16" t="s">
        <v>998</v>
      </c>
      <c r="AC316" s="38" t="s">
        <v>1436</v>
      </c>
    </row>
    <row r="317" spans="1:29" ht="24.75" customHeight="1">
      <c r="A317" s="123"/>
      <c r="B317" s="21" t="s">
        <v>15</v>
      </c>
      <c r="C317" s="29" t="s">
        <v>1003</v>
      </c>
      <c r="D317" s="23"/>
      <c r="E317" s="24"/>
      <c r="F317" s="39"/>
      <c r="G317" s="127"/>
      <c r="H317" s="127"/>
      <c r="I317" s="127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>
        <v>1427.9661016949153</v>
      </c>
      <c r="W317" s="26">
        <v>1427.9661016949153</v>
      </c>
      <c r="X317" s="26">
        <v>1427.9661016949153</v>
      </c>
      <c r="Y317" s="26">
        <v>1427.9661016949153</v>
      </c>
      <c r="Z317" s="124" t="s">
        <v>690</v>
      </c>
      <c r="AB317" s="16" t="s">
        <v>998</v>
      </c>
      <c r="AC317" s="38" t="s">
        <v>1437</v>
      </c>
    </row>
    <row r="318" spans="1:29" ht="24.75" customHeight="1">
      <c r="A318" s="123"/>
      <c r="B318" s="21" t="s">
        <v>18</v>
      </c>
      <c r="C318" s="29" t="s">
        <v>1004</v>
      </c>
      <c r="D318" s="23"/>
      <c r="E318" s="24"/>
      <c r="F318" s="39"/>
      <c r="G318" s="127"/>
      <c r="H318" s="127"/>
      <c r="I318" s="127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>
        <v>2618.6440677966102</v>
      </c>
      <c r="W318" s="26">
        <v>2618.6440677966102</v>
      </c>
      <c r="X318" s="26">
        <v>2618.6440677966102</v>
      </c>
      <c r="Y318" s="26">
        <v>2618.6440677966102</v>
      </c>
      <c r="Z318" s="124" t="s">
        <v>690</v>
      </c>
      <c r="AB318" s="16" t="s">
        <v>998</v>
      </c>
      <c r="AC318" s="38" t="s">
        <v>1438</v>
      </c>
    </row>
    <row r="319" spans="1:29" ht="24.75" customHeight="1">
      <c r="A319" s="123"/>
      <c r="B319" s="21"/>
      <c r="C319" s="38" t="s">
        <v>1011</v>
      </c>
      <c r="D319" s="23"/>
      <c r="E319" s="24"/>
      <c r="F319" s="39"/>
      <c r="G319" s="127"/>
      <c r="H319" s="127"/>
      <c r="I319" s="127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>
        <v>0</v>
      </c>
      <c r="W319" s="26">
        <v>0</v>
      </c>
      <c r="X319" s="26">
        <v>0</v>
      </c>
      <c r="Y319" s="26">
        <v>0</v>
      </c>
      <c r="Z319" s="128"/>
      <c r="AB319" s="16" t="s">
        <v>998</v>
      </c>
      <c r="AC319" s="111"/>
    </row>
    <row r="320" spans="1:29" ht="24.75" customHeight="1">
      <c r="A320" s="123"/>
      <c r="B320" s="21" t="s">
        <v>8</v>
      </c>
      <c r="C320" s="29" t="s">
        <v>1000</v>
      </c>
      <c r="D320" s="23"/>
      <c r="E320" s="24"/>
      <c r="F320" s="39"/>
      <c r="G320" s="127"/>
      <c r="H320" s="127"/>
      <c r="I320" s="127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>
        <v>309.32203389830511</v>
      </c>
      <c r="W320" s="26">
        <v>309.32203389830511</v>
      </c>
      <c r="X320" s="26">
        <v>309.32203389830511</v>
      </c>
      <c r="Y320" s="26">
        <v>309.32203389830511</v>
      </c>
      <c r="Z320" s="124" t="s">
        <v>690</v>
      </c>
      <c r="AB320" s="16" t="s">
        <v>998</v>
      </c>
      <c r="AC320" s="38" t="s">
        <v>1011</v>
      </c>
    </row>
    <row r="321" spans="1:29" ht="24.75" customHeight="1">
      <c r="A321" s="123"/>
      <c r="B321" s="21" t="s">
        <v>11</v>
      </c>
      <c r="C321" s="29" t="s">
        <v>1001</v>
      </c>
      <c r="D321" s="23"/>
      <c r="E321" s="24"/>
      <c r="F321" s="39"/>
      <c r="G321" s="127"/>
      <c r="H321" s="127"/>
      <c r="I321" s="127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>
        <v>411.0169491525424</v>
      </c>
      <c r="W321" s="26">
        <v>411.0169491525424</v>
      </c>
      <c r="X321" s="26">
        <v>411.0169491525424</v>
      </c>
      <c r="Y321" s="26">
        <v>411.0169491525424</v>
      </c>
      <c r="Z321" s="124" t="s">
        <v>690</v>
      </c>
      <c r="AB321" s="16" t="s">
        <v>998</v>
      </c>
      <c r="AC321" s="38" t="s">
        <v>1439</v>
      </c>
    </row>
    <row r="322" spans="1:29" ht="24.75" customHeight="1">
      <c r="A322" s="123"/>
      <c r="B322" s="21" t="s">
        <v>13</v>
      </c>
      <c r="C322" s="29" t="s">
        <v>1002</v>
      </c>
      <c r="D322" s="23"/>
      <c r="E322" s="24"/>
      <c r="F322" s="39"/>
      <c r="G322" s="127"/>
      <c r="H322" s="127"/>
      <c r="I322" s="127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>
        <v>648.30508474576277</v>
      </c>
      <c r="W322" s="26">
        <v>648.30508474576277</v>
      </c>
      <c r="X322" s="26">
        <v>648.30508474576277</v>
      </c>
      <c r="Y322" s="26">
        <v>648.30508474576277</v>
      </c>
      <c r="Z322" s="124" t="s">
        <v>690</v>
      </c>
      <c r="AB322" s="16" t="s">
        <v>998</v>
      </c>
      <c r="AC322" s="38" t="s">
        <v>1440</v>
      </c>
    </row>
    <row r="323" spans="1:29" ht="24.75" customHeight="1">
      <c r="A323" s="123"/>
      <c r="B323" s="21" t="s">
        <v>15</v>
      </c>
      <c r="C323" s="29" t="s">
        <v>1003</v>
      </c>
      <c r="D323" s="23"/>
      <c r="E323" s="24"/>
      <c r="F323" s="39"/>
      <c r="G323" s="127"/>
      <c r="H323" s="127"/>
      <c r="I323" s="127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>
        <v>1406.7796610169491</v>
      </c>
      <c r="W323" s="26">
        <v>1406.7796610169491</v>
      </c>
      <c r="X323" s="26">
        <v>1406.7796610169491</v>
      </c>
      <c r="Y323" s="26">
        <v>1406.7796610169491</v>
      </c>
      <c r="Z323" s="124" t="s">
        <v>690</v>
      </c>
      <c r="AB323" s="16" t="s">
        <v>998</v>
      </c>
      <c r="AC323" s="38" t="s">
        <v>1441</v>
      </c>
    </row>
    <row r="324" spans="1:29" ht="24.75" customHeight="1">
      <c r="A324" s="123"/>
      <c r="B324" s="21" t="s">
        <v>18</v>
      </c>
      <c r="C324" s="29" t="s">
        <v>1004</v>
      </c>
      <c r="D324" s="23"/>
      <c r="E324" s="24"/>
      <c r="F324" s="39"/>
      <c r="G324" s="127"/>
      <c r="H324" s="127"/>
      <c r="I324" s="127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>
        <v>3186.4406779661017</v>
      </c>
      <c r="W324" s="26">
        <v>3186.4406779661017</v>
      </c>
      <c r="X324" s="26">
        <v>3186.4406779661017</v>
      </c>
      <c r="Y324" s="26">
        <v>3186.4406779661017</v>
      </c>
      <c r="Z324" s="124" t="s">
        <v>690</v>
      </c>
      <c r="AB324" s="16" t="s">
        <v>998</v>
      </c>
      <c r="AC324" s="38" t="s">
        <v>1442</v>
      </c>
    </row>
    <row r="325" spans="1:29" ht="24.75" customHeight="1">
      <c r="A325" s="123"/>
      <c r="B325" s="21"/>
      <c r="C325" s="38" t="s">
        <v>1012</v>
      </c>
      <c r="D325" s="23"/>
      <c r="E325" s="24"/>
      <c r="F325" s="39"/>
      <c r="G325" s="127"/>
      <c r="H325" s="127"/>
      <c r="I325" s="127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>
        <v>0</v>
      </c>
      <c r="W325" s="26">
        <v>0</v>
      </c>
      <c r="X325" s="26">
        <v>0</v>
      </c>
      <c r="Y325" s="26">
        <v>0</v>
      </c>
      <c r="Z325" s="128"/>
      <c r="AB325" s="16" t="s">
        <v>998</v>
      </c>
      <c r="AC325" s="111"/>
    </row>
    <row r="326" spans="1:29" ht="24.75" customHeight="1">
      <c r="A326" s="123"/>
      <c r="B326" s="21" t="s">
        <v>8</v>
      </c>
      <c r="C326" s="29" t="s">
        <v>1000</v>
      </c>
      <c r="D326" s="23"/>
      <c r="E326" s="24"/>
      <c r="F326" s="39"/>
      <c r="G326" s="127"/>
      <c r="H326" s="127"/>
      <c r="I326" s="127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>
        <v>355.93220338983053</v>
      </c>
      <c r="W326" s="26">
        <v>355.93220338983053</v>
      </c>
      <c r="X326" s="26">
        <v>355.93220338983053</v>
      </c>
      <c r="Y326" s="26">
        <v>355.93220338983053</v>
      </c>
      <c r="Z326" s="124" t="s">
        <v>690</v>
      </c>
      <c r="AB326" s="16" t="s">
        <v>998</v>
      </c>
      <c r="AC326" s="38" t="s">
        <v>1012</v>
      </c>
    </row>
    <row r="327" spans="1:29" ht="24.75" customHeight="1">
      <c r="A327" s="123"/>
      <c r="B327" s="21" t="s">
        <v>11</v>
      </c>
      <c r="C327" s="29" t="s">
        <v>1001</v>
      </c>
      <c r="D327" s="23"/>
      <c r="E327" s="24"/>
      <c r="F327" s="39"/>
      <c r="G327" s="127"/>
      <c r="H327" s="127"/>
      <c r="I327" s="127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>
        <v>563.5593220338983</v>
      </c>
      <c r="W327" s="26">
        <v>563.5593220338983</v>
      </c>
      <c r="X327" s="26">
        <v>563.5593220338983</v>
      </c>
      <c r="Y327" s="26">
        <v>563.5593220338983</v>
      </c>
      <c r="Z327" s="124" t="s">
        <v>690</v>
      </c>
      <c r="AB327" s="16" t="s">
        <v>998</v>
      </c>
      <c r="AC327" s="38" t="s">
        <v>1012</v>
      </c>
    </row>
    <row r="328" spans="1:29" ht="24.75" customHeight="1">
      <c r="A328" s="123"/>
      <c r="B328" s="21" t="s">
        <v>13</v>
      </c>
      <c r="C328" s="29" t="s">
        <v>1002</v>
      </c>
      <c r="D328" s="23"/>
      <c r="E328" s="24"/>
      <c r="F328" s="39"/>
      <c r="G328" s="127"/>
      <c r="H328" s="127"/>
      <c r="I328" s="127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>
        <v>864.40677966101703</v>
      </c>
      <c r="W328" s="26">
        <v>864.40677966101703</v>
      </c>
      <c r="X328" s="26">
        <v>864.40677966101703</v>
      </c>
      <c r="Y328" s="26">
        <v>864.40677966101703</v>
      </c>
      <c r="Z328" s="124" t="s">
        <v>690</v>
      </c>
      <c r="AB328" s="16" t="s">
        <v>998</v>
      </c>
      <c r="AC328" s="38" t="s">
        <v>1012</v>
      </c>
    </row>
    <row r="329" spans="1:29" ht="24.75" customHeight="1">
      <c r="A329" s="123"/>
      <c r="B329" s="21" t="s">
        <v>15</v>
      </c>
      <c r="C329" s="29" t="s">
        <v>1003</v>
      </c>
      <c r="D329" s="23"/>
      <c r="E329" s="24"/>
      <c r="F329" s="39"/>
      <c r="G329" s="127"/>
      <c r="H329" s="127"/>
      <c r="I329" s="127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>
        <v>1682.2033898305085</v>
      </c>
      <c r="W329" s="26">
        <v>1682.2033898305085</v>
      </c>
      <c r="X329" s="26">
        <v>1682.2033898305085</v>
      </c>
      <c r="Y329" s="26">
        <v>1682.2033898305085</v>
      </c>
      <c r="Z329" s="124" t="s">
        <v>690</v>
      </c>
      <c r="AB329" s="16" t="s">
        <v>998</v>
      </c>
      <c r="AC329" s="38" t="s">
        <v>1012</v>
      </c>
    </row>
    <row r="330" spans="1:29" ht="24.75" customHeight="1">
      <c r="A330" s="123"/>
      <c r="B330" s="21" t="s">
        <v>18</v>
      </c>
      <c r="C330" s="29" t="s">
        <v>1004</v>
      </c>
      <c r="D330" s="23"/>
      <c r="E330" s="24"/>
      <c r="F330" s="39"/>
      <c r="G330" s="127"/>
      <c r="H330" s="127"/>
      <c r="I330" s="127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>
        <v>3826.2711864406783</v>
      </c>
      <c r="W330" s="26">
        <v>3826.2711864406783</v>
      </c>
      <c r="X330" s="26">
        <v>3826.2711864406783</v>
      </c>
      <c r="Y330" s="26">
        <v>3826.2711864406783</v>
      </c>
      <c r="Z330" s="124" t="s">
        <v>690</v>
      </c>
      <c r="AB330" s="16" t="s">
        <v>998</v>
      </c>
      <c r="AC330" s="38" t="s">
        <v>1012</v>
      </c>
    </row>
    <row r="331" spans="1:29" ht="24.75" customHeight="1">
      <c r="A331" s="123"/>
      <c r="B331" s="21"/>
      <c r="C331" s="38" t="s">
        <v>1013</v>
      </c>
      <c r="D331" s="23"/>
      <c r="E331" s="24"/>
      <c r="F331" s="39"/>
      <c r="G331" s="127"/>
      <c r="H331" s="127"/>
      <c r="I331" s="127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>
        <v>0</v>
      </c>
      <c r="W331" s="26">
        <v>0</v>
      </c>
      <c r="X331" s="26">
        <v>0</v>
      </c>
      <c r="Y331" s="26">
        <v>0</v>
      </c>
      <c r="Z331" s="128"/>
      <c r="AB331" s="16" t="s">
        <v>998</v>
      </c>
      <c r="AC331" s="111"/>
    </row>
    <row r="332" spans="1:29" ht="24.75" customHeight="1">
      <c r="A332" s="123"/>
      <c r="B332" s="21" t="s">
        <v>8</v>
      </c>
      <c r="C332" s="29" t="s">
        <v>1000</v>
      </c>
      <c r="D332" s="23"/>
      <c r="E332" s="24"/>
      <c r="F332" s="39"/>
      <c r="G332" s="127"/>
      <c r="H332" s="127"/>
      <c r="I332" s="127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>
        <v>478.81355932203394</v>
      </c>
      <c r="W332" s="26">
        <v>478.81355932203394</v>
      </c>
      <c r="X332" s="26">
        <v>478.81355932203394</v>
      </c>
      <c r="Y332" s="26">
        <v>478.81355932203394</v>
      </c>
      <c r="Z332" s="124" t="s">
        <v>690</v>
      </c>
      <c r="AB332" s="16" t="s">
        <v>998</v>
      </c>
      <c r="AC332" s="38" t="s">
        <v>1013</v>
      </c>
    </row>
    <row r="333" spans="1:29" ht="24.75" customHeight="1">
      <c r="A333" s="123"/>
      <c r="B333" s="21" t="s">
        <v>11</v>
      </c>
      <c r="C333" s="29" t="s">
        <v>1001</v>
      </c>
      <c r="D333" s="23"/>
      <c r="E333" s="24"/>
      <c r="F333" s="39"/>
      <c r="G333" s="127"/>
      <c r="H333" s="127"/>
      <c r="I333" s="127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>
        <v>690.67796610169501</v>
      </c>
      <c r="W333" s="26">
        <v>690.67796610169501</v>
      </c>
      <c r="X333" s="26">
        <v>690.67796610169501</v>
      </c>
      <c r="Y333" s="26">
        <v>690.67796610169501</v>
      </c>
      <c r="Z333" s="124" t="s">
        <v>690</v>
      </c>
      <c r="AB333" s="16" t="s">
        <v>998</v>
      </c>
      <c r="AC333" s="38" t="s">
        <v>1013</v>
      </c>
    </row>
    <row r="334" spans="1:29" ht="24.75" customHeight="1">
      <c r="A334" s="123"/>
      <c r="B334" s="21" t="s">
        <v>13</v>
      </c>
      <c r="C334" s="29" t="s">
        <v>1002</v>
      </c>
      <c r="D334" s="23"/>
      <c r="E334" s="24"/>
      <c r="F334" s="39"/>
      <c r="G334" s="127"/>
      <c r="H334" s="127"/>
      <c r="I334" s="127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>
        <v>961.86440677966107</v>
      </c>
      <c r="W334" s="26">
        <v>961.86440677966107</v>
      </c>
      <c r="X334" s="26">
        <v>961.86440677966107</v>
      </c>
      <c r="Y334" s="26">
        <v>961.86440677966107</v>
      </c>
      <c r="Z334" s="124" t="s">
        <v>690</v>
      </c>
      <c r="AB334" s="16" t="s">
        <v>998</v>
      </c>
      <c r="AC334" s="38" t="s">
        <v>1013</v>
      </c>
    </row>
    <row r="335" spans="1:29" ht="24.75" customHeight="1">
      <c r="A335" s="123"/>
      <c r="B335" s="21" t="s">
        <v>15</v>
      </c>
      <c r="C335" s="29" t="s">
        <v>1003</v>
      </c>
      <c r="D335" s="23"/>
      <c r="E335" s="24"/>
      <c r="F335" s="39"/>
      <c r="G335" s="127"/>
      <c r="H335" s="127"/>
      <c r="I335" s="127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>
        <v>1898.3050847457628</v>
      </c>
      <c r="W335" s="26">
        <v>1898.3050847457628</v>
      </c>
      <c r="X335" s="26">
        <v>1898.3050847457628</v>
      </c>
      <c r="Y335" s="26">
        <v>1898.3050847457628</v>
      </c>
      <c r="Z335" s="124" t="s">
        <v>690</v>
      </c>
      <c r="AB335" s="16" t="s">
        <v>998</v>
      </c>
      <c r="AC335" s="38" t="s">
        <v>1013</v>
      </c>
    </row>
    <row r="336" spans="1:29" ht="24.75" customHeight="1">
      <c r="A336" s="123"/>
      <c r="B336" s="21"/>
      <c r="C336" s="38" t="s">
        <v>1014</v>
      </c>
      <c r="D336" s="23"/>
      <c r="E336" s="24"/>
      <c r="F336" s="39"/>
      <c r="G336" s="127"/>
      <c r="H336" s="127"/>
      <c r="I336" s="127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>
        <v>0</v>
      </c>
      <c r="W336" s="26">
        <v>0</v>
      </c>
      <c r="X336" s="26">
        <v>0</v>
      </c>
      <c r="Y336" s="26">
        <v>0</v>
      </c>
      <c r="Z336" s="128"/>
      <c r="AB336" s="16" t="s">
        <v>998</v>
      </c>
      <c r="AC336" s="111"/>
    </row>
    <row r="337" spans="1:29" ht="24.75" customHeight="1">
      <c r="A337" s="123"/>
      <c r="B337" s="21" t="s">
        <v>8</v>
      </c>
      <c r="C337" s="29" t="s">
        <v>1000</v>
      </c>
      <c r="D337" s="23"/>
      <c r="E337" s="24"/>
      <c r="F337" s="39"/>
      <c r="G337" s="127"/>
      <c r="H337" s="127"/>
      <c r="I337" s="127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>
        <v>343.22033898305085</v>
      </c>
      <c r="W337" s="26">
        <v>343.22033898305085</v>
      </c>
      <c r="X337" s="26">
        <v>343.22033898305085</v>
      </c>
      <c r="Y337" s="26">
        <v>343.22033898305085</v>
      </c>
      <c r="Z337" s="124" t="s">
        <v>690</v>
      </c>
      <c r="AB337" s="16" t="s">
        <v>998</v>
      </c>
      <c r="AC337" s="38" t="s">
        <v>1014</v>
      </c>
    </row>
    <row r="338" spans="1:29" ht="24.75" customHeight="1">
      <c r="A338" s="123"/>
      <c r="B338" s="21" t="s">
        <v>11</v>
      </c>
      <c r="C338" s="29" t="s">
        <v>1001</v>
      </c>
      <c r="D338" s="23"/>
      <c r="E338" s="24"/>
      <c r="F338" s="39"/>
      <c r="G338" s="127"/>
      <c r="H338" s="127"/>
      <c r="I338" s="127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>
        <v>572.03389830508479</v>
      </c>
      <c r="W338" s="26">
        <v>572.03389830508479</v>
      </c>
      <c r="X338" s="26">
        <v>572.03389830508479</v>
      </c>
      <c r="Y338" s="26">
        <v>572.03389830508479</v>
      </c>
      <c r="Z338" s="124" t="s">
        <v>690</v>
      </c>
      <c r="AB338" s="16" t="s">
        <v>998</v>
      </c>
      <c r="AC338" s="38" t="s">
        <v>1014</v>
      </c>
    </row>
    <row r="339" spans="1:29" ht="24.75" customHeight="1">
      <c r="A339" s="123"/>
      <c r="B339" s="21" t="s">
        <v>13</v>
      </c>
      <c r="C339" s="29" t="s">
        <v>1002</v>
      </c>
      <c r="D339" s="23"/>
      <c r="E339" s="24"/>
      <c r="F339" s="39"/>
      <c r="G339" s="127"/>
      <c r="H339" s="127"/>
      <c r="I339" s="127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>
        <v>919.49152542372883</v>
      </c>
      <c r="W339" s="26">
        <v>919.49152542372883</v>
      </c>
      <c r="X339" s="26">
        <v>919.49152542372883</v>
      </c>
      <c r="Y339" s="26">
        <v>919.49152542372883</v>
      </c>
      <c r="Z339" s="124" t="s">
        <v>690</v>
      </c>
      <c r="AB339" s="16" t="s">
        <v>998</v>
      </c>
      <c r="AC339" s="38" t="s">
        <v>1014</v>
      </c>
    </row>
    <row r="340" spans="1:29" ht="24.75" customHeight="1">
      <c r="A340" s="123"/>
      <c r="B340" s="21" t="s">
        <v>15</v>
      </c>
      <c r="C340" s="29" t="s">
        <v>1003</v>
      </c>
      <c r="D340" s="23"/>
      <c r="E340" s="24"/>
      <c r="F340" s="39"/>
      <c r="G340" s="127"/>
      <c r="H340" s="127"/>
      <c r="I340" s="127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>
        <v>2008.4745762711866</v>
      </c>
      <c r="W340" s="26">
        <v>2008.4745762711866</v>
      </c>
      <c r="X340" s="26">
        <v>2008.4745762711866</v>
      </c>
      <c r="Y340" s="26">
        <v>2008.4745762711866</v>
      </c>
      <c r="Z340" s="124" t="s">
        <v>690</v>
      </c>
      <c r="AB340" s="16" t="s">
        <v>998</v>
      </c>
      <c r="AC340" s="38" t="s">
        <v>1014</v>
      </c>
    </row>
    <row r="341" spans="1:29" ht="24.75" customHeight="1">
      <c r="A341" s="123"/>
      <c r="B341" s="21"/>
      <c r="C341" s="38" t="s">
        <v>1015</v>
      </c>
      <c r="D341" s="23"/>
      <c r="E341" s="24"/>
      <c r="F341" s="39"/>
      <c r="G341" s="127"/>
      <c r="H341" s="127"/>
      <c r="I341" s="127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>
        <v>0</v>
      </c>
      <c r="W341" s="26">
        <v>0</v>
      </c>
      <c r="X341" s="26">
        <v>0</v>
      </c>
      <c r="Y341" s="26">
        <v>0</v>
      </c>
      <c r="Z341" s="128"/>
      <c r="AB341" s="16" t="s">
        <v>998</v>
      </c>
      <c r="AC341" s="111"/>
    </row>
    <row r="342" spans="1:29" ht="24.75" customHeight="1">
      <c r="A342" s="123"/>
      <c r="B342" s="21" t="s">
        <v>8</v>
      </c>
      <c r="C342" s="29" t="s">
        <v>1003</v>
      </c>
      <c r="D342" s="23"/>
      <c r="E342" s="24"/>
      <c r="F342" s="39"/>
      <c r="G342" s="127"/>
      <c r="H342" s="127"/>
      <c r="I342" s="127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>
        <v>377.11864406779665</v>
      </c>
      <c r="W342" s="26">
        <v>377.11864406779665</v>
      </c>
      <c r="X342" s="26">
        <v>377.11864406779665</v>
      </c>
      <c r="Y342" s="26">
        <v>377.11864406779665</v>
      </c>
      <c r="Z342" s="124" t="s">
        <v>690</v>
      </c>
      <c r="AB342" s="16" t="s">
        <v>998</v>
      </c>
      <c r="AC342" s="38" t="s">
        <v>1015</v>
      </c>
    </row>
    <row r="343" spans="1:29" ht="24.75" customHeight="1">
      <c r="A343" s="123"/>
      <c r="B343" s="21" t="s">
        <v>11</v>
      </c>
      <c r="C343" s="29" t="s">
        <v>1004</v>
      </c>
      <c r="D343" s="23"/>
      <c r="E343" s="24"/>
      <c r="F343" s="39"/>
      <c r="G343" s="127"/>
      <c r="H343" s="127"/>
      <c r="I343" s="127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>
        <v>919.49152542372883</v>
      </c>
      <c r="W343" s="26">
        <v>919.49152542372883</v>
      </c>
      <c r="X343" s="26">
        <v>919.49152542372883</v>
      </c>
      <c r="Y343" s="26">
        <v>919.49152542372883</v>
      </c>
      <c r="Z343" s="124" t="s">
        <v>690</v>
      </c>
      <c r="AB343" s="16" t="s">
        <v>998</v>
      </c>
      <c r="AC343" s="38" t="s">
        <v>1015</v>
      </c>
    </row>
    <row r="344" spans="1:29" ht="24.75" customHeight="1">
      <c r="A344" s="123"/>
      <c r="B344" s="21"/>
      <c r="C344" s="38" t="s">
        <v>1016</v>
      </c>
      <c r="D344" s="23"/>
      <c r="E344" s="24"/>
      <c r="F344" s="39"/>
      <c r="G344" s="127"/>
      <c r="H344" s="127"/>
      <c r="I344" s="127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>
        <v>0</v>
      </c>
      <c r="W344" s="26">
        <v>0</v>
      </c>
      <c r="X344" s="26">
        <v>0</v>
      </c>
      <c r="Y344" s="26">
        <v>0</v>
      </c>
      <c r="Z344" s="128"/>
      <c r="AB344" s="16" t="s">
        <v>998</v>
      </c>
      <c r="AC344" s="111"/>
    </row>
    <row r="345" spans="1:29" ht="24.75" customHeight="1">
      <c r="A345" s="123"/>
      <c r="B345" s="21" t="s">
        <v>8</v>
      </c>
      <c r="C345" s="29" t="s">
        <v>1003</v>
      </c>
      <c r="D345" s="23"/>
      <c r="E345" s="24"/>
      <c r="F345" s="39"/>
      <c r="G345" s="127"/>
      <c r="H345" s="127"/>
      <c r="I345" s="127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>
        <v>2830.5084745762715</v>
      </c>
      <c r="W345" s="26">
        <v>2830.5084745762715</v>
      </c>
      <c r="X345" s="26">
        <v>2830.5084745762715</v>
      </c>
      <c r="Y345" s="26">
        <v>2830.5084745762715</v>
      </c>
      <c r="Z345" s="124" t="s">
        <v>690</v>
      </c>
      <c r="AB345" s="16" t="s">
        <v>998</v>
      </c>
      <c r="AC345" s="38" t="s">
        <v>1016</v>
      </c>
    </row>
    <row r="346" spans="1:29" ht="24.75" customHeight="1">
      <c r="A346" s="123"/>
      <c r="B346" s="21" t="s">
        <v>11</v>
      </c>
      <c r="C346" s="29" t="s">
        <v>1004</v>
      </c>
      <c r="D346" s="23"/>
      <c r="E346" s="24"/>
      <c r="F346" s="39"/>
      <c r="G346" s="127"/>
      <c r="H346" s="127"/>
      <c r="I346" s="127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>
        <v>6025.42372881356</v>
      </c>
      <c r="W346" s="26">
        <v>6025.42372881356</v>
      </c>
      <c r="X346" s="26">
        <v>6025.42372881356</v>
      </c>
      <c r="Y346" s="26">
        <v>6025.42372881356</v>
      </c>
      <c r="Z346" s="124" t="s">
        <v>690</v>
      </c>
      <c r="AB346" s="16" t="s">
        <v>998</v>
      </c>
      <c r="AC346" s="38" t="s">
        <v>1443</v>
      </c>
    </row>
    <row r="347" spans="1:29" ht="24.75" customHeight="1">
      <c r="A347" s="123"/>
      <c r="B347" s="21"/>
      <c r="C347" s="38" t="s">
        <v>1017</v>
      </c>
      <c r="D347" s="23"/>
      <c r="E347" s="24"/>
      <c r="F347" s="39"/>
      <c r="G347" s="127"/>
      <c r="H347" s="127"/>
      <c r="I347" s="127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>
        <v>0</v>
      </c>
      <c r="W347" s="26">
        <v>0</v>
      </c>
      <c r="X347" s="26">
        <v>0</v>
      </c>
      <c r="Y347" s="26">
        <v>0</v>
      </c>
      <c r="Z347" s="128"/>
      <c r="AB347" s="16" t="s">
        <v>998</v>
      </c>
      <c r="AC347" s="111"/>
    </row>
    <row r="348" spans="1:29" ht="24.75" customHeight="1">
      <c r="A348" s="123"/>
      <c r="B348" s="21" t="s">
        <v>15</v>
      </c>
      <c r="C348" s="29" t="s">
        <v>1018</v>
      </c>
      <c r="D348" s="23"/>
      <c r="E348" s="24"/>
      <c r="F348" s="39"/>
      <c r="G348" s="127"/>
      <c r="H348" s="127"/>
      <c r="I348" s="127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>
        <v>1258.4745762711866</v>
      </c>
      <c r="W348" s="26">
        <v>1258.4745762711866</v>
      </c>
      <c r="X348" s="26">
        <v>1258.4745762711866</v>
      </c>
      <c r="Y348" s="26">
        <v>1258.4745762711866</v>
      </c>
      <c r="Z348" s="124" t="s">
        <v>690</v>
      </c>
      <c r="AB348" s="16" t="s">
        <v>998</v>
      </c>
      <c r="AC348" s="38" t="s">
        <v>1017</v>
      </c>
    </row>
    <row r="349" spans="1:29" ht="24.75" customHeight="1">
      <c r="A349" s="123"/>
      <c r="B349" s="21" t="s">
        <v>18</v>
      </c>
      <c r="C349" s="29" t="s">
        <v>1019</v>
      </c>
      <c r="D349" s="23"/>
      <c r="E349" s="24"/>
      <c r="F349" s="39"/>
      <c r="G349" s="127"/>
      <c r="H349" s="127"/>
      <c r="I349" s="127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>
        <v>4279.6610169491523</v>
      </c>
      <c r="W349" s="26">
        <v>4279.6610169491523</v>
      </c>
      <c r="X349" s="26">
        <v>4279.6610169491523</v>
      </c>
      <c r="Y349" s="26">
        <v>4279.6610169491523</v>
      </c>
      <c r="Z349" s="124" t="s">
        <v>690</v>
      </c>
      <c r="AB349" s="16" t="s">
        <v>998</v>
      </c>
      <c r="AC349" s="38" t="s">
        <v>1017</v>
      </c>
    </row>
    <row r="350" spans="1:29" ht="24.75" customHeight="1">
      <c r="A350" s="123"/>
      <c r="B350" s="21"/>
      <c r="C350" s="38" t="s">
        <v>1020</v>
      </c>
      <c r="D350" s="23"/>
      <c r="E350" s="24"/>
      <c r="F350" s="39"/>
      <c r="G350" s="127"/>
      <c r="H350" s="127"/>
      <c r="I350" s="127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>
        <v>0</v>
      </c>
      <c r="W350" s="26">
        <v>0</v>
      </c>
      <c r="X350" s="26">
        <v>0</v>
      </c>
      <c r="Y350" s="26">
        <v>0</v>
      </c>
      <c r="Z350" s="128"/>
      <c r="AB350" s="16" t="s">
        <v>998</v>
      </c>
      <c r="AC350" s="111"/>
    </row>
    <row r="351" spans="1:29" ht="24.75" customHeight="1">
      <c r="A351" s="123"/>
      <c r="B351" s="21" t="s">
        <v>8</v>
      </c>
      <c r="C351" s="29" t="s">
        <v>1003</v>
      </c>
      <c r="D351" s="23"/>
      <c r="E351" s="24"/>
      <c r="F351" s="39"/>
      <c r="G351" s="127"/>
      <c r="H351" s="127"/>
      <c r="I351" s="127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>
        <v>1487.2881355932204</v>
      </c>
      <c r="W351" s="26">
        <v>1487.2881355932204</v>
      </c>
      <c r="X351" s="26">
        <v>1487.2881355932204</v>
      </c>
      <c r="Y351" s="26">
        <v>1487.2881355932204</v>
      </c>
      <c r="Z351" s="124" t="s">
        <v>690</v>
      </c>
      <c r="AB351" s="16" t="s">
        <v>998</v>
      </c>
      <c r="AC351" s="38" t="s">
        <v>1020</v>
      </c>
    </row>
    <row r="352" spans="1:29" ht="24.75" customHeight="1">
      <c r="A352" s="123"/>
      <c r="B352" s="21"/>
      <c r="C352" s="38" t="s">
        <v>1021</v>
      </c>
      <c r="D352" s="23"/>
      <c r="E352" s="24"/>
      <c r="F352" s="39"/>
      <c r="G352" s="127"/>
      <c r="H352" s="127"/>
      <c r="I352" s="127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>
        <v>0</v>
      </c>
      <c r="W352" s="26">
        <v>0</v>
      </c>
      <c r="X352" s="26">
        <v>0</v>
      </c>
      <c r="Y352" s="26">
        <v>0</v>
      </c>
      <c r="Z352" s="128"/>
      <c r="AB352" s="16" t="s">
        <v>998</v>
      </c>
      <c r="AC352" s="111"/>
    </row>
    <row r="353" spans="1:29" ht="24.75" customHeight="1">
      <c r="A353" s="123"/>
      <c r="B353" s="21" t="s">
        <v>8</v>
      </c>
      <c r="C353" s="29" t="s">
        <v>1003</v>
      </c>
      <c r="D353" s="23"/>
      <c r="E353" s="24"/>
      <c r="F353" s="39"/>
      <c r="G353" s="127"/>
      <c r="H353" s="127"/>
      <c r="I353" s="127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>
        <v>2881.3559322033898</v>
      </c>
      <c r="W353" s="26">
        <v>2881.3559322033898</v>
      </c>
      <c r="X353" s="26">
        <v>2881.3559322033898</v>
      </c>
      <c r="Y353" s="26">
        <v>2881.3559322033898</v>
      </c>
      <c r="Z353" s="124" t="s">
        <v>690</v>
      </c>
      <c r="AB353" s="16" t="s">
        <v>998</v>
      </c>
      <c r="AC353" s="38" t="s">
        <v>1021</v>
      </c>
    </row>
    <row r="354" spans="1:29" ht="24.75" customHeight="1">
      <c r="A354" s="123"/>
      <c r="B354" s="21"/>
      <c r="C354" s="38" t="s">
        <v>1022</v>
      </c>
      <c r="D354" s="23"/>
      <c r="E354" s="24"/>
      <c r="F354" s="39"/>
      <c r="G354" s="127"/>
      <c r="H354" s="127"/>
      <c r="I354" s="127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>
        <v>0</v>
      </c>
      <c r="W354" s="26">
        <v>0</v>
      </c>
      <c r="X354" s="26">
        <v>0</v>
      </c>
      <c r="Y354" s="26">
        <v>0</v>
      </c>
      <c r="Z354" s="128"/>
      <c r="AB354" s="16" t="s">
        <v>998</v>
      </c>
      <c r="AC354" s="111"/>
    </row>
    <row r="355" spans="1:29" ht="24.75" customHeight="1">
      <c r="A355" s="123"/>
      <c r="B355" s="21" t="s">
        <v>8</v>
      </c>
      <c r="C355" s="29" t="s">
        <v>1023</v>
      </c>
      <c r="D355" s="23"/>
      <c r="E355" s="24"/>
      <c r="F355" s="39"/>
      <c r="G355" s="127"/>
      <c r="H355" s="127"/>
      <c r="I355" s="127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>
        <v>1906.7796610169491</v>
      </c>
      <c r="W355" s="26">
        <v>1906.7796610169491</v>
      </c>
      <c r="X355" s="26">
        <v>1906.7796610169491</v>
      </c>
      <c r="Y355" s="26">
        <v>1906.7796610169491</v>
      </c>
      <c r="Z355" s="124" t="s">
        <v>690</v>
      </c>
      <c r="AB355" s="16" t="s">
        <v>998</v>
      </c>
      <c r="AC355" s="38" t="s">
        <v>1022</v>
      </c>
    </row>
    <row r="356" spans="1:29" ht="24.75" customHeight="1">
      <c r="A356" s="123"/>
      <c r="B356" s="21"/>
      <c r="C356" s="38" t="s">
        <v>1024</v>
      </c>
      <c r="D356" s="23"/>
      <c r="E356" s="24"/>
      <c r="F356" s="39"/>
      <c r="G356" s="127"/>
      <c r="H356" s="127"/>
      <c r="I356" s="127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>
        <v>0</v>
      </c>
      <c r="W356" s="26">
        <v>0</v>
      </c>
      <c r="X356" s="26">
        <v>0</v>
      </c>
      <c r="Y356" s="26">
        <v>0</v>
      </c>
      <c r="Z356" s="128"/>
      <c r="AB356" s="16" t="s">
        <v>998</v>
      </c>
      <c r="AC356" s="111"/>
    </row>
    <row r="357" spans="1:29" ht="24.75" customHeight="1">
      <c r="A357" s="123"/>
      <c r="B357" s="21" t="s">
        <v>8</v>
      </c>
      <c r="C357" s="29" t="s">
        <v>1025</v>
      </c>
      <c r="D357" s="23"/>
      <c r="E357" s="24"/>
      <c r="F357" s="39"/>
      <c r="G357" s="127"/>
      <c r="H357" s="127"/>
      <c r="I357" s="127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>
        <v>1211.8644067796611</v>
      </c>
      <c r="W357" s="26">
        <v>1211.8644067796611</v>
      </c>
      <c r="X357" s="26">
        <v>1211.8644067796611</v>
      </c>
      <c r="Y357" s="26">
        <v>1211.8644067796611</v>
      </c>
      <c r="Z357" s="124" t="s">
        <v>690</v>
      </c>
      <c r="AB357" s="16" t="s">
        <v>998</v>
      </c>
      <c r="AC357" s="38" t="s">
        <v>1024</v>
      </c>
    </row>
    <row r="358" spans="1:29" ht="24.75" customHeight="1">
      <c r="A358" s="123"/>
      <c r="B358" s="21" t="s">
        <v>11</v>
      </c>
      <c r="C358" s="29" t="s">
        <v>1023</v>
      </c>
      <c r="D358" s="23"/>
      <c r="E358" s="24"/>
      <c r="F358" s="39"/>
      <c r="G358" s="127"/>
      <c r="H358" s="127"/>
      <c r="I358" s="127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>
        <v>1296.6101694915255</v>
      </c>
      <c r="W358" s="26">
        <v>1296.6101694915255</v>
      </c>
      <c r="X358" s="26">
        <v>1296.6101694915255</v>
      </c>
      <c r="Y358" s="26">
        <v>1296.6101694915255</v>
      </c>
      <c r="Z358" s="124" t="s">
        <v>690</v>
      </c>
      <c r="AB358" s="16" t="s">
        <v>998</v>
      </c>
      <c r="AC358" s="38" t="s">
        <v>1024</v>
      </c>
    </row>
    <row r="359" spans="1:29" ht="24.75" customHeight="1">
      <c r="A359" s="123"/>
      <c r="B359" s="21"/>
      <c r="C359" s="38" t="s">
        <v>1026</v>
      </c>
      <c r="D359" s="23"/>
      <c r="E359" s="24"/>
      <c r="F359" s="39"/>
      <c r="G359" s="127"/>
      <c r="H359" s="127"/>
      <c r="I359" s="127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>
        <v>0</v>
      </c>
      <c r="W359" s="26">
        <v>0</v>
      </c>
      <c r="X359" s="26">
        <v>0</v>
      </c>
      <c r="Y359" s="26">
        <v>0</v>
      </c>
      <c r="Z359" s="128"/>
      <c r="AB359" s="16" t="s">
        <v>998</v>
      </c>
      <c r="AC359" s="111"/>
    </row>
    <row r="360" spans="1:29" ht="24.75" customHeight="1">
      <c r="A360" s="123"/>
      <c r="B360" s="21" t="s">
        <v>8</v>
      </c>
      <c r="C360" s="29" t="s">
        <v>1025</v>
      </c>
      <c r="D360" s="23"/>
      <c r="E360" s="24"/>
      <c r="F360" s="39"/>
      <c r="G360" s="127"/>
      <c r="H360" s="127"/>
      <c r="I360" s="127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>
        <v>1093.2203389830509</v>
      </c>
      <c r="W360" s="26">
        <v>1093.2203389830509</v>
      </c>
      <c r="X360" s="26">
        <v>1093.2203389830509</v>
      </c>
      <c r="Y360" s="26">
        <v>1093.2203389830509</v>
      </c>
      <c r="Z360" s="124" t="s">
        <v>690</v>
      </c>
      <c r="AB360" s="16" t="s">
        <v>998</v>
      </c>
      <c r="AC360" s="38" t="s">
        <v>1026</v>
      </c>
    </row>
    <row r="361" spans="1:29" ht="24.75" customHeight="1">
      <c r="A361" s="123"/>
      <c r="B361" s="21"/>
      <c r="C361" s="38" t="s">
        <v>1027</v>
      </c>
      <c r="D361" s="23"/>
      <c r="E361" s="24"/>
      <c r="F361" s="39"/>
      <c r="G361" s="127"/>
      <c r="H361" s="127"/>
      <c r="I361" s="127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>
        <v>0</v>
      </c>
      <c r="W361" s="26">
        <v>0</v>
      </c>
      <c r="X361" s="26">
        <v>0</v>
      </c>
      <c r="Y361" s="26">
        <v>0</v>
      </c>
      <c r="Z361" s="128"/>
      <c r="AB361" s="16" t="s">
        <v>998</v>
      </c>
      <c r="AC361" s="111"/>
    </row>
    <row r="362" spans="1:29" ht="24.75" customHeight="1">
      <c r="A362" s="123"/>
      <c r="B362" s="21" t="s">
        <v>8</v>
      </c>
      <c r="C362" s="29" t="s">
        <v>1025</v>
      </c>
      <c r="D362" s="23"/>
      <c r="E362" s="24"/>
      <c r="F362" s="39"/>
      <c r="G362" s="127"/>
      <c r="H362" s="127"/>
      <c r="I362" s="127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>
        <v>1487.2881355932204</v>
      </c>
      <c r="W362" s="26">
        <v>1487.2881355932204</v>
      </c>
      <c r="X362" s="26">
        <v>1487.2881355932204</v>
      </c>
      <c r="Y362" s="26">
        <v>1487.2881355932204</v>
      </c>
      <c r="Z362" s="124" t="s">
        <v>690</v>
      </c>
      <c r="AB362" s="16" t="s">
        <v>998</v>
      </c>
      <c r="AC362" s="38" t="s">
        <v>1027</v>
      </c>
    </row>
    <row r="363" spans="1:29" ht="24.75" customHeight="1">
      <c r="A363" s="123"/>
      <c r="B363" s="21"/>
      <c r="C363" s="38" t="s">
        <v>1028</v>
      </c>
      <c r="D363" s="23"/>
      <c r="E363" s="24"/>
      <c r="F363" s="39"/>
      <c r="G363" s="127"/>
      <c r="H363" s="127"/>
      <c r="I363" s="127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>
        <v>0</v>
      </c>
      <c r="W363" s="26">
        <v>0</v>
      </c>
      <c r="X363" s="26">
        <v>0</v>
      </c>
      <c r="Y363" s="26">
        <v>0</v>
      </c>
      <c r="Z363" s="128"/>
      <c r="AB363" s="16" t="s">
        <v>998</v>
      </c>
      <c r="AC363" s="111"/>
    </row>
    <row r="364" spans="1:29" ht="24.75" customHeight="1">
      <c r="A364" s="123"/>
      <c r="B364" s="21" t="s">
        <v>8</v>
      </c>
      <c r="C364" s="29" t="s">
        <v>1029</v>
      </c>
      <c r="D364" s="23"/>
      <c r="E364" s="24"/>
      <c r="F364" s="39"/>
      <c r="G364" s="127"/>
      <c r="H364" s="127"/>
      <c r="I364" s="127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>
        <v>533.89830508474574</v>
      </c>
      <c r="W364" s="26">
        <v>533.89830508474574</v>
      </c>
      <c r="X364" s="26">
        <v>533.89830508474574</v>
      </c>
      <c r="Y364" s="26">
        <v>533.89830508474574</v>
      </c>
      <c r="Z364" s="124" t="s">
        <v>690</v>
      </c>
      <c r="AB364" s="16" t="s">
        <v>998</v>
      </c>
      <c r="AC364" s="38" t="s">
        <v>1028</v>
      </c>
    </row>
    <row r="365" spans="1:29" ht="24.75" customHeight="1">
      <c r="A365" s="123"/>
      <c r="B365" s="21"/>
      <c r="C365" s="38" t="s">
        <v>1030</v>
      </c>
      <c r="D365" s="23"/>
      <c r="E365" s="24"/>
      <c r="F365" s="39"/>
      <c r="G365" s="127"/>
      <c r="H365" s="127"/>
      <c r="I365" s="127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>
        <v>0</v>
      </c>
      <c r="W365" s="26">
        <v>0</v>
      </c>
      <c r="X365" s="26">
        <v>0</v>
      </c>
      <c r="Y365" s="26">
        <v>0</v>
      </c>
      <c r="Z365" s="128"/>
      <c r="AB365" s="16" t="s">
        <v>998</v>
      </c>
      <c r="AC365" s="111"/>
    </row>
    <row r="366" spans="1:29" ht="24.75" customHeight="1">
      <c r="A366" s="123"/>
      <c r="B366" s="21" t="s">
        <v>8</v>
      </c>
      <c r="C366" s="29" t="s">
        <v>1003</v>
      </c>
      <c r="D366" s="23"/>
      <c r="E366" s="24"/>
      <c r="F366" s="39"/>
      <c r="G366" s="127"/>
      <c r="H366" s="127"/>
      <c r="I366" s="127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>
        <v>3177.9661016949153</v>
      </c>
      <c r="W366" s="26">
        <v>3177.9661016949153</v>
      </c>
      <c r="X366" s="26">
        <v>3177.9661016949153</v>
      </c>
      <c r="Y366" s="26">
        <v>3177.9661016949153</v>
      </c>
      <c r="Z366" s="124" t="s">
        <v>690</v>
      </c>
      <c r="AB366" s="16" t="s">
        <v>998</v>
      </c>
      <c r="AC366" s="38" t="s">
        <v>1030</v>
      </c>
    </row>
    <row r="367" spans="1:29" ht="24.75" customHeight="1">
      <c r="A367" s="123"/>
      <c r="B367" s="21" t="s">
        <v>11</v>
      </c>
      <c r="C367" s="29" t="s">
        <v>1004</v>
      </c>
      <c r="D367" s="23"/>
      <c r="E367" s="24"/>
      <c r="F367" s="39"/>
      <c r="G367" s="127"/>
      <c r="H367" s="127"/>
      <c r="I367" s="127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>
        <v>6372.8813559322034</v>
      </c>
      <c r="W367" s="26">
        <v>6372.8813559322034</v>
      </c>
      <c r="X367" s="26">
        <v>6372.8813559322034</v>
      </c>
      <c r="Y367" s="26">
        <v>6372.8813559322034</v>
      </c>
      <c r="Z367" s="124" t="s">
        <v>690</v>
      </c>
      <c r="AB367" s="16" t="s">
        <v>998</v>
      </c>
      <c r="AC367" s="38" t="s">
        <v>1444</v>
      </c>
    </row>
    <row r="368" spans="1:29" ht="24.75" customHeight="1">
      <c r="A368" s="123"/>
      <c r="B368" s="21"/>
      <c r="C368" s="38" t="s">
        <v>1031</v>
      </c>
      <c r="D368" s="23"/>
      <c r="E368" s="24"/>
      <c r="F368" s="39"/>
      <c r="G368" s="127"/>
      <c r="H368" s="127"/>
      <c r="I368" s="127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>
        <v>0</v>
      </c>
      <c r="W368" s="26">
        <v>0</v>
      </c>
      <c r="X368" s="26">
        <v>0</v>
      </c>
      <c r="Y368" s="26">
        <v>0</v>
      </c>
      <c r="Z368" s="128"/>
      <c r="AB368" s="16" t="s">
        <v>998</v>
      </c>
      <c r="AC368" s="111"/>
    </row>
    <row r="369" spans="1:29" ht="24.75" customHeight="1">
      <c r="A369" s="123"/>
      <c r="B369" s="21" t="s">
        <v>8</v>
      </c>
      <c r="C369" s="29" t="s">
        <v>1018</v>
      </c>
      <c r="D369" s="23"/>
      <c r="E369" s="24"/>
      <c r="F369" s="39"/>
      <c r="G369" s="127"/>
      <c r="H369" s="127"/>
      <c r="I369" s="127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>
        <v>1627.1186440677966</v>
      </c>
      <c r="W369" s="26">
        <v>1627.1186440677966</v>
      </c>
      <c r="X369" s="26">
        <v>1627.1186440677966</v>
      </c>
      <c r="Y369" s="26">
        <v>1627.1186440677966</v>
      </c>
      <c r="Z369" s="124" t="s">
        <v>690</v>
      </c>
      <c r="AB369" s="16" t="s">
        <v>998</v>
      </c>
      <c r="AC369" s="38" t="s">
        <v>1031</v>
      </c>
    </row>
    <row r="370" spans="1:29" ht="24.75" customHeight="1">
      <c r="A370" s="123"/>
      <c r="B370" s="21" t="s">
        <v>11</v>
      </c>
      <c r="C370" s="29" t="s">
        <v>1019</v>
      </c>
      <c r="D370" s="23"/>
      <c r="E370" s="24"/>
      <c r="F370" s="39"/>
      <c r="G370" s="127"/>
      <c r="H370" s="127"/>
      <c r="I370" s="127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>
        <v>4627.1186440677966</v>
      </c>
      <c r="W370" s="26">
        <v>4627.1186440677966</v>
      </c>
      <c r="X370" s="26">
        <v>4627.1186440677966</v>
      </c>
      <c r="Y370" s="26">
        <v>4627.1186440677966</v>
      </c>
      <c r="Z370" s="124" t="s">
        <v>690</v>
      </c>
      <c r="AB370" s="16" t="s">
        <v>998</v>
      </c>
      <c r="AC370" s="38" t="s">
        <v>1445</v>
      </c>
    </row>
    <row r="371" spans="1:29" ht="24.75" customHeight="1">
      <c r="A371" s="123"/>
      <c r="B371" s="21"/>
      <c r="C371" s="38" t="s">
        <v>1032</v>
      </c>
      <c r="D371" s="23"/>
      <c r="E371" s="24"/>
      <c r="F371" s="39"/>
      <c r="G371" s="127"/>
      <c r="H371" s="127"/>
      <c r="I371" s="127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>
        <v>0</v>
      </c>
      <c r="W371" s="26">
        <v>0</v>
      </c>
      <c r="X371" s="26">
        <v>0</v>
      </c>
      <c r="Y371" s="26">
        <v>0</v>
      </c>
      <c r="Z371" s="128"/>
      <c r="AB371" s="16" t="s">
        <v>998</v>
      </c>
      <c r="AC371" s="111"/>
    </row>
    <row r="372" spans="1:29" ht="24.75" customHeight="1">
      <c r="A372" s="123"/>
      <c r="B372" s="21" t="s">
        <v>8</v>
      </c>
      <c r="C372" s="29" t="s">
        <v>1003</v>
      </c>
      <c r="D372" s="23"/>
      <c r="E372" s="24"/>
      <c r="F372" s="39"/>
      <c r="G372" s="127"/>
      <c r="H372" s="127"/>
      <c r="I372" s="127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>
        <v>3406.7796610169494</v>
      </c>
      <c r="W372" s="26">
        <v>3406.7796610169494</v>
      </c>
      <c r="X372" s="26">
        <v>3406.7796610169494</v>
      </c>
      <c r="Y372" s="26">
        <v>3406.7796610169494</v>
      </c>
      <c r="Z372" s="124" t="s">
        <v>690</v>
      </c>
      <c r="AB372" s="16" t="s">
        <v>998</v>
      </c>
      <c r="AC372" s="38" t="s">
        <v>1032</v>
      </c>
    </row>
    <row r="373" spans="1:29" ht="24.75" customHeight="1">
      <c r="A373" s="123"/>
      <c r="B373" s="21"/>
      <c r="C373" s="38" t="s">
        <v>1033</v>
      </c>
      <c r="D373" s="23"/>
      <c r="E373" s="24"/>
      <c r="F373" s="39"/>
      <c r="G373" s="127"/>
      <c r="H373" s="127"/>
      <c r="I373" s="127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>
        <v>0</v>
      </c>
      <c r="W373" s="26">
        <v>0</v>
      </c>
      <c r="X373" s="26">
        <v>0</v>
      </c>
      <c r="Y373" s="26">
        <v>0</v>
      </c>
      <c r="Z373" s="128"/>
      <c r="AB373" s="16" t="s">
        <v>998</v>
      </c>
      <c r="AC373" s="111"/>
    </row>
    <row r="374" spans="1:29" ht="24.75" customHeight="1">
      <c r="A374" s="123"/>
      <c r="B374" s="21" t="s">
        <v>8</v>
      </c>
      <c r="C374" s="29" t="s">
        <v>1003</v>
      </c>
      <c r="D374" s="23"/>
      <c r="E374" s="24"/>
      <c r="F374" s="39"/>
      <c r="G374" s="127"/>
      <c r="H374" s="127"/>
      <c r="I374" s="127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>
        <v>2567.7966101694915</v>
      </c>
      <c r="W374" s="26">
        <v>2567.7966101694915</v>
      </c>
      <c r="X374" s="26">
        <v>2567.7966101694915</v>
      </c>
      <c r="Y374" s="26">
        <v>2567.7966101694915</v>
      </c>
      <c r="Z374" s="124" t="s">
        <v>690</v>
      </c>
      <c r="AB374" s="16" t="s">
        <v>998</v>
      </c>
      <c r="AC374" s="38" t="s">
        <v>1033</v>
      </c>
    </row>
    <row r="375" spans="1:29" ht="24.75" customHeight="1">
      <c r="A375" s="123"/>
      <c r="B375" s="21"/>
      <c r="C375" s="38" t="s">
        <v>1034</v>
      </c>
      <c r="D375" s="23"/>
      <c r="E375" s="24"/>
      <c r="F375" s="39"/>
      <c r="G375" s="127"/>
      <c r="H375" s="127"/>
      <c r="I375" s="127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>
        <v>0</v>
      </c>
      <c r="W375" s="26">
        <v>0</v>
      </c>
      <c r="X375" s="26">
        <v>0</v>
      </c>
      <c r="Y375" s="26">
        <v>0</v>
      </c>
      <c r="Z375" s="128"/>
      <c r="AB375" s="16" t="s">
        <v>998</v>
      </c>
      <c r="AC375" s="111"/>
    </row>
    <row r="376" spans="1:29" ht="24.75" customHeight="1">
      <c r="A376" s="123"/>
      <c r="B376" s="21" t="s">
        <v>8</v>
      </c>
      <c r="C376" s="29" t="s">
        <v>1023</v>
      </c>
      <c r="D376" s="23"/>
      <c r="E376" s="24"/>
      <c r="F376" s="39"/>
      <c r="G376" s="127"/>
      <c r="H376" s="127"/>
      <c r="I376" s="127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>
        <v>1610.1694915254238</v>
      </c>
      <c r="W376" s="26">
        <v>1610.1694915254238</v>
      </c>
      <c r="X376" s="26">
        <v>1610.1694915254238</v>
      </c>
      <c r="Y376" s="26">
        <v>1610.1694915254238</v>
      </c>
      <c r="Z376" s="124" t="s">
        <v>690</v>
      </c>
      <c r="AB376" s="16" t="s">
        <v>998</v>
      </c>
      <c r="AC376" s="38" t="s">
        <v>1034</v>
      </c>
    </row>
    <row r="377" spans="1:29" ht="24.75" customHeight="1">
      <c r="A377" s="123"/>
      <c r="B377" s="21"/>
      <c r="C377" s="38" t="s">
        <v>1035</v>
      </c>
      <c r="D377" s="23"/>
      <c r="E377" s="24"/>
      <c r="F377" s="39"/>
      <c r="G377" s="127"/>
      <c r="H377" s="127"/>
      <c r="I377" s="127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>
        <v>0</v>
      </c>
      <c r="W377" s="26">
        <v>0</v>
      </c>
      <c r="X377" s="26">
        <v>0</v>
      </c>
      <c r="Y377" s="26">
        <v>0</v>
      </c>
      <c r="Z377" s="128"/>
      <c r="AB377" s="16" t="s">
        <v>998</v>
      </c>
      <c r="AC377" s="111"/>
    </row>
    <row r="378" spans="1:29" ht="24.75" customHeight="1">
      <c r="A378" s="123"/>
      <c r="B378" s="21" t="s">
        <v>8</v>
      </c>
      <c r="C378" s="29" t="s">
        <v>1025</v>
      </c>
      <c r="D378" s="23"/>
      <c r="E378" s="24"/>
      <c r="F378" s="39"/>
      <c r="G378" s="127"/>
      <c r="H378" s="127"/>
      <c r="I378" s="127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>
        <v>1588.9830508474577</v>
      </c>
      <c r="W378" s="26">
        <v>1588.9830508474577</v>
      </c>
      <c r="X378" s="26">
        <v>1588.9830508474577</v>
      </c>
      <c r="Y378" s="26">
        <v>1588.9830508474577</v>
      </c>
      <c r="Z378" s="124" t="s">
        <v>690</v>
      </c>
      <c r="AB378" s="16" t="s">
        <v>998</v>
      </c>
      <c r="AC378" s="38" t="s">
        <v>1035</v>
      </c>
    </row>
    <row r="379" spans="1:29" ht="24.75" customHeight="1">
      <c r="A379" s="123"/>
      <c r="B379" s="21" t="s">
        <v>11</v>
      </c>
      <c r="C379" s="29" t="s">
        <v>1023</v>
      </c>
      <c r="D379" s="23"/>
      <c r="E379" s="24"/>
      <c r="F379" s="39"/>
      <c r="G379" s="127"/>
      <c r="H379" s="127"/>
      <c r="I379" s="127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>
        <v>1699.1525423728815</v>
      </c>
      <c r="W379" s="26">
        <v>1699.1525423728815</v>
      </c>
      <c r="X379" s="26">
        <v>1699.1525423728815</v>
      </c>
      <c r="Y379" s="26">
        <v>1699.1525423728815</v>
      </c>
      <c r="Z379" s="124" t="s">
        <v>690</v>
      </c>
      <c r="AB379" s="16" t="s">
        <v>998</v>
      </c>
      <c r="AC379" s="38" t="s">
        <v>1035</v>
      </c>
    </row>
    <row r="380" spans="1:29" ht="24.75" customHeight="1">
      <c r="A380" s="123"/>
      <c r="B380" s="15"/>
      <c r="C380" s="16" t="s">
        <v>1036</v>
      </c>
      <c r="D380" s="23"/>
      <c r="E380" s="24"/>
      <c r="F380" s="39"/>
      <c r="G380" s="127"/>
      <c r="H380" s="127"/>
      <c r="I380" s="127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128"/>
      <c r="AB380" s="105"/>
      <c r="AC380" s="105"/>
    </row>
    <row r="381" spans="1:29" ht="24.75" customHeight="1">
      <c r="A381" s="123"/>
      <c r="B381" s="21" t="s">
        <v>8</v>
      </c>
      <c r="C381" s="29" t="s">
        <v>1037</v>
      </c>
      <c r="D381" s="23">
        <v>1</v>
      </c>
      <c r="E381" s="24" t="s">
        <v>1038</v>
      </c>
      <c r="F381" s="39"/>
      <c r="G381" s="127"/>
      <c r="H381" s="127"/>
      <c r="I381" s="127"/>
      <c r="J381" s="26">
        <v>1661</v>
      </c>
      <c r="K381" s="26"/>
      <c r="L381" s="26"/>
      <c r="M381" s="26"/>
      <c r="N381" s="26">
        <f t="shared" ref="N381:N387" si="2">AA381/$AA$2</f>
        <v>125.42372881355932</v>
      </c>
      <c r="O381" s="26">
        <v>125.42372881355899</v>
      </c>
      <c r="P381" s="26">
        <v>125.42372881355932</v>
      </c>
      <c r="Q381" s="26">
        <v>125.42372881355932</v>
      </c>
      <c r="R381" s="26">
        <v>125.42372881355932</v>
      </c>
      <c r="S381" s="26">
        <v>125.42372881355932</v>
      </c>
      <c r="T381" s="26">
        <v>125.42372881355932</v>
      </c>
      <c r="U381" s="26">
        <v>125.42372881355932</v>
      </c>
      <c r="V381" s="26">
        <v>125.42372881355932</v>
      </c>
      <c r="W381" s="26">
        <v>125.42372881355932</v>
      </c>
      <c r="X381" s="26">
        <v>125.42372881355932</v>
      </c>
      <c r="Y381" s="26">
        <v>125.42372881355932</v>
      </c>
      <c r="Z381" s="124" t="s">
        <v>690</v>
      </c>
      <c r="AA381" s="126">
        <v>148</v>
      </c>
      <c r="AB381" s="16" t="s">
        <v>1036</v>
      </c>
    </row>
    <row r="382" spans="1:29" ht="24.75" customHeight="1">
      <c r="A382" s="123"/>
      <c r="B382" s="21" t="s">
        <v>11</v>
      </c>
      <c r="C382" s="29" t="s">
        <v>1037</v>
      </c>
      <c r="D382" s="23">
        <v>1</v>
      </c>
      <c r="E382" s="24" t="s">
        <v>1039</v>
      </c>
      <c r="F382" s="39"/>
      <c r="G382" s="127"/>
      <c r="H382" s="127"/>
      <c r="I382" s="127"/>
      <c r="J382" s="26"/>
      <c r="K382" s="26"/>
      <c r="L382" s="26"/>
      <c r="M382" s="26"/>
      <c r="N382" s="26">
        <f t="shared" si="2"/>
        <v>169.49152542372883</v>
      </c>
      <c r="O382" s="26">
        <v>169.49152542372883</v>
      </c>
      <c r="P382" s="26">
        <v>169.49152542372883</v>
      </c>
      <c r="Q382" s="26">
        <v>169.49152542372883</v>
      </c>
      <c r="R382" s="26">
        <v>169.49152542372883</v>
      </c>
      <c r="S382" s="26">
        <v>169.49152542372883</v>
      </c>
      <c r="T382" s="26">
        <v>169.49152542372883</v>
      </c>
      <c r="U382" s="26">
        <v>169.49152542372883</v>
      </c>
      <c r="V382" s="26">
        <v>169.49152542372883</v>
      </c>
      <c r="W382" s="26">
        <v>169.49152542372883</v>
      </c>
      <c r="X382" s="26">
        <v>169.49152542372883</v>
      </c>
      <c r="Y382" s="26">
        <v>169.49152542372883</v>
      </c>
      <c r="Z382" s="124" t="s">
        <v>690</v>
      </c>
      <c r="AA382" s="126">
        <v>200</v>
      </c>
      <c r="AB382" s="16" t="s">
        <v>1036</v>
      </c>
    </row>
    <row r="383" spans="1:29" ht="24.75" customHeight="1">
      <c r="A383" s="123"/>
      <c r="B383" s="21" t="s">
        <v>13</v>
      </c>
      <c r="C383" s="29" t="s">
        <v>1037</v>
      </c>
      <c r="D383" s="23">
        <v>1</v>
      </c>
      <c r="E383" s="24" t="s">
        <v>1040</v>
      </c>
      <c r="F383" s="39"/>
      <c r="G383" s="127"/>
      <c r="H383" s="127"/>
      <c r="I383" s="127"/>
      <c r="J383" s="26">
        <v>750</v>
      </c>
      <c r="K383" s="26"/>
      <c r="L383" s="26"/>
      <c r="M383" s="26"/>
      <c r="N383" s="26">
        <f t="shared" si="2"/>
        <v>317.79661016949154</v>
      </c>
      <c r="O383" s="26">
        <v>317.79661016949154</v>
      </c>
      <c r="P383" s="26">
        <v>317.79661016949154</v>
      </c>
      <c r="Q383" s="26">
        <v>317.79661016949154</v>
      </c>
      <c r="R383" s="26">
        <v>317.79661016949154</v>
      </c>
      <c r="S383" s="26">
        <v>317.79661016949154</v>
      </c>
      <c r="T383" s="26">
        <v>317.79661016949154</v>
      </c>
      <c r="U383" s="26">
        <v>317.79661016949154</v>
      </c>
      <c r="V383" s="26">
        <v>317.79661016949154</v>
      </c>
      <c r="W383" s="26">
        <v>317.79661016949154</v>
      </c>
      <c r="X383" s="26">
        <v>317.79661016949154</v>
      </c>
      <c r="Y383" s="26">
        <v>317.79661016949154</v>
      </c>
      <c r="Z383" s="124" t="s">
        <v>690</v>
      </c>
      <c r="AA383" s="126">
        <v>375</v>
      </c>
      <c r="AB383" s="16" t="s">
        <v>1036</v>
      </c>
    </row>
    <row r="384" spans="1:29" ht="24.75" customHeight="1">
      <c r="A384" s="123"/>
      <c r="B384" s="21" t="s">
        <v>15</v>
      </c>
      <c r="C384" s="29" t="s">
        <v>1037</v>
      </c>
      <c r="D384" s="23">
        <v>1</v>
      </c>
      <c r="E384" s="24" t="s">
        <v>1041</v>
      </c>
      <c r="F384" s="39"/>
      <c r="G384" s="127"/>
      <c r="H384" s="127"/>
      <c r="I384" s="127"/>
      <c r="J384" s="26">
        <v>190</v>
      </c>
      <c r="K384" s="26"/>
      <c r="L384" s="26"/>
      <c r="M384" s="26"/>
      <c r="N384" s="26">
        <f t="shared" si="2"/>
        <v>453.38983050847457</v>
      </c>
      <c r="O384" s="26">
        <v>453.38983050847457</v>
      </c>
      <c r="P384" s="26">
        <v>453.38983050847457</v>
      </c>
      <c r="Q384" s="26">
        <v>453.38983050847457</v>
      </c>
      <c r="R384" s="26">
        <v>453.38983050847457</v>
      </c>
      <c r="S384" s="26">
        <v>453.38983050847457</v>
      </c>
      <c r="T384" s="26">
        <v>453.38983050847457</v>
      </c>
      <c r="U384" s="26">
        <v>453.38983050847457</v>
      </c>
      <c r="V384" s="26">
        <v>453.38983050847457</v>
      </c>
      <c r="W384" s="26">
        <v>453.38983050847457</v>
      </c>
      <c r="X384" s="26">
        <v>453.38983050847457</v>
      </c>
      <c r="Y384" s="26">
        <v>453.38983050847457</v>
      </c>
      <c r="Z384" s="124" t="s">
        <v>690</v>
      </c>
      <c r="AA384" s="126">
        <v>535</v>
      </c>
      <c r="AB384" s="16" t="s">
        <v>1036</v>
      </c>
    </row>
    <row r="385" spans="1:30" ht="24.75" customHeight="1">
      <c r="A385" s="123"/>
      <c r="B385" s="21" t="s">
        <v>18</v>
      </c>
      <c r="C385" s="29" t="s">
        <v>1037</v>
      </c>
      <c r="D385" s="23">
        <v>1</v>
      </c>
      <c r="E385" s="24" t="s">
        <v>1042</v>
      </c>
      <c r="F385" s="39"/>
      <c r="G385" s="127"/>
      <c r="H385" s="127"/>
      <c r="I385" s="127"/>
      <c r="J385" s="26"/>
      <c r="K385" s="26"/>
      <c r="L385" s="26"/>
      <c r="M385" s="26"/>
      <c r="N385" s="26">
        <f t="shared" si="2"/>
        <v>745.76271186440681</v>
      </c>
      <c r="O385" s="26">
        <v>745.76271186440681</v>
      </c>
      <c r="P385" s="26">
        <v>745.76271186440681</v>
      </c>
      <c r="Q385" s="26">
        <v>745.76271186440681</v>
      </c>
      <c r="R385" s="26">
        <v>745.76271186440681</v>
      </c>
      <c r="S385" s="26">
        <v>745.76271186440681</v>
      </c>
      <c r="T385" s="26">
        <v>745.76271186440681</v>
      </c>
      <c r="U385" s="26">
        <v>745.76271186440681</v>
      </c>
      <c r="V385" s="26">
        <v>745.76271186440681</v>
      </c>
      <c r="W385" s="26">
        <v>745.76271186440681</v>
      </c>
      <c r="X385" s="26">
        <v>745.76271186440681</v>
      </c>
      <c r="Y385" s="26">
        <v>745.76271186440681</v>
      </c>
      <c r="Z385" s="124" t="s">
        <v>690</v>
      </c>
      <c r="AA385" s="126">
        <v>880</v>
      </c>
      <c r="AB385" s="16" t="s">
        <v>1036</v>
      </c>
    </row>
    <row r="386" spans="1:30" ht="24.75" customHeight="1">
      <c r="A386" s="123"/>
      <c r="B386" s="21" t="s">
        <v>20</v>
      </c>
      <c r="C386" s="29" t="s">
        <v>1037</v>
      </c>
      <c r="D386" s="23">
        <v>1</v>
      </c>
      <c r="E386" s="24" t="s">
        <v>1043</v>
      </c>
      <c r="F386" s="39"/>
      <c r="G386" s="127"/>
      <c r="H386" s="127"/>
      <c r="I386" s="127"/>
      <c r="J386" s="26">
        <v>1600</v>
      </c>
      <c r="K386" s="26"/>
      <c r="L386" s="26"/>
      <c r="M386" s="26"/>
      <c r="N386" s="26">
        <f t="shared" si="2"/>
        <v>1398.3050847457628</v>
      </c>
      <c r="O386" s="26">
        <v>1398.3050847457628</v>
      </c>
      <c r="P386" s="26">
        <v>1398.3050847457628</v>
      </c>
      <c r="Q386" s="26">
        <v>1398.3050847457628</v>
      </c>
      <c r="R386" s="26">
        <v>1398.3050847457628</v>
      </c>
      <c r="S386" s="26">
        <v>1398.3050847457628</v>
      </c>
      <c r="T386" s="26">
        <v>1398.3050847457628</v>
      </c>
      <c r="U386" s="26">
        <v>1398.3050847457628</v>
      </c>
      <c r="V386" s="26">
        <v>1398.3050847457628</v>
      </c>
      <c r="W386" s="26">
        <v>1398.3050847457628</v>
      </c>
      <c r="X386" s="26">
        <v>1398.3050847457628</v>
      </c>
      <c r="Y386" s="26">
        <v>1398.3050847457628</v>
      </c>
      <c r="Z386" s="124" t="s">
        <v>690</v>
      </c>
      <c r="AA386" s="126">
        <v>1650</v>
      </c>
      <c r="AB386" s="16" t="s">
        <v>1036</v>
      </c>
    </row>
    <row r="387" spans="1:30" ht="24.75" customHeight="1">
      <c r="A387" s="123"/>
      <c r="B387" s="21" t="s">
        <v>24</v>
      </c>
      <c r="C387" s="29" t="s">
        <v>1037</v>
      </c>
      <c r="D387" s="23">
        <v>1</v>
      </c>
      <c r="E387" s="24" t="s">
        <v>1044</v>
      </c>
      <c r="F387" s="39"/>
      <c r="G387" s="127"/>
      <c r="H387" s="127"/>
      <c r="I387" s="127"/>
      <c r="J387" s="26"/>
      <c r="K387" s="26"/>
      <c r="L387" s="26"/>
      <c r="M387" s="26"/>
      <c r="N387" s="26">
        <f t="shared" si="2"/>
        <v>2754.2372881355932</v>
      </c>
      <c r="O387" s="26">
        <v>2754.2372881355932</v>
      </c>
      <c r="P387" s="26">
        <v>2754.2372881355932</v>
      </c>
      <c r="Q387" s="26">
        <v>2754.2372881355932</v>
      </c>
      <c r="R387" s="26">
        <v>2754.2372881355932</v>
      </c>
      <c r="S387" s="26">
        <v>2754.2372881355932</v>
      </c>
      <c r="T387" s="26">
        <v>2754.2372881355932</v>
      </c>
      <c r="U387" s="26">
        <v>2754.2372881355932</v>
      </c>
      <c r="V387" s="26">
        <v>2754.2372881355932</v>
      </c>
      <c r="W387" s="26">
        <v>2754.2372881355932</v>
      </c>
      <c r="X387" s="26">
        <v>2754.2372881355932</v>
      </c>
      <c r="Y387" s="26">
        <v>2754.2372881355932</v>
      </c>
      <c r="Z387" s="124" t="s">
        <v>690</v>
      </c>
      <c r="AA387" s="126">
        <v>3250</v>
      </c>
      <c r="AB387" s="16" t="s">
        <v>1036</v>
      </c>
      <c r="AC387" s="105"/>
      <c r="AD387" s="105"/>
    </row>
    <row r="388" spans="1:30" ht="24.75" customHeight="1">
      <c r="A388" s="123"/>
      <c r="B388" s="15"/>
      <c r="C388" s="16" t="s">
        <v>1045</v>
      </c>
      <c r="D388" s="23"/>
      <c r="E388" s="24"/>
      <c r="F388" s="39"/>
      <c r="G388" s="127"/>
      <c r="H388" s="127"/>
      <c r="I388" s="127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128"/>
      <c r="AB388" s="105"/>
      <c r="AC388" s="105"/>
      <c r="AD388" s="105"/>
    </row>
    <row r="389" spans="1:30" ht="24.75" customHeight="1">
      <c r="A389" s="123"/>
      <c r="B389" s="21" t="s">
        <v>8</v>
      </c>
      <c r="C389" s="29" t="s">
        <v>1046</v>
      </c>
      <c r="D389" s="23"/>
      <c r="E389" s="24"/>
      <c r="F389" s="39"/>
      <c r="G389" s="127"/>
      <c r="H389" s="127"/>
      <c r="I389" s="127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>
        <v>355.93220338983053</v>
      </c>
      <c r="W389" s="26">
        <v>355.93220338983053</v>
      </c>
      <c r="X389" s="26">
        <v>355.93220338983053</v>
      </c>
      <c r="Y389" s="26">
        <v>355.93220338983053</v>
      </c>
      <c r="Z389" s="124" t="s">
        <v>690</v>
      </c>
      <c r="AB389" s="16" t="s">
        <v>1045</v>
      </c>
      <c r="AC389" s="111"/>
      <c r="AD389" s="105"/>
    </row>
    <row r="390" spans="1:30" ht="24.75" customHeight="1">
      <c r="A390" s="123"/>
      <c r="B390" s="21" t="s">
        <v>11</v>
      </c>
      <c r="C390" s="29" t="s">
        <v>1047</v>
      </c>
      <c r="D390" s="23"/>
      <c r="E390" s="24"/>
      <c r="F390" s="39"/>
      <c r="G390" s="127"/>
      <c r="H390" s="127"/>
      <c r="I390" s="127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>
        <v>432.20338983050851</v>
      </c>
      <c r="W390" s="26">
        <v>432.20338983050851</v>
      </c>
      <c r="X390" s="26">
        <v>432.20338983050851</v>
      </c>
      <c r="Y390" s="26">
        <v>432.20338983050851</v>
      </c>
      <c r="Z390" s="124" t="s">
        <v>690</v>
      </c>
      <c r="AB390" s="16" t="s">
        <v>1045</v>
      </c>
      <c r="AC390" s="111"/>
      <c r="AD390" s="105"/>
    </row>
    <row r="391" spans="1:30" ht="24.75" customHeight="1">
      <c r="A391" s="123"/>
      <c r="B391" s="21" t="s">
        <v>13</v>
      </c>
      <c r="C391" s="29" t="s">
        <v>1048</v>
      </c>
      <c r="D391" s="23"/>
      <c r="E391" s="24"/>
      <c r="F391" s="39"/>
      <c r="G391" s="127"/>
      <c r="H391" s="127"/>
      <c r="I391" s="127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>
        <v>533.89830508474574</v>
      </c>
      <c r="W391" s="26">
        <v>533.89830508474574</v>
      </c>
      <c r="X391" s="26">
        <v>533.89830508474574</v>
      </c>
      <c r="Y391" s="26">
        <v>533.89830508474574</v>
      </c>
      <c r="Z391" s="124" t="s">
        <v>690</v>
      </c>
      <c r="AB391" s="16" t="s">
        <v>1045</v>
      </c>
      <c r="AC391" s="111"/>
      <c r="AD391" s="105"/>
    </row>
    <row r="392" spans="1:30" ht="24.75" customHeight="1">
      <c r="A392" s="123"/>
      <c r="B392" s="21" t="s">
        <v>15</v>
      </c>
      <c r="C392" s="29" t="s">
        <v>1049</v>
      </c>
      <c r="D392" s="23"/>
      <c r="E392" s="24"/>
      <c r="F392" s="39"/>
      <c r="G392" s="127"/>
      <c r="H392" s="127"/>
      <c r="I392" s="127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>
        <v>699.15254237288138</v>
      </c>
      <c r="W392" s="26">
        <v>699.15254237288138</v>
      </c>
      <c r="X392" s="26">
        <v>699.15254237288138</v>
      </c>
      <c r="Y392" s="26">
        <v>699.15254237288138</v>
      </c>
      <c r="Z392" s="124" t="s">
        <v>690</v>
      </c>
      <c r="AB392" s="16" t="s">
        <v>1045</v>
      </c>
      <c r="AC392" s="111"/>
      <c r="AD392" s="105"/>
    </row>
    <row r="393" spans="1:30" ht="24.75" customHeight="1">
      <c r="A393" s="123"/>
      <c r="B393" s="21" t="s">
        <v>18</v>
      </c>
      <c r="C393" s="29" t="s">
        <v>1050</v>
      </c>
      <c r="D393" s="23"/>
      <c r="E393" s="24"/>
      <c r="F393" s="39"/>
      <c r="G393" s="127"/>
      <c r="H393" s="127"/>
      <c r="I393" s="127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>
        <v>927.96610169491532</v>
      </c>
      <c r="W393" s="26">
        <v>927.96610169491532</v>
      </c>
      <c r="X393" s="26">
        <v>927.96610169491532</v>
      </c>
      <c r="Y393" s="26">
        <v>927.96610169491532</v>
      </c>
      <c r="Z393" s="124" t="s">
        <v>690</v>
      </c>
      <c r="AB393" s="16" t="s">
        <v>1045</v>
      </c>
      <c r="AC393" s="111"/>
      <c r="AD393" s="105"/>
    </row>
    <row r="394" spans="1:30" ht="24.75" customHeight="1">
      <c r="A394" s="123"/>
      <c r="B394" s="21" t="s">
        <v>20</v>
      </c>
      <c r="C394" s="29" t="s">
        <v>1051</v>
      </c>
      <c r="D394" s="23"/>
      <c r="E394" s="24"/>
      <c r="F394" s="39"/>
      <c r="G394" s="127"/>
      <c r="H394" s="127"/>
      <c r="I394" s="127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>
        <v>1016.949152542373</v>
      </c>
      <c r="W394" s="26">
        <v>1016.949152542373</v>
      </c>
      <c r="X394" s="26">
        <v>1016.949152542373</v>
      </c>
      <c r="Y394" s="26">
        <v>1016.949152542373</v>
      </c>
      <c r="Z394" s="124" t="s">
        <v>690</v>
      </c>
      <c r="AB394" s="16" t="s">
        <v>1045</v>
      </c>
      <c r="AC394" s="111"/>
      <c r="AD394" s="105"/>
    </row>
    <row r="395" spans="1:30" ht="24.75" customHeight="1">
      <c r="A395" s="123"/>
      <c r="B395" s="21" t="s">
        <v>24</v>
      </c>
      <c r="C395" s="29" t="s">
        <v>1052</v>
      </c>
      <c r="D395" s="23"/>
      <c r="E395" s="24"/>
      <c r="F395" s="39"/>
      <c r="G395" s="127"/>
      <c r="H395" s="127"/>
      <c r="I395" s="127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>
        <v>1258.4745762711866</v>
      </c>
      <c r="W395" s="26">
        <v>1258.4745762711866</v>
      </c>
      <c r="X395" s="26">
        <v>1258.4745762711866</v>
      </c>
      <c r="Y395" s="26">
        <v>1258.4745762711866</v>
      </c>
      <c r="Z395" s="124" t="s">
        <v>690</v>
      </c>
      <c r="AB395" s="16" t="s">
        <v>1045</v>
      </c>
      <c r="AC395" s="111"/>
      <c r="AD395" s="105"/>
    </row>
    <row r="396" spans="1:30" ht="24.75" customHeight="1">
      <c r="A396" s="123"/>
      <c r="B396" s="21" t="s">
        <v>27</v>
      </c>
      <c r="C396" s="29" t="s">
        <v>1053</v>
      </c>
      <c r="D396" s="23"/>
      <c r="E396" s="24"/>
      <c r="F396" s="39"/>
      <c r="G396" s="127"/>
      <c r="H396" s="127"/>
      <c r="I396" s="127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>
        <v>2135.593220338983</v>
      </c>
      <c r="W396" s="26">
        <v>2135.593220338983</v>
      </c>
      <c r="X396" s="26">
        <v>2135.593220338983</v>
      </c>
      <c r="Y396" s="26">
        <v>2135.593220338983</v>
      </c>
      <c r="Z396" s="124" t="s">
        <v>690</v>
      </c>
      <c r="AB396" s="16" t="s">
        <v>1045</v>
      </c>
      <c r="AC396" s="111"/>
      <c r="AD396" s="105"/>
    </row>
    <row r="397" spans="1:30" ht="24.75" customHeight="1">
      <c r="A397" s="123"/>
      <c r="B397" s="21" t="s">
        <v>30</v>
      </c>
      <c r="C397" s="29" t="s">
        <v>1054</v>
      </c>
      <c r="D397" s="23"/>
      <c r="E397" s="24"/>
      <c r="F397" s="39"/>
      <c r="G397" s="127"/>
      <c r="H397" s="127"/>
      <c r="I397" s="127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>
        <v>2796.6101694915255</v>
      </c>
      <c r="W397" s="26">
        <v>2796.6101694915255</v>
      </c>
      <c r="X397" s="26">
        <v>2796.6101694915255</v>
      </c>
      <c r="Y397" s="26">
        <v>2796.6101694915255</v>
      </c>
      <c r="Z397" s="124" t="s">
        <v>690</v>
      </c>
      <c r="AB397" s="16" t="s">
        <v>1045</v>
      </c>
      <c r="AC397" s="111"/>
      <c r="AD397" s="105"/>
    </row>
    <row r="398" spans="1:30" ht="24.75" customHeight="1">
      <c r="A398" s="123"/>
      <c r="B398" s="21" t="s">
        <v>32</v>
      </c>
      <c r="C398" s="29" t="s">
        <v>1055</v>
      </c>
      <c r="D398" s="23"/>
      <c r="E398" s="24"/>
      <c r="F398" s="39"/>
      <c r="G398" s="127"/>
      <c r="H398" s="127"/>
      <c r="I398" s="127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>
        <v>3724.5762711864409</v>
      </c>
      <c r="W398" s="26">
        <v>3724.5762711864409</v>
      </c>
      <c r="X398" s="26">
        <v>3724.5762711864409</v>
      </c>
      <c r="Y398" s="26">
        <v>3724.5762711864409</v>
      </c>
      <c r="Z398" s="124" t="s">
        <v>690</v>
      </c>
      <c r="AB398" s="16" t="s">
        <v>1045</v>
      </c>
      <c r="AC398" s="111"/>
      <c r="AD398" s="105"/>
    </row>
    <row r="399" spans="1:30" ht="24.75" customHeight="1">
      <c r="A399" s="123"/>
      <c r="B399" s="131" t="s">
        <v>35</v>
      </c>
      <c r="C399" s="132" t="s">
        <v>1056</v>
      </c>
      <c r="D399" s="133"/>
      <c r="E399" s="134"/>
      <c r="F399" s="135"/>
      <c r="G399" s="136"/>
      <c r="H399" s="136"/>
      <c r="I399" s="136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>
        <v>4016.9491525423732</v>
      </c>
      <c r="W399" s="137">
        <v>4016.9491525423732</v>
      </c>
      <c r="X399" s="137">
        <v>4016.9491525423732</v>
      </c>
      <c r="Y399" s="137">
        <v>4016.9491525423732</v>
      </c>
      <c r="Z399" s="138" t="s">
        <v>690</v>
      </c>
      <c r="AB399" s="16" t="s">
        <v>1045</v>
      </c>
      <c r="AC399" s="111"/>
      <c r="AD399" s="105"/>
    </row>
    <row r="400" spans="1:30" ht="24.75" customHeight="1">
      <c r="A400" s="139"/>
      <c r="B400" s="21" t="s">
        <v>37</v>
      </c>
      <c r="C400" s="29" t="s">
        <v>1057</v>
      </c>
      <c r="D400" s="23"/>
      <c r="E400" s="24"/>
      <c r="F400" s="39"/>
      <c r="G400" s="127"/>
      <c r="H400" s="127"/>
      <c r="I400" s="127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>
        <v>5491.5254237288136</v>
      </c>
      <c r="W400" s="26">
        <v>5491.5254237288136</v>
      </c>
      <c r="X400" s="26">
        <v>5491.5254237288136</v>
      </c>
      <c r="Y400" s="26">
        <v>5491.5254237288136</v>
      </c>
      <c r="Z400" s="124" t="s">
        <v>690</v>
      </c>
      <c r="AA400" s="105"/>
      <c r="AB400" s="16" t="s">
        <v>1045</v>
      </c>
      <c r="AC400" s="111"/>
      <c r="AD400" s="105"/>
    </row>
    <row r="401" spans="1:30" ht="24.75" customHeight="1">
      <c r="A401" s="123"/>
      <c r="B401" s="3"/>
      <c r="C401" s="112"/>
      <c r="D401" s="3"/>
      <c r="E401" s="140"/>
      <c r="F401" s="112"/>
      <c r="G401" s="1"/>
      <c r="H401" s="1"/>
      <c r="I401" s="1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105"/>
      <c r="AB401" s="105"/>
      <c r="AC401" s="105"/>
      <c r="AD401" s="105"/>
    </row>
    <row r="402" spans="1:30" ht="24.75" customHeight="1">
      <c r="A402" s="123"/>
      <c r="B402" s="3"/>
      <c r="C402" s="112"/>
      <c r="D402" s="3"/>
      <c r="E402" s="140"/>
      <c r="F402" s="112"/>
      <c r="G402" s="1"/>
      <c r="H402" s="1"/>
      <c r="I402" s="1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105"/>
      <c r="AB402" s="105"/>
      <c r="AC402" s="105"/>
      <c r="AD402" s="105"/>
    </row>
    <row r="403" spans="1:30" ht="24.75" customHeight="1">
      <c r="A403" s="123"/>
      <c r="B403" s="3"/>
      <c r="C403" s="112"/>
      <c r="D403" s="3"/>
      <c r="E403" s="140"/>
      <c r="F403" s="112"/>
      <c r="G403" s="1"/>
      <c r="H403" s="1"/>
      <c r="I403" s="1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105"/>
      <c r="AB403" s="105"/>
      <c r="AC403" s="105"/>
      <c r="AD403" s="105"/>
    </row>
    <row r="404" spans="1:30" ht="24.75" customHeight="1">
      <c r="A404" s="123"/>
      <c r="B404" s="3"/>
      <c r="C404" s="112"/>
      <c r="D404" s="3"/>
      <c r="E404" s="140"/>
      <c r="F404" s="112"/>
      <c r="G404" s="1"/>
      <c r="H404" s="1"/>
      <c r="I404" s="1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105"/>
      <c r="AB404" s="105"/>
      <c r="AC404" s="105"/>
      <c r="AD404" s="105"/>
    </row>
    <row r="405" spans="1:30" ht="24.75" customHeight="1">
      <c r="A405" s="123"/>
      <c r="B405" s="3"/>
      <c r="C405" s="112"/>
      <c r="D405" s="3"/>
      <c r="E405" s="140"/>
      <c r="F405" s="112"/>
      <c r="G405" s="1"/>
      <c r="H405" s="1"/>
      <c r="I405" s="1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105"/>
      <c r="AB405" s="105"/>
    </row>
    <row r="406" spans="1:30" ht="24.75" customHeight="1">
      <c r="A406" s="123"/>
      <c r="B406" s="3"/>
      <c r="C406" s="112"/>
      <c r="D406" s="3"/>
      <c r="E406" s="140"/>
      <c r="F406" s="112"/>
      <c r="G406" s="1"/>
      <c r="H406" s="1"/>
      <c r="I406" s="1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105"/>
      <c r="AB406" s="105"/>
    </row>
    <row r="407" spans="1:30" ht="24.75" customHeight="1">
      <c r="A407" s="123"/>
      <c r="B407" s="3"/>
      <c r="C407" s="112"/>
      <c r="D407" s="3"/>
      <c r="E407" s="140"/>
      <c r="F407" s="112"/>
      <c r="G407" s="1"/>
      <c r="H407" s="1"/>
      <c r="I407" s="1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105"/>
      <c r="AB407" s="105"/>
    </row>
    <row r="408" spans="1:30" ht="24.75" customHeight="1">
      <c r="A408" s="123"/>
      <c r="B408" s="3"/>
      <c r="C408" s="112"/>
      <c r="D408" s="3"/>
      <c r="E408" s="140"/>
      <c r="F408" s="112"/>
      <c r="G408" s="1"/>
      <c r="H408" s="1"/>
      <c r="I408" s="1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105"/>
      <c r="AB408" s="105"/>
    </row>
    <row r="409" spans="1:30" ht="24.75" customHeight="1">
      <c r="A409" s="123"/>
      <c r="B409" s="3"/>
      <c r="C409" s="112"/>
      <c r="D409" s="3"/>
      <c r="E409" s="140"/>
      <c r="F409" s="112"/>
      <c r="G409" s="1"/>
      <c r="H409" s="1"/>
      <c r="I409" s="1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105"/>
      <c r="AB409" s="105"/>
    </row>
    <row r="410" spans="1:30" ht="24.75" customHeight="1">
      <c r="A410" s="123"/>
      <c r="B410" s="3"/>
      <c r="C410" s="112"/>
      <c r="D410" s="3"/>
      <c r="E410" s="140"/>
      <c r="F410" s="112"/>
      <c r="G410" s="1"/>
      <c r="H410" s="1"/>
      <c r="I410" s="1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105"/>
      <c r="AB410" s="105"/>
    </row>
    <row r="411" spans="1:30" ht="24.75" customHeight="1">
      <c r="A411" s="123"/>
      <c r="B411" s="3"/>
      <c r="C411" s="112"/>
      <c r="D411" s="3"/>
      <c r="E411" s="140"/>
      <c r="F411" s="112"/>
      <c r="G411" s="1"/>
      <c r="H411" s="1"/>
      <c r="I411" s="1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105"/>
      <c r="AB411" s="105"/>
    </row>
    <row r="412" spans="1:30" ht="24.75" customHeight="1">
      <c r="A412" s="123"/>
      <c r="B412" s="3"/>
      <c r="C412" s="112"/>
      <c r="D412" s="3"/>
      <c r="E412" s="140"/>
      <c r="F412" s="112"/>
      <c r="G412" s="1"/>
      <c r="H412" s="1"/>
      <c r="I412" s="1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105"/>
      <c r="AB412" s="105"/>
    </row>
    <row r="413" spans="1:30" ht="24.75" customHeight="1">
      <c r="A413" s="123"/>
      <c r="B413" s="3"/>
      <c r="C413" s="112"/>
      <c r="D413" s="3"/>
      <c r="E413" s="140"/>
      <c r="F413" s="112"/>
      <c r="G413" s="1"/>
      <c r="H413" s="1"/>
      <c r="I413" s="1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105"/>
      <c r="AB413" s="105"/>
    </row>
    <row r="414" spans="1:30" ht="24.75" customHeight="1">
      <c r="A414" s="123"/>
      <c r="B414" s="3"/>
      <c r="C414" s="112"/>
      <c r="D414" s="3"/>
      <c r="E414" s="140"/>
      <c r="F414" s="112"/>
      <c r="G414" s="1"/>
      <c r="H414" s="1"/>
      <c r="I414" s="1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105"/>
      <c r="AB414" s="105"/>
    </row>
    <row r="415" spans="1:30" ht="24.75" customHeight="1">
      <c r="A415" s="123"/>
      <c r="B415" s="3"/>
      <c r="C415" s="112"/>
      <c r="D415" s="3"/>
      <c r="E415" s="140"/>
      <c r="F415" s="112"/>
      <c r="G415" s="1"/>
      <c r="H415" s="1"/>
      <c r="I415" s="1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105"/>
      <c r="AB415" s="105"/>
    </row>
    <row r="416" spans="1:30" ht="24.75" customHeight="1">
      <c r="A416" s="123"/>
      <c r="B416" s="3"/>
      <c r="C416" s="112"/>
      <c r="D416" s="3"/>
      <c r="E416" s="140"/>
      <c r="F416" s="112"/>
      <c r="G416" s="1"/>
      <c r="H416" s="1"/>
      <c r="I416" s="1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105"/>
      <c r="AB416" s="105"/>
    </row>
    <row r="417" spans="1:28" ht="24.75" customHeight="1">
      <c r="A417" s="123"/>
      <c r="B417" s="3"/>
      <c r="C417" s="112"/>
      <c r="D417" s="3"/>
      <c r="E417" s="140"/>
      <c r="F417" s="112"/>
      <c r="G417" s="1"/>
      <c r="H417" s="1"/>
      <c r="I417" s="1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105"/>
      <c r="AB417" s="105"/>
    </row>
    <row r="418" spans="1:28" ht="24.75" customHeight="1">
      <c r="A418" s="123"/>
      <c r="B418" s="3"/>
      <c r="C418" s="112"/>
      <c r="D418" s="3"/>
      <c r="E418" s="140"/>
      <c r="F418" s="112"/>
      <c r="G418" s="1"/>
      <c r="H418" s="1"/>
      <c r="I418" s="1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105"/>
      <c r="AB418" s="105"/>
    </row>
    <row r="419" spans="1:28" ht="24.75" customHeight="1">
      <c r="A419" s="123"/>
      <c r="B419" s="3"/>
      <c r="C419" s="112"/>
      <c r="D419" s="3"/>
      <c r="E419" s="140"/>
      <c r="F419" s="112"/>
      <c r="G419" s="1"/>
      <c r="H419" s="1"/>
      <c r="I419" s="1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105"/>
      <c r="AB419" s="105"/>
    </row>
    <row r="420" spans="1:28" ht="24.75" customHeight="1">
      <c r="A420" s="123"/>
      <c r="B420" s="3"/>
      <c r="C420" s="112"/>
      <c r="D420" s="3"/>
      <c r="E420" s="140"/>
      <c r="F420" s="112"/>
      <c r="G420" s="1"/>
      <c r="H420" s="1"/>
      <c r="I420" s="1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105"/>
      <c r="AB420" s="105"/>
    </row>
    <row r="421" spans="1:28" ht="24.75" customHeight="1">
      <c r="A421" s="123"/>
      <c r="B421" s="3"/>
      <c r="C421" s="112"/>
      <c r="D421" s="3"/>
      <c r="E421" s="140"/>
      <c r="F421" s="112"/>
      <c r="G421" s="1"/>
      <c r="H421" s="1"/>
      <c r="I421" s="1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105"/>
      <c r="AB421" s="105"/>
    </row>
    <row r="422" spans="1:28" ht="24.75" customHeight="1">
      <c r="A422" s="123"/>
      <c r="B422" s="3"/>
      <c r="C422" s="112"/>
      <c r="D422" s="3"/>
      <c r="E422" s="140"/>
      <c r="F422" s="112"/>
      <c r="G422" s="1"/>
      <c r="H422" s="1"/>
      <c r="I422" s="1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105"/>
      <c r="AB422" s="105"/>
    </row>
    <row r="423" spans="1:28" ht="24.75" customHeight="1">
      <c r="A423" s="123"/>
      <c r="B423" s="3"/>
      <c r="C423" s="112"/>
      <c r="D423" s="3"/>
      <c r="E423" s="140"/>
      <c r="F423" s="112"/>
      <c r="G423" s="1"/>
      <c r="H423" s="1"/>
      <c r="I423" s="1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105"/>
      <c r="AB423" s="105"/>
    </row>
    <row r="424" spans="1:28" ht="24.75" customHeight="1">
      <c r="A424" s="123"/>
      <c r="B424" s="3"/>
      <c r="C424" s="112"/>
      <c r="D424" s="3"/>
      <c r="E424" s="140"/>
      <c r="F424" s="112"/>
      <c r="G424" s="1"/>
      <c r="H424" s="1"/>
      <c r="I424" s="1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105"/>
      <c r="AB424" s="105"/>
    </row>
    <row r="425" spans="1:28" ht="24.75" customHeight="1">
      <c r="A425" s="123"/>
      <c r="B425" s="3"/>
      <c r="C425" s="112"/>
      <c r="D425" s="3"/>
      <c r="E425" s="140"/>
      <c r="F425" s="112"/>
      <c r="G425" s="1"/>
      <c r="H425" s="1"/>
      <c r="I425" s="1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105"/>
      <c r="AB425" s="105"/>
    </row>
    <row r="426" spans="1:28" ht="24.75" customHeight="1">
      <c r="A426" s="123"/>
      <c r="B426" s="3"/>
      <c r="C426" s="112"/>
      <c r="D426" s="3"/>
      <c r="E426" s="140"/>
      <c r="F426" s="112"/>
      <c r="G426" s="1"/>
      <c r="H426" s="1"/>
      <c r="I426" s="1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105"/>
      <c r="AB426" s="105"/>
    </row>
    <row r="427" spans="1:28" ht="24.75" customHeight="1">
      <c r="A427" s="123"/>
      <c r="B427" s="3"/>
      <c r="C427" s="112"/>
      <c r="D427" s="3"/>
      <c r="E427" s="3"/>
      <c r="F427" s="1"/>
      <c r="G427" s="1"/>
      <c r="H427" s="1"/>
      <c r="I427" s="1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105"/>
      <c r="AB427" s="105"/>
    </row>
    <row r="428" spans="1:28" ht="15.75" customHeight="1">
      <c r="A428" s="1"/>
      <c r="B428" s="3"/>
      <c r="C428" s="1"/>
      <c r="D428" s="3"/>
      <c r="E428" s="3"/>
      <c r="F428" s="1"/>
      <c r="G428" s="1"/>
      <c r="H428" s="1"/>
      <c r="I428" s="1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105"/>
      <c r="AB428" s="105"/>
    </row>
    <row r="429" spans="1:28" ht="15.75" customHeight="1">
      <c r="A429" s="1"/>
      <c r="B429" s="3"/>
      <c r="C429" s="1"/>
      <c r="D429" s="3"/>
      <c r="E429" s="3"/>
      <c r="F429" s="1"/>
      <c r="G429" s="1"/>
      <c r="H429" s="1"/>
      <c r="I429" s="1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105"/>
      <c r="AB429" s="105"/>
    </row>
    <row r="430" spans="1:28" ht="15.75" customHeight="1">
      <c r="A430" s="1"/>
      <c r="B430" s="3"/>
      <c r="C430" s="1"/>
      <c r="D430" s="3"/>
      <c r="E430" s="3"/>
      <c r="F430" s="1"/>
      <c r="G430" s="1"/>
      <c r="H430" s="1"/>
      <c r="I430" s="1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105"/>
      <c r="AB430" s="105"/>
    </row>
    <row r="431" spans="1:28" ht="15.75" customHeight="1">
      <c r="A431" s="1"/>
      <c r="B431" s="3"/>
      <c r="C431" s="1"/>
      <c r="D431" s="3"/>
      <c r="E431" s="3"/>
      <c r="F431" s="1"/>
      <c r="G431" s="1"/>
      <c r="H431" s="1"/>
      <c r="I431" s="1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105"/>
      <c r="AB431" s="105"/>
    </row>
    <row r="432" spans="1:28" ht="15.75" customHeight="1">
      <c r="A432" s="1"/>
      <c r="B432" s="3"/>
      <c r="C432" s="1"/>
      <c r="D432" s="3"/>
      <c r="E432" s="3"/>
      <c r="F432" s="1"/>
      <c r="G432" s="1"/>
      <c r="H432" s="1"/>
      <c r="I432" s="1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105"/>
      <c r="AB432" s="105"/>
    </row>
    <row r="433" spans="1:28" ht="15.75" customHeight="1">
      <c r="A433" s="1"/>
      <c r="B433" s="3"/>
      <c r="C433" s="1"/>
      <c r="D433" s="3"/>
      <c r="E433" s="3"/>
      <c r="F433" s="1"/>
      <c r="G433" s="1"/>
      <c r="H433" s="1"/>
      <c r="I433" s="1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105"/>
      <c r="AB433" s="105"/>
    </row>
    <row r="434" spans="1:28" ht="15.75" customHeight="1">
      <c r="A434" s="1"/>
      <c r="B434" s="3"/>
      <c r="C434" s="1"/>
      <c r="D434" s="3"/>
      <c r="E434" s="3"/>
      <c r="F434" s="1"/>
      <c r="G434" s="1"/>
      <c r="H434" s="1"/>
      <c r="I434" s="1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105"/>
      <c r="AB434" s="105"/>
    </row>
    <row r="435" spans="1:28" ht="15.75" customHeight="1">
      <c r="A435" s="1"/>
      <c r="B435" s="141"/>
      <c r="C435" s="1"/>
      <c r="D435" s="3"/>
      <c r="E435" s="3"/>
      <c r="F435" s="1"/>
      <c r="G435" s="1"/>
      <c r="H435" s="1"/>
      <c r="I435" s="1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8" ht="15.75" customHeight="1">
      <c r="A436" s="1"/>
      <c r="B436" s="141"/>
      <c r="C436" s="1"/>
      <c r="D436" s="3"/>
      <c r="E436" s="3"/>
      <c r="F436" s="1"/>
      <c r="G436" s="1"/>
      <c r="H436" s="1"/>
      <c r="I436" s="1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8" ht="15.75" customHeight="1">
      <c r="A437" s="1"/>
      <c r="B437" s="141"/>
      <c r="C437" s="1"/>
      <c r="D437" s="3"/>
      <c r="E437" s="3"/>
      <c r="F437" s="1"/>
      <c r="G437" s="1"/>
      <c r="H437" s="1"/>
      <c r="I437" s="1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8" ht="15.75" customHeight="1">
      <c r="A438" s="1"/>
      <c r="B438" s="141"/>
      <c r="C438" s="1"/>
      <c r="D438" s="3"/>
      <c r="E438" s="3"/>
      <c r="F438" s="1"/>
      <c r="G438" s="1"/>
      <c r="H438" s="1"/>
      <c r="I438" s="1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8" ht="15.75" customHeight="1">
      <c r="A439" s="1"/>
      <c r="B439" s="141"/>
      <c r="C439" s="1"/>
      <c r="D439" s="3"/>
      <c r="E439" s="3"/>
      <c r="F439" s="1"/>
      <c r="G439" s="1"/>
      <c r="H439" s="1"/>
      <c r="I439" s="1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8" ht="15.75" customHeight="1">
      <c r="A440" s="1"/>
      <c r="B440" s="141"/>
      <c r="C440" s="1"/>
      <c r="D440" s="3"/>
      <c r="E440" s="3"/>
      <c r="F440" s="1"/>
      <c r="G440" s="1"/>
      <c r="H440" s="1"/>
      <c r="I440" s="1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8" ht="15.75" customHeight="1">
      <c r="A441" s="1"/>
      <c r="B441" s="141"/>
      <c r="C441" s="1"/>
      <c r="D441" s="3"/>
      <c r="E441" s="3"/>
      <c r="F441" s="1"/>
      <c r="G441" s="1"/>
      <c r="H441" s="1"/>
      <c r="I441" s="1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8" ht="15.75" customHeight="1">
      <c r="A442" s="1"/>
      <c r="B442" s="141"/>
      <c r="C442" s="1"/>
      <c r="D442" s="3"/>
      <c r="E442" s="3"/>
      <c r="F442" s="1"/>
      <c r="G442" s="1"/>
      <c r="H442" s="1"/>
      <c r="I442" s="1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8" ht="15.75" customHeight="1">
      <c r="A443" s="1"/>
      <c r="B443" s="141"/>
      <c r="C443" s="1"/>
      <c r="D443" s="3"/>
      <c r="E443" s="3"/>
      <c r="F443" s="1"/>
      <c r="G443" s="1"/>
      <c r="H443" s="1"/>
      <c r="I443" s="1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8" ht="15.75" customHeight="1">
      <c r="A444" s="1"/>
      <c r="B444" s="141"/>
      <c r="C444" s="1"/>
      <c r="D444" s="3"/>
      <c r="E444" s="3"/>
      <c r="F444" s="1"/>
      <c r="G444" s="1"/>
      <c r="H444" s="1"/>
      <c r="I444" s="1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8" ht="15.75" customHeight="1">
      <c r="A445" s="1"/>
      <c r="B445" s="141"/>
      <c r="C445" s="1"/>
      <c r="D445" s="3"/>
      <c r="E445" s="3"/>
      <c r="F445" s="1"/>
      <c r="G445" s="1"/>
      <c r="H445" s="1"/>
      <c r="I445" s="1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8" ht="15.75" customHeight="1">
      <c r="A446" s="1"/>
      <c r="B446" s="141"/>
      <c r="C446" s="1"/>
      <c r="D446" s="3"/>
      <c r="E446" s="3"/>
      <c r="F446" s="1"/>
      <c r="G446" s="1"/>
      <c r="H446" s="1"/>
      <c r="I446" s="1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8" ht="15.75" customHeight="1">
      <c r="A447" s="1"/>
      <c r="B447" s="141"/>
      <c r="C447" s="1"/>
      <c r="D447" s="3"/>
      <c r="E447" s="3"/>
      <c r="F447" s="1"/>
      <c r="G447" s="1"/>
      <c r="H447" s="1"/>
      <c r="I447" s="1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8" ht="15.75" customHeight="1">
      <c r="A448" s="1"/>
      <c r="B448" s="141"/>
      <c r="C448" s="1"/>
      <c r="D448" s="3"/>
      <c r="E448" s="3"/>
      <c r="F448" s="1"/>
      <c r="G448" s="1"/>
      <c r="H448" s="1"/>
      <c r="I448" s="1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1"/>
      <c r="B449" s="141"/>
      <c r="C449" s="1"/>
      <c r="D449" s="3"/>
      <c r="E449" s="3"/>
      <c r="F449" s="1"/>
      <c r="G449" s="1"/>
      <c r="H449" s="1"/>
      <c r="I449" s="1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1"/>
      <c r="B450" s="141"/>
      <c r="C450" s="1"/>
      <c r="D450" s="3"/>
      <c r="E450" s="3"/>
      <c r="F450" s="1"/>
      <c r="G450" s="1"/>
      <c r="H450" s="1"/>
      <c r="I450" s="1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1"/>
      <c r="B451" s="141"/>
      <c r="C451" s="1"/>
      <c r="D451" s="3"/>
      <c r="E451" s="3"/>
      <c r="F451" s="1"/>
      <c r="G451" s="1"/>
      <c r="H451" s="1"/>
      <c r="I451" s="1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1"/>
      <c r="B452" s="141"/>
      <c r="C452" s="1"/>
      <c r="D452" s="3"/>
      <c r="E452" s="3"/>
      <c r="F452" s="1"/>
      <c r="G452" s="1"/>
      <c r="H452" s="1"/>
      <c r="I452" s="1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1"/>
      <c r="B453" s="141"/>
      <c r="C453" s="1"/>
      <c r="D453" s="3"/>
      <c r="E453" s="3"/>
      <c r="F453" s="1"/>
      <c r="G453" s="1"/>
      <c r="H453" s="1"/>
      <c r="I453" s="1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1"/>
      <c r="B454" s="141"/>
      <c r="C454" s="1"/>
      <c r="D454" s="3"/>
      <c r="E454" s="3"/>
      <c r="F454" s="1"/>
      <c r="G454" s="1"/>
      <c r="H454" s="1"/>
      <c r="I454" s="1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1"/>
      <c r="B455" s="141"/>
      <c r="C455" s="1"/>
      <c r="D455" s="3"/>
      <c r="E455" s="3"/>
      <c r="F455" s="1"/>
      <c r="G455" s="1"/>
      <c r="H455" s="1"/>
      <c r="I455" s="1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1"/>
      <c r="B456" s="141"/>
      <c r="C456" s="1"/>
      <c r="D456" s="3"/>
      <c r="E456" s="3"/>
      <c r="F456" s="1"/>
      <c r="G456" s="1"/>
      <c r="H456" s="1"/>
      <c r="I456" s="1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1"/>
      <c r="B457" s="141"/>
      <c r="C457" s="1"/>
      <c r="D457" s="3"/>
      <c r="E457" s="3"/>
      <c r="F457" s="1"/>
      <c r="G457" s="1"/>
      <c r="H457" s="1"/>
      <c r="I457" s="1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1"/>
      <c r="B458" s="141"/>
      <c r="C458" s="1"/>
      <c r="D458" s="3"/>
      <c r="E458" s="3"/>
      <c r="F458" s="1"/>
      <c r="G458" s="1"/>
      <c r="H458" s="1"/>
      <c r="I458" s="1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1"/>
      <c r="B459" s="141"/>
      <c r="C459" s="1"/>
      <c r="D459" s="3"/>
      <c r="E459" s="3"/>
      <c r="F459" s="1"/>
      <c r="G459" s="1"/>
      <c r="H459" s="1"/>
      <c r="I459" s="1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1"/>
      <c r="B460" s="141"/>
      <c r="C460" s="1"/>
      <c r="D460" s="3"/>
      <c r="E460" s="3"/>
      <c r="F460" s="1"/>
      <c r="G460" s="1"/>
      <c r="H460" s="1"/>
      <c r="I460" s="1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1"/>
      <c r="B461" s="141"/>
      <c r="C461" s="1"/>
      <c r="D461" s="3"/>
      <c r="E461" s="3"/>
      <c r="F461" s="1"/>
      <c r="G461" s="1"/>
      <c r="H461" s="1"/>
      <c r="I461" s="1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1"/>
      <c r="B462" s="141"/>
      <c r="C462" s="1"/>
      <c r="D462" s="3"/>
      <c r="E462" s="3"/>
      <c r="F462" s="1"/>
      <c r="G462" s="1"/>
      <c r="H462" s="1"/>
      <c r="I462" s="1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1"/>
      <c r="B463" s="141"/>
      <c r="C463" s="1"/>
      <c r="D463" s="3"/>
      <c r="E463" s="3"/>
      <c r="F463" s="1"/>
      <c r="G463" s="1"/>
      <c r="H463" s="1"/>
      <c r="I463" s="1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1"/>
      <c r="B464" s="141"/>
      <c r="C464" s="1"/>
      <c r="D464" s="3"/>
      <c r="E464" s="3"/>
      <c r="F464" s="1"/>
      <c r="G464" s="1"/>
      <c r="H464" s="1"/>
      <c r="I464" s="1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1"/>
      <c r="B465" s="141"/>
      <c r="C465" s="1"/>
      <c r="D465" s="3"/>
      <c r="E465" s="3"/>
      <c r="F465" s="1"/>
      <c r="G465" s="1"/>
      <c r="H465" s="1"/>
      <c r="I465" s="1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1"/>
      <c r="B466" s="141"/>
      <c r="C466" s="1"/>
      <c r="D466" s="3"/>
      <c r="E466" s="3"/>
      <c r="F466" s="1"/>
      <c r="G466" s="1"/>
      <c r="H466" s="1"/>
      <c r="I466" s="1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1"/>
      <c r="B467" s="141"/>
      <c r="C467" s="1"/>
      <c r="D467" s="3"/>
      <c r="E467" s="3"/>
      <c r="F467" s="1"/>
      <c r="G467" s="1"/>
      <c r="H467" s="1"/>
      <c r="I467" s="1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1"/>
      <c r="B468" s="141"/>
      <c r="C468" s="1"/>
      <c r="D468" s="3"/>
      <c r="E468" s="3"/>
      <c r="F468" s="1"/>
      <c r="G468" s="1"/>
      <c r="H468" s="1"/>
      <c r="I468" s="1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1"/>
      <c r="B469" s="141"/>
      <c r="C469" s="1"/>
      <c r="D469" s="3"/>
      <c r="E469" s="3"/>
      <c r="F469" s="1"/>
      <c r="G469" s="1"/>
      <c r="H469" s="1"/>
      <c r="I469" s="1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1"/>
      <c r="B470" s="141"/>
      <c r="C470" s="1"/>
      <c r="D470" s="3"/>
      <c r="E470" s="3"/>
      <c r="F470" s="1"/>
      <c r="G470" s="1"/>
      <c r="H470" s="1"/>
      <c r="I470" s="1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1"/>
      <c r="B471" s="141"/>
      <c r="C471" s="1"/>
      <c r="D471" s="3"/>
      <c r="E471" s="3"/>
      <c r="F471" s="1"/>
      <c r="G471" s="1"/>
      <c r="H471" s="1"/>
      <c r="I471" s="1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1"/>
      <c r="B472" s="141"/>
      <c r="C472" s="1"/>
      <c r="D472" s="3"/>
      <c r="E472" s="3"/>
      <c r="F472" s="1"/>
      <c r="G472" s="1"/>
      <c r="H472" s="1"/>
      <c r="I472" s="1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1"/>
      <c r="B473" s="141"/>
      <c r="C473" s="1"/>
      <c r="D473" s="3"/>
      <c r="E473" s="3"/>
      <c r="F473" s="1"/>
      <c r="G473" s="1"/>
      <c r="H473" s="1"/>
      <c r="I473" s="1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1"/>
      <c r="B474" s="141"/>
      <c r="C474" s="1"/>
      <c r="D474" s="3"/>
      <c r="E474" s="3"/>
      <c r="F474" s="1"/>
      <c r="G474" s="1"/>
      <c r="H474" s="1"/>
      <c r="I474" s="1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1"/>
      <c r="B475" s="141"/>
      <c r="C475" s="1"/>
      <c r="D475" s="3"/>
      <c r="E475" s="3"/>
      <c r="F475" s="1"/>
      <c r="G475" s="1"/>
      <c r="H475" s="1"/>
      <c r="I475" s="1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1"/>
      <c r="B476" s="141"/>
      <c r="C476" s="1"/>
      <c r="D476" s="3"/>
      <c r="E476" s="3"/>
      <c r="F476" s="1"/>
      <c r="G476" s="1"/>
      <c r="H476" s="1"/>
      <c r="I476" s="1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1"/>
      <c r="B477" s="141"/>
      <c r="C477" s="1"/>
      <c r="D477" s="3"/>
      <c r="E477" s="3"/>
      <c r="F477" s="1"/>
      <c r="G477" s="1"/>
      <c r="H477" s="1"/>
      <c r="I477" s="1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1"/>
      <c r="B478" s="141"/>
      <c r="C478" s="1"/>
      <c r="D478" s="3"/>
      <c r="E478" s="3"/>
      <c r="F478" s="1"/>
      <c r="G478" s="1"/>
      <c r="H478" s="1"/>
      <c r="I478" s="1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1"/>
      <c r="B479" s="141"/>
      <c r="C479" s="1"/>
      <c r="D479" s="3"/>
      <c r="E479" s="3"/>
      <c r="F479" s="1"/>
      <c r="G479" s="1"/>
      <c r="H479" s="1"/>
      <c r="I479" s="1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1"/>
      <c r="B480" s="141"/>
      <c r="C480" s="1"/>
      <c r="D480" s="3"/>
      <c r="E480" s="3"/>
      <c r="F480" s="1"/>
      <c r="G480" s="1"/>
      <c r="H480" s="1"/>
      <c r="I480" s="1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1"/>
      <c r="B481" s="141"/>
      <c r="C481" s="1"/>
      <c r="D481" s="3"/>
      <c r="E481" s="3"/>
      <c r="F481" s="1"/>
      <c r="G481" s="1"/>
      <c r="H481" s="1"/>
      <c r="I481" s="1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1"/>
      <c r="B482" s="141"/>
      <c r="C482" s="1"/>
      <c r="D482" s="3"/>
      <c r="E482" s="3"/>
      <c r="F482" s="1"/>
      <c r="G482" s="1"/>
      <c r="H482" s="1"/>
      <c r="I482" s="1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1"/>
      <c r="B483" s="141"/>
      <c r="C483" s="1"/>
      <c r="D483" s="3"/>
      <c r="E483" s="3"/>
      <c r="F483" s="1"/>
      <c r="G483" s="1"/>
      <c r="H483" s="1"/>
      <c r="I483" s="1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1"/>
      <c r="B484" s="141"/>
      <c r="C484" s="1"/>
      <c r="D484" s="3"/>
      <c r="E484" s="3"/>
      <c r="F484" s="1"/>
      <c r="G484" s="1"/>
      <c r="H484" s="1"/>
      <c r="I484" s="1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1"/>
      <c r="B485" s="141"/>
      <c r="C485" s="1"/>
      <c r="D485" s="3"/>
      <c r="E485" s="3"/>
      <c r="F485" s="1"/>
      <c r="G485" s="1"/>
      <c r="H485" s="1"/>
      <c r="I485" s="1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1"/>
      <c r="B486" s="141"/>
      <c r="C486" s="1"/>
      <c r="D486" s="3"/>
      <c r="E486" s="3"/>
      <c r="F486" s="1"/>
      <c r="G486" s="1"/>
      <c r="H486" s="1"/>
      <c r="I486" s="1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1"/>
      <c r="B487" s="141"/>
      <c r="C487" s="1"/>
      <c r="D487" s="3"/>
      <c r="E487" s="3"/>
      <c r="F487" s="1"/>
      <c r="G487" s="1"/>
      <c r="H487" s="1"/>
      <c r="I487" s="1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1"/>
      <c r="B488" s="141"/>
      <c r="C488" s="1"/>
      <c r="D488" s="3"/>
      <c r="E488" s="3"/>
      <c r="F488" s="1"/>
      <c r="G488" s="1"/>
      <c r="H488" s="1"/>
      <c r="I488" s="1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1"/>
      <c r="B489" s="141"/>
      <c r="C489" s="1"/>
      <c r="D489" s="3"/>
      <c r="E489" s="3"/>
      <c r="F489" s="1"/>
      <c r="G489" s="1"/>
      <c r="H489" s="1"/>
      <c r="I489" s="1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1"/>
      <c r="B490" s="141"/>
      <c r="C490" s="1"/>
      <c r="D490" s="3"/>
      <c r="E490" s="3"/>
      <c r="F490" s="1"/>
      <c r="G490" s="1"/>
      <c r="H490" s="1"/>
      <c r="I490" s="1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1"/>
      <c r="B491" s="141"/>
      <c r="C491" s="1"/>
      <c r="D491" s="3"/>
      <c r="E491" s="3"/>
      <c r="F491" s="1"/>
      <c r="G491" s="1"/>
      <c r="H491" s="1"/>
      <c r="I491" s="1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1"/>
      <c r="B492" s="141"/>
      <c r="C492" s="1"/>
      <c r="D492" s="3"/>
      <c r="E492" s="3"/>
      <c r="F492" s="1"/>
      <c r="G492" s="1"/>
      <c r="H492" s="1"/>
      <c r="I492" s="1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1"/>
      <c r="B493" s="141"/>
      <c r="C493" s="1"/>
      <c r="D493" s="3"/>
      <c r="E493" s="3"/>
      <c r="F493" s="1"/>
      <c r="G493" s="1"/>
      <c r="H493" s="1"/>
      <c r="I493" s="1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1"/>
      <c r="B494" s="141"/>
      <c r="C494" s="1"/>
      <c r="D494" s="3"/>
      <c r="E494" s="3"/>
      <c r="F494" s="1"/>
      <c r="G494" s="1"/>
      <c r="H494" s="1"/>
      <c r="I494" s="1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1"/>
      <c r="B495" s="141"/>
      <c r="C495" s="1"/>
      <c r="D495" s="3"/>
      <c r="E495" s="3"/>
      <c r="F495" s="1"/>
      <c r="G495" s="1"/>
      <c r="H495" s="1"/>
      <c r="I495" s="1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1"/>
      <c r="B496" s="141"/>
      <c r="C496" s="1"/>
      <c r="D496" s="3"/>
      <c r="E496" s="3"/>
      <c r="F496" s="1"/>
      <c r="G496" s="1"/>
      <c r="H496" s="1"/>
      <c r="I496" s="1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1"/>
      <c r="B497" s="141"/>
      <c r="C497" s="1"/>
      <c r="D497" s="3"/>
      <c r="E497" s="3"/>
      <c r="F497" s="1"/>
      <c r="G497" s="1"/>
      <c r="H497" s="1"/>
      <c r="I497" s="1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1"/>
      <c r="B498" s="141"/>
      <c r="C498" s="1"/>
      <c r="D498" s="3"/>
      <c r="E498" s="3"/>
      <c r="F498" s="1"/>
      <c r="G498" s="1"/>
      <c r="H498" s="1"/>
      <c r="I498" s="1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1"/>
      <c r="B499" s="141"/>
      <c r="C499" s="1"/>
      <c r="D499" s="3"/>
      <c r="E499" s="3"/>
      <c r="F499" s="1"/>
      <c r="G499" s="1"/>
      <c r="H499" s="1"/>
      <c r="I499" s="1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1"/>
      <c r="B500" s="141"/>
      <c r="C500" s="1"/>
      <c r="D500" s="3"/>
      <c r="E500" s="3"/>
      <c r="F500" s="1"/>
      <c r="G500" s="1"/>
      <c r="H500" s="1"/>
      <c r="I500" s="1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1"/>
      <c r="B501" s="141"/>
      <c r="C501" s="1"/>
      <c r="D501" s="3"/>
      <c r="E501" s="3"/>
      <c r="F501" s="1"/>
      <c r="G501" s="1"/>
      <c r="H501" s="1"/>
      <c r="I501" s="1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1"/>
      <c r="B502" s="141"/>
      <c r="C502" s="1"/>
      <c r="D502" s="3"/>
      <c r="E502" s="3"/>
      <c r="F502" s="1"/>
      <c r="G502" s="1"/>
      <c r="H502" s="1"/>
      <c r="I502" s="1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1"/>
      <c r="B503" s="141"/>
      <c r="C503" s="1"/>
      <c r="D503" s="3"/>
      <c r="E503" s="3"/>
      <c r="F503" s="1"/>
      <c r="G503" s="1"/>
      <c r="H503" s="1"/>
      <c r="I503" s="1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1"/>
      <c r="B504" s="141"/>
      <c r="C504" s="1"/>
      <c r="D504" s="3"/>
      <c r="E504" s="3"/>
      <c r="F504" s="1"/>
      <c r="G504" s="1"/>
      <c r="H504" s="1"/>
      <c r="I504" s="1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1"/>
      <c r="B505" s="141"/>
      <c r="C505" s="1"/>
      <c r="D505" s="3"/>
      <c r="E505" s="3"/>
      <c r="F505" s="1"/>
      <c r="G505" s="1"/>
      <c r="H505" s="1"/>
      <c r="I505" s="1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1"/>
      <c r="B506" s="141"/>
      <c r="C506" s="1"/>
      <c r="D506" s="3"/>
      <c r="E506" s="3"/>
      <c r="F506" s="1"/>
      <c r="G506" s="1"/>
      <c r="H506" s="1"/>
      <c r="I506" s="1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1"/>
      <c r="B507" s="141"/>
      <c r="C507" s="1"/>
      <c r="D507" s="3"/>
      <c r="E507" s="3"/>
      <c r="F507" s="1"/>
      <c r="G507" s="1"/>
      <c r="H507" s="1"/>
      <c r="I507" s="1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1"/>
      <c r="B508" s="141"/>
      <c r="C508" s="1"/>
      <c r="D508" s="3"/>
      <c r="E508" s="3"/>
      <c r="F508" s="1"/>
      <c r="G508" s="1"/>
      <c r="H508" s="1"/>
      <c r="I508" s="1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1"/>
      <c r="B509" s="141"/>
      <c r="C509" s="1"/>
      <c r="D509" s="3"/>
      <c r="E509" s="3"/>
      <c r="F509" s="1"/>
      <c r="G509" s="1"/>
      <c r="H509" s="1"/>
      <c r="I509" s="1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1"/>
      <c r="B510" s="141"/>
      <c r="C510" s="1"/>
      <c r="D510" s="3"/>
      <c r="E510" s="3"/>
      <c r="F510" s="1"/>
      <c r="G510" s="1"/>
      <c r="H510" s="1"/>
      <c r="I510" s="1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1"/>
      <c r="B511" s="141"/>
      <c r="C511" s="1"/>
      <c r="D511" s="3"/>
      <c r="E511" s="3"/>
      <c r="F511" s="1"/>
      <c r="G511" s="1"/>
      <c r="H511" s="1"/>
      <c r="I511" s="1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1"/>
      <c r="B512" s="141"/>
      <c r="C512" s="1"/>
      <c r="D512" s="3"/>
      <c r="E512" s="3"/>
      <c r="F512" s="1"/>
      <c r="G512" s="1"/>
      <c r="H512" s="1"/>
      <c r="I512" s="1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1"/>
      <c r="B513" s="141"/>
      <c r="C513" s="1"/>
      <c r="D513" s="3"/>
      <c r="E513" s="3"/>
      <c r="F513" s="1"/>
      <c r="G513" s="1"/>
      <c r="H513" s="1"/>
      <c r="I513" s="1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1"/>
      <c r="B514" s="141"/>
      <c r="C514" s="1"/>
      <c r="D514" s="3"/>
      <c r="E514" s="3"/>
      <c r="F514" s="1"/>
      <c r="G514" s="1"/>
      <c r="H514" s="1"/>
      <c r="I514" s="1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1"/>
      <c r="B515" s="141"/>
      <c r="C515" s="1"/>
      <c r="D515" s="3"/>
      <c r="E515" s="3"/>
      <c r="F515" s="1"/>
      <c r="G515" s="1"/>
      <c r="H515" s="1"/>
      <c r="I515" s="1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1"/>
      <c r="B516" s="141"/>
      <c r="C516" s="1"/>
      <c r="D516" s="3"/>
      <c r="E516" s="3"/>
      <c r="F516" s="1"/>
      <c r="G516" s="1"/>
      <c r="H516" s="1"/>
      <c r="I516" s="1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1"/>
      <c r="B517" s="141"/>
      <c r="C517" s="1"/>
      <c r="D517" s="3"/>
      <c r="E517" s="3"/>
      <c r="F517" s="1"/>
      <c r="G517" s="1"/>
      <c r="H517" s="1"/>
      <c r="I517" s="1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1"/>
      <c r="B518" s="141"/>
      <c r="C518" s="1"/>
      <c r="D518" s="3"/>
      <c r="E518" s="3"/>
      <c r="F518" s="1"/>
      <c r="G518" s="1"/>
      <c r="H518" s="1"/>
      <c r="I518" s="1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1"/>
      <c r="B519" s="141"/>
      <c r="C519" s="1"/>
      <c r="D519" s="3"/>
      <c r="E519" s="3"/>
      <c r="F519" s="1"/>
      <c r="G519" s="1"/>
      <c r="H519" s="1"/>
      <c r="I519" s="1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1"/>
      <c r="B520" s="141"/>
      <c r="C520" s="1"/>
      <c r="D520" s="3"/>
      <c r="E520" s="3"/>
      <c r="F520" s="1"/>
      <c r="G520" s="1"/>
      <c r="H520" s="1"/>
      <c r="I520" s="1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1"/>
      <c r="B521" s="141"/>
      <c r="C521" s="1"/>
      <c r="D521" s="3"/>
      <c r="E521" s="3"/>
      <c r="F521" s="1"/>
      <c r="G521" s="1"/>
      <c r="H521" s="1"/>
      <c r="I521" s="1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1"/>
      <c r="B522" s="141"/>
      <c r="C522" s="1"/>
      <c r="D522" s="3"/>
      <c r="E522" s="3"/>
      <c r="F522" s="1"/>
      <c r="G522" s="1"/>
      <c r="H522" s="1"/>
      <c r="I522" s="1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1"/>
      <c r="B523" s="141"/>
      <c r="C523" s="1"/>
      <c r="D523" s="3"/>
      <c r="E523" s="3"/>
      <c r="F523" s="1"/>
      <c r="G523" s="1"/>
      <c r="H523" s="1"/>
      <c r="I523" s="1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1"/>
      <c r="B524" s="141"/>
      <c r="C524" s="1"/>
      <c r="D524" s="3"/>
      <c r="E524" s="3"/>
      <c r="F524" s="1"/>
      <c r="G524" s="1"/>
      <c r="H524" s="1"/>
      <c r="I524" s="1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1"/>
      <c r="B525" s="141"/>
      <c r="C525" s="1"/>
      <c r="D525" s="3"/>
      <c r="E525" s="3"/>
      <c r="F525" s="1"/>
      <c r="G525" s="1"/>
      <c r="H525" s="1"/>
      <c r="I525" s="1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1"/>
      <c r="B526" s="141"/>
      <c r="C526" s="1"/>
      <c r="D526" s="3"/>
      <c r="E526" s="3"/>
      <c r="F526" s="1"/>
      <c r="G526" s="1"/>
      <c r="H526" s="1"/>
      <c r="I526" s="1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1"/>
      <c r="B527" s="141"/>
      <c r="C527" s="1"/>
      <c r="D527" s="3"/>
      <c r="E527" s="3"/>
      <c r="F527" s="1"/>
      <c r="G527" s="1"/>
      <c r="H527" s="1"/>
      <c r="I527" s="1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1"/>
      <c r="B528" s="141"/>
      <c r="C528" s="1"/>
      <c r="D528" s="3"/>
      <c r="E528" s="3"/>
      <c r="F528" s="1"/>
      <c r="G528" s="1"/>
      <c r="H528" s="1"/>
      <c r="I528" s="1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1"/>
      <c r="B529" s="141"/>
      <c r="C529" s="1"/>
      <c r="D529" s="3"/>
      <c r="E529" s="3"/>
      <c r="F529" s="1"/>
      <c r="G529" s="1"/>
      <c r="H529" s="1"/>
      <c r="I529" s="1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1"/>
      <c r="B530" s="141"/>
      <c r="C530" s="1"/>
      <c r="D530" s="3"/>
      <c r="E530" s="3"/>
      <c r="F530" s="1"/>
      <c r="G530" s="1"/>
      <c r="H530" s="1"/>
      <c r="I530" s="1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1"/>
      <c r="B531" s="141"/>
      <c r="C531" s="1"/>
      <c r="D531" s="3"/>
      <c r="E531" s="3"/>
      <c r="F531" s="1"/>
      <c r="G531" s="1"/>
      <c r="H531" s="1"/>
      <c r="I531" s="1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1"/>
      <c r="B532" s="141"/>
      <c r="C532" s="1"/>
      <c r="D532" s="3"/>
      <c r="E532" s="3"/>
      <c r="F532" s="1"/>
      <c r="G532" s="1"/>
      <c r="H532" s="1"/>
      <c r="I532" s="1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1"/>
      <c r="B533" s="141"/>
      <c r="C533" s="1"/>
      <c r="D533" s="3"/>
      <c r="E533" s="3"/>
      <c r="F533" s="1"/>
      <c r="G533" s="1"/>
      <c r="H533" s="1"/>
      <c r="I533" s="1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1"/>
      <c r="B534" s="141"/>
      <c r="C534" s="1"/>
      <c r="D534" s="3"/>
      <c r="E534" s="3"/>
      <c r="F534" s="1"/>
      <c r="G534" s="1"/>
      <c r="H534" s="1"/>
      <c r="I534" s="1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1"/>
      <c r="B535" s="141"/>
      <c r="C535" s="1"/>
      <c r="D535" s="3"/>
      <c r="E535" s="3"/>
      <c r="F535" s="1"/>
      <c r="G535" s="1"/>
      <c r="H535" s="1"/>
      <c r="I535" s="1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1"/>
      <c r="B536" s="141"/>
      <c r="C536" s="1"/>
      <c r="D536" s="3"/>
      <c r="E536" s="3"/>
      <c r="F536" s="1"/>
      <c r="G536" s="1"/>
      <c r="H536" s="1"/>
      <c r="I536" s="1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1"/>
      <c r="B537" s="141"/>
      <c r="C537" s="1"/>
      <c r="D537" s="3"/>
      <c r="E537" s="3"/>
      <c r="F537" s="1"/>
      <c r="G537" s="1"/>
      <c r="H537" s="1"/>
      <c r="I537" s="1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1"/>
      <c r="B538" s="141"/>
      <c r="C538" s="1"/>
      <c r="D538" s="3"/>
      <c r="E538" s="3"/>
      <c r="F538" s="1"/>
      <c r="G538" s="1"/>
      <c r="H538" s="1"/>
      <c r="I538" s="1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1"/>
      <c r="B539" s="141"/>
      <c r="C539" s="1"/>
      <c r="D539" s="3"/>
      <c r="E539" s="3"/>
      <c r="F539" s="1"/>
      <c r="G539" s="1"/>
      <c r="H539" s="1"/>
      <c r="I539" s="1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1"/>
      <c r="B540" s="141"/>
      <c r="C540" s="1"/>
      <c r="D540" s="3"/>
      <c r="E540" s="3"/>
      <c r="F540" s="1"/>
      <c r="G540" s="1"/>
      <c r="H540" s="1"/>
      <c r="I540" s="1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1"/>
      <c r="B541" s="141"/>
      <c r="C541" s="1"/>
      <c r="D541" s="3"/>
      <c r="E541" s="3"/>
      <c r="F541" s="1"/>
      <c r="G541" s="1"/>
      <c r="H541" s="1"/>
      <c r="I541" s="1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1"/>
      <c r="B542" s="141"/>
      <c r="C542" s="1"/>
      <c r="D542" s="3"/>
      <c r="E542" s="3"/>
      <c r="F542" s="1"/>
      <c r="G542" s="1"/>
      <c r="H542" s="1"/>
      <c r="I542" s="1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1"/>
      <c r="B543" s="141"/>
      <c r="C543" s="1"/>
      <c r="D543" s="3"/>
      <c r="E543" s="3"/>
      <c r="F543" s="1"/>
      <c r="G543" s="1"/>
      <c r="H543" s="1"/>
      <c r="I543" s="1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1"/>
      <c r="B544" s="141"/>
      <c r="C544" s="1"/>
      <c r="D544" s="3"/>
      <c r="E544" s="3"/>
      <c r="F544" s="1"/>
      <c r="G544" s="1"/>
      <c r="H544" s="1"/>
      <c r="I544" s="1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1"/>
      <c r="B545" s="141"/>
      <c r="C545" s="1"/>
      <c r="D545" s="3"/>
      <c r="E545" s="3"/>
      <c r="F545" s="1"/>
      <c r="G545" s="1"/>
      <c r="H545" s="1"/>
      <c r="I545" s="1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1"/>
      <c r="B546" s="141"/>
      <c r="C546" s="1"/>
      <c r="D546" s="3"/>
      <c r="E546" s="3"/>
      <c r="F546" s="1"/>
      <c r="G546" s="1"/>
      <c r="H546" s="1"/>
      <c r="I546" s="1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1"/>
      <c r="B547" s="141"/>
      <c r="C547" s="1"/>
      <c r="D547" s="3"/>
      <c r="E547" s="3"/>
      <c r="F547" s="1"/>
      <c r="G547" s="1"/>
      <c r="H547" s="1"/>
      <c r="I547" s="1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1"/>
      <c r="B548" s="141"/>
      <c r="C548" s="1"/>
      <c r="D548" s="3"/>
      <c r="E548" s="3"/>
      <c r="F548" s="1"/>
      <c r="G548" s="1"/>
      <c r="H548" s="1"/>
      <c r="I548" s="1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1"/>
      <c r="B549" s="141"/>
      <c r="C549" s="1"/>
      <c r="D549" s="3"/>
      <c r="E549" s="3"/>
      <c r="F549" s="1"/>
      <c r="G549" s="1"/>
      <c r="H549" s="1"/>
      <c r="I549" s="1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1"/>
      <c r="B550" s="141"/>
      <c r="C550" s="1"/>
      <c r="D550" s="3"/>
      <c r="E550" s="3"/>
      <c r="F550" s="1"/>
      <c r="G550" s="1"/>
      <c r="H550" s="1"/>
      <c r="I550" s="1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1"/>
      <c r="B551" s="141"/>
      <c r="C551" s="1"/>
      <c r="D551" s="3"/>
      <c r="E551" s="3"/>
      <c r="F551" s="1"/>
      <c r="G551" s="1"/>
      <c r="H551" s="1"/>
      <c r="I551" s="1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1"/>
      <c r="B552" s="141"/>
      <c r="C552" s="1"/>
      <c r="D552" s="3"/>
      <c r="E552" s="3"/>
      <c r="F552" s="1"/>
      <c r="G552" s="1"/>
      <c r="H552" s="1"/>
      <c r="I552" s="1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1"/>
      <c r="B553" s="141"/>
      <c r="C553" s="1"/>
      <c r="D553" s="3"/>
      <c r="E553" s="3"/>
      <c r="F553" s="1"/>
      <c r="G553" s="1"/>
      <c r="H553" s="1"/>
      <c r="I553" s="1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1"/>
      <c r="B554" s="141"/>
      <c r="C554" s="1"/>
      <c r="D554" s="3"/>
      <c r="E554" s="3"/>
      <c r="F554" s="1"/>
      <c r="G554" s="1"/>
      <c r="H554" s="1"/>
      <c r="I554" s="1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1"/>
      <c r="B555" s="141"/>
      <c r="C555" s="1"/>
      <c r="D555" s="3"/>
      <c r="E555" s="3"/>
      <c r="F555" s="1"/>
      <c r="G555" s="1"/>
      <c r="H555" s="1"/>
      <c r="I555" s="1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1"/>
      <c r="B556" s="141"/>
      <c r="C556" s="1"/>
      <c r="D556" s="3"/>
      <c r="E556" s="3"/>
      <c r="F556" s="1"/>
      <c r="G556" s="1"/>
      <c r="H556" s="1"/>
      <c r="I556" s="1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1"/>
      <c r="B557" s="141"/>
      <c r="C557" s="1"/>
      <c r="D557" s="3"/>
      <c r="E557" s="3"/>
      <c r="F557" s="1"/>
      <c r="G557" s="1"/>
      <c r="H557" s="1"/>
      <c r="I557" s="1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1"/>
      <c r="B558" s="141"/>
      <c r="C558" s="1"/>
      <c r="D558" s="3"/>
      <c r="E558" s="3"/>
      <c r="F558" s="1"/>
      <c r="G558" s="1"/>
      <c r="H558" s="1"/>
      <c r="I558" s="1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1"/>
      <c r="B559" s="141"/>
      <c r="C559" s="1"/>
      <c r="D559" s="3"/>
      <c r="E559" s="3"/>
      <c r="F559" s="1"/>
      <c r="G559" s="1"/>
      <c r="H559" s="1"/>
      <c r="I559" s="1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1"/>
      <c r="B560" s="141"/>
      <c r="C560" s="1"/>
      <c r="D560" s="3"/>
      <c r="E560" s="3"/>
      <c r="F560" s="1"/>
      <c r="G560" s="1"/>
      <c r="H560" s="1"/>
      <c r="I560" s="1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1"/>
      <c r="B561" s="141"/>
      <c r="C561" s="1"/>
      <c r="D561" s="3"/>
      <c r="E561" s="3"/>
      <c r="F561" s="1"/>
      <c r="G561" s="1"/>
      <c r="H561" s="1"/>
      <c r="I561" s="1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1"/>
      <c r="B562" s="141"/>
      <c r="C562" s="1"/>
      <c r="D562" s="3"/>
      <c r="E562" s="3"/>
      <c r="F562" s="1"/>
      <c r="G562" s="1"/>
      <c r="H562" s="1"/>
      <c r="I562" s="1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1"/>
      <c r="B563" s="141"/>
      <c r="C563" s="1"/>
      <c r="D563" s="3"/>
      <c r="E563" s="3"/>
      <c r="F563" s="1"/>
      <c r="G563" s="1"/>
      <c r="H563" s="1"/>
      <c r="I563" s="1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1"/>
      <c r="B564" s="141"/>
      <c r="C564" s="1"/>
      <c r="D564" s="3"/>
      <c r="E564" s="3"/>
      <c r="F564" s="1"/>
      <c r="G564" s="1"/>
      <c r="H564" s="1"/>
      <c r="I564" s="1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1"/>
      <c r="B565" s="141"/>
      <c r="C565" s="1"/>
      <c r="D565" s="3"/>
      <c r="E565" s="3"/>
      <c r="F565" s="1"/>
      <c r="G565" s="1"/>
      <c r="H565" s="1"/>
      <c r="I565" s="1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1"/>
      <c r="B566" s="141"/>
      <c r="C566" s="1"/>
      <c r="D566" s="3"/>
      <c r="E566" s="3"/>
      <c r="F566" s="1"/>
      <c r="G566" s="1"/>
      <c r="H566" s="1"/>
      <c r="I566" s="1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1"/>
      <c r="B567" s="141"/>
      <c r="C567" s="1"/>
      <c r="D567" s="3"/>
      <c r="E567" s="3"/>
      <c r="F567" s="1"/>
      <c r="G567" s="1"/>
      <c r="H567" s="1"/>
      <c r="I567" s="1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1"/>
      <c r="B568" s="141"/>
      <c r="C568" s="1"/>
      <c r="D568" s="3"/>
      <c r="E568" s="3"/>
      <c r="F568" s="1"/>
      <c r="G568" s="1"/>
      <c r="H568" s="1"/>
      <c r="I568" s="1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1"/>
      <c r="B569" s="141"/>
      <c r="C569" s="1"/>
      <c r="D569" s="3"/>
      <c r="E569" s="3"/>
      <c r="F569" s="1"/>
      <c r="G569" s="1"/>
      <c r="H569" s="1"/>
      <c r="I569" s="1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1"/>
      <c r="B570" s="141"/>
      <c r="C570" s="1"/>
      <c r="D570" s="3"/>
      <c r="E570" s="3"/>
      <c r="F570" s="1"/>
      <c r="G570" s="1"/>
      <c r="H570" s="1"/>
      <c r="I570" s="1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B571" s="142"/>
      <c r="E571" s="50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</row>
    <row r="572" spans="1:26" ht="15.75" customHeight="1">
      <c r="B572" s="142"/>
      <c r="E572" s="50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</row>
    <row r="573" spans="1:26" ht="15.75" customHeight="1">
      <c r="B573" s="142"/>
      <c r="E573" s="50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</row>
    <row r="574" spans="1:26" ht="15.75" customHeight="1">
      <c r="B574" s="142"/>
      <c r="E574" s="50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</row>
    <row r="575" spans="1:26" ht="15.75" customHeight="1">
      <c r="B575" s="142"/>
      <c r="E575" s="50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</row>
    <row r="576" spans="1:26" ht="15.75" customHeight="1">
      <c r="B576" s="142"/>
      <c r="E576" s="50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</row>
    <row r="577" spans="2:25" ht="15.75" customHeight="1">
      <c r="B577" s="142"/>
      <c r="E577" s="50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</row>
    <row r="578" spans="2:25" ht="15.75" customHeight="1">
      <c r="B578" s="142"/>
      <c r="E578" s="50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</row>
    <row r="579" spans="2:25" ht="15.75" customHeight="1">
      <c r="B579" s="142"/>
      <c r="E579" s="50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</row>
    <row r="580" spans="2:25" ht="15.75" customHeight="1">
      <c r="B580" s="142"/>
      <c r="E580" s="50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</row>
    <row r="581" spans="2:25" ht="15.75" customHeight="1">
      <c r="B581" s="142"/>
      <c r="E581" s="50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</row>
    <row r="582" spans="2:25" ht="15.75" customHeight="1">
      <c r="B582" s="142"/>
      <c r="E582" s="50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</row>
    <row r="583" spans="2:25" ht="15.75" customHeight="1">
      <c r="B583" s="142"/>
      <c r="E583" s="50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</row>
    <row r="584" spans="2:25" ht="15.75" customHeight="1">
      <c r="B584" s="142"/>
      <c r="E584" s="50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</row>
    <row r="585" spans="2:25" ht="15.75" customHeight="1">
      <c r="B585" s="142"/>
      <c r="E585" s="50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</row>
    <row r="586" spans="2:25" ht="15.75" customHeight="1">
      <c r="B586" s="142"/>
      <c r="E586" s="50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</row>
    <row r="587" spans="2:25" ht="15.75" customHeight="1">
      <c r="B587" s="142"/>
      <c r="E587" s="50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</row>
    <row r="588" spans="2:25" ht="15.75" customHeight="1">
      <c r="B588" s="142"/>
      <c r="E588" s="50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</row>
    <row r="589" spans="2:25" ht="15.75" customHeight="1">
      <c r="B589" s="142"/>
      <c r="E589" s="50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</row>
    <row r="590" spans="2:25" ht="15.75" customHeight="1">
      <c r="B590" s="142"/>
      <c r="E590" s="50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</row>
    <row r="591" spans="2:25" ht="15.75" customHeight="1">
      <c r="B591" s="142"/>
      <c r="E591" s="50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</row>
    <row r="592" spans="2:25" ht="15.75" customHeight="1">
      <c r="B592" s="142"/>
      <c r="E592" s="50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</row>
    <row r="593" spans="2:25" ht="15.75" customHeight="1">
      <c r="B593" s="142"/>
      <c r="E593" s="50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</row>
    <row r="594" spans="2:25" ht="15.75" customHeight="1">
      <c r="B594" s="142"/>
      <c r="E594" s="50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</row>
    <row r="595" spans="2:25" ht="15.75" customHeight="1">
      <c r="B595" s="142"/>
      <c r="E595" s="50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</row>
    <row r="596" spans="2:25" ht="15.75" customHeight="1">
      <c r="B596" s="142"/>
      <c r="E596" s="50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</row>
    <row r="597" spans="2:25" ht="15.75" customHeight="1">
      <c r="B597" s="142"/>
      <c r="E597" s="50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</row>
    <row r="598" spans="2:25" ht="15.75" customHeight="1">
      <c r="B598" s="142"/>
      <c r="E598" s="50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</row>
    <row r="599" spans="2:25" ht="15.75" customHeight="1">
      <c r="B599" s="142"/>
      <c r="E599" s="50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</row>
    <row r="600" spans="2:25" ht="15.75" customHeight="1">
      <c r="B600" s="142"/>
      <c r="E600" s="50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</row>
    <row r="601" spans="2:25" ht="15.75" customHeight="1">
      <c r="B601" s="142"/>
      <c r="E601" s="50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</row>
    <row r="602" spans="2:25" ht="15.75" customHeight="1">
      <c r="B602" s="142"/>
      <c r="E602" s="50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</row>
    <row r="603" spans="2:25" ht="15.75" customHeight="1">
      <c r="B603" s="142"/>
      <c r="E603" s="50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</row>
    <row r="604" spans="2:25" ht="15.75" customHeight="1">
      <c r="B604" s="142"/>
      <c r="E604" s="50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</row>
    <row r="605" spans="2:25" ht="15.75" customHeight="1">
      <c r="B605" s="142"/>
      <c r="E605" s="50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</row>
    <row r="606" spans="2:25" ht="15.75" customHeight="1">
      <c r="B606" s="142"/>
      <c r="E606" s="50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</row>
    <row r="607" spans="2:25" ht="15.75" customHeight="1">
      <c r="B607" s="142"/>
      <c r="E607" s="50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</row>
    <row r="608" spans="2:25" ht="15.75" customHeight="1">
      <c r="B608" s="142"/>
      <c r="E608" s="50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</row>
    <row r="609" spans="2:25" ht="15.75" customHeight="1">
      <c r="B609" s="142"/>
      <c r="E609" s="50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</row>
    <row r="610" spans="2:25" ht="15.75" customHeight="1">
      <c r="B610" s="142"/>
      <c r="E610" s="50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</row>
    <row r="611" spans="2:25" ht="15.75" customHeight="1">
      <c r="B611" s="142"/>
      <c r="E611" s="50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</row>
    <row r="612" spans="2:25" ht="15.75" customHeight="1">
      <c r="B612" s="142"/>
      <c r="E612" s="50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</row>
    <row r="613" spans="2:25" ht="15.75" customHeight="1">
      <c r="B613" s="142"/>
      <c r="E613" s="50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</row>
    <row r="614" spans="2:25" ht="15.75" customHeight="1">
      <c r="B614" s="142"/>
      <c r="E614" s="50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</row>
    <row r="615" spans="2:25" ht="15.75" customHeight="1">
      <c r="B615" s="142"/>
      <c r="E615" s="50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</row>
    <row r="616" spans="2:25" ht="15.75" customHeight="1">
      <c r="B616" s="142"/>
      <c r="E616" s="50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</row>
    <row r="617" spans="2:25" ht="15.75" customHeight="1">
      <c r="B617" s="142"/>
      <c r="E617" s="50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</row>
    <row r="618" spans="2:25" ht="15.75" customHeight="1">
      <c r="B618" s="142"/>
      <c r="E618" s="50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</row>
    <row r="619" spans="2:25" ht="15.75" customHeight="1">
      <c r="B619" s="142"/>
      <c r="E619" s="50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</row>
    <row r="620" spans="2:25" ht="15.75" customHeight="1">
      <c r="B620" s="142"/>
      <c r="E620" s="50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</row>
    <row r="621" spans="2:25" ht="15.75" customHeight="1">
      <c r="B621" s="142"/>
      <c r="E621" s="50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</row>
    <row r="622" spans="2:25" ht="15.75" customHeight="1">
      <c r="B622" s="142"/>
      <c r="E622" s="50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</row>
    <row r="623" spans="2:25" ht="15.75" customHeight="1">
      <c r="B623" s="142"/>
      <c r="E623" s="50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</row>
    <row r="624" spans="2:25" ht="15.75" customHeight="1">
      <c r="B624" s="142"/>
      <c r="E624" s="50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</row>
    <row r="625" spans="2:25" ht="15.75" customHeight="1">
      <c r="B625" s="142"/>
      <c r="E625" s="50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</row>
    <row r="626" spans="2:25" ht="15.75" customHeight="1">
      <c r="B626" s="142"/>
      <c r="E626" s="50"/>
    </row>
    <row r="627" spans="2:25" ht="15.75" customHeight="1">
      <c r="B627" s="142"/>
      <c r="E627" s="50"/>
    </row>
    <row r="628" spans="2:25" ht="15.75" customHeight="1">
      <c r="B628" s="142"/>
      <c r="E628" s="50"/>
    </row>
    <row r="629" spans="2:25" ht="15.75" customHeight="1">
      <c r="B629" s="142"/>
      <c r="E629" s="50"/>
    </row>
    <row r="630" spans="2:25" ht="15.75" customHeight="1">
      <c r="B630" s="142"/>
      <c r="E630" s="50"/>
    </row>
    <row r="631" spans="2:25" ht="15.75" customHeight="1">
      <c r="B631" s="142"/>
      <c r="E631" s="50"/>
    </row>
    <row r="632" spans="2:25" ht="15.75" customHeight="1">
      <c r="B632" s="142"/>
      <c r="E632" s="50"/>
    </row>
    <row r="633" spans="2:25" ht="15.75" customHeight="1">
      <c r="B633" s="142"/>
      <c r="E633" s="50"/>
    </row>
    <row r="634" spans="2:25" ht="15.75" customHeight="1">
      <c r="B634" s="142"/>
      <c r="E634" s="50"/>
    </row>
    <row r="635" spans="2:25" ht="15.75" customHeight="1">
      <c r="B635" s="142"/>
      <c r="E635" s="50"/>
    </row>
    <row r="636" spans="2:25" ht="15.75" customHeight="1">
      <c r="B636" s="142"/>
      <c r="E636" s="50"/>
    </row>
    <row r="637" spans="2:25" ht="15.75" customHeight="1">
      <c r="B637" s="142"/>
      <c r="E637" s="50"/>
    </row>
    <row r="638" spans="2:25" ht="15.75" customHeight="1">
      <c r="B638" s="142"/>
      <c r="E638" s="50"/>
    </row>
    <row r="639" spans="2:25" ht="15.75" customHeight="1">
      <c r="B639" s="142"/>
      <c r="E639" s="50"/>
    </row>
    <row r="640" spans="2:25" ht="15.75" customHeight="1">
      <c r="B640" s="142"/>
      <c r="E640" s="50"/>
    </row>
    <row r="641" spans="2:5" ht="15.75" customHeight="1">
      <c r="B641" s="142"/>
      <c r="E641" s="50"/>
    </row>
    <row r="642" spans="2:5" ht="15.75" customHeight="1">
      <c r="B642" s="142"/>
      <c r="E642" s="50"/>
    </row>
    <row r="643" spans="2:5" ht="15.75" customHeight="1">
      <c r="B643" s="142"/>
      <c r="E643" s="50"/>
    </row>
    <row r="644" spans="2:5" ht="15.75" customHeight="1">
      <c r="B644" s="142"/>
      <c r="E644" s="50"/>
    </row>
    <row r="645" spans="2:5" ht="15.75" customHeight="1">
      <c r="B645" s="142"/>
      <c r="E645" s="50"/>
    </row>
    <row r="646" spans="2:5" ht="15.75" customHeight="1">
      <c r="B646" s="142"/>
      <c r="E646" s="50"/>
    </row>
    <row r="647" spans="2:5" ht="15.75" customHeight="1">
      <c r="B647" s="142"/>
      <c r="E647" s="50"/>
    </row>
    <row r="648" spans="2:5" ht="15.75" customHeight="1">
      <c r="B648" s="142"/>
      <c r="E648" s="50"/>
    </row>
    <row r="649" spans="2:5" ht="15.75" customHeight="1">
      <c r="B649" s="142"/>
      <c r="E649" s="50"/>
    </row>
    <row r="650" spans="2:5" ht="15.75" customHeight="1">
      <c r="B650" s="142"/>
      <c r="E650" s="50"/>
    </row>
    <row r="651" spans="2:5" ht="15.75" customHeight="1">
      <c r="B651" s="142"/>
      <c r="E651" s="50"/>
    </row>
    <row r="652" spans="2:5" ht="15.75" customHeight="1">
      <c r="B652" s="142"/>
      <c r="E652" s="50"/>
    </row>
    <row r="653" spans="2:5" ht="15.75" customHeight="1">
      <c r="B653" s="142"/>
      <c r="E653" s="50"/>
    </row>
    <row r="654" spans="2:5" ht="15.75" customHeight="1">
      <c r="B654" s="142"/>
      <c r="E654" s="50"/>
    </row>
    <row r="655" spans="2:5" ht="15.75" customHeight="1">
      <c r="B655" s="142"/>
      <c r="E655" s="50"/>
    </row>
    <row r="656" spans="2:5" ht="15.75" customHeight="1">
      <c r="B656" s="142"/>
      <c r="E656" s="50"/>
    </row>
    <row r="657" spans="2:5" ht="15.75" customHeight="1">
      <c r="B657" s="142"/>
      <c r="E657" s="50"/>
    </row>
    <row r="658" spans="2:5" ht="15.75" customHeight="1">
      <c r="B658" s="142"/>
      <c r="E658" s="50"/>
    </row>
    <row r="659" spans="2:5" ht="15.75" customHeight="1">
      <c r="B659" s="142"/>
      <c r="E659" s="50"/>
    </row>
    <row r="660" spans="2:5" ht="15.75" customHeight="1">
      <c r="B660" s="142"/>
      <c r="E660" s="50"/>
    </row>
    <row r="661" spans="2:5" ht="15.75" customHeight="1">
      <c r="B661" s="142"/>
      <c r="E661" s="50"/>
    </row>
    <row r="662" spans="2:5" ht="15.75" customHeight="1">
      <c r="B662" s="142"/>
      <c r="E662" s="50"/>
    </row>
    <row r="663" spans="2:5" ht="15.75" customHeight="1">
      <c r="B663" s="142"/>
      <c r="E663" s="50"/>
    </row>
    <row r="664" spans="2:5" ht="15.75" customHeight="1">
      <c r="B664" s="142"/>
      <c r="E664" s="50"/>
    </row>
    <row r="665" spans="2:5" ht="15.75" customHeight="1">
      <c r="B665" s="142"/>
      <c r="E665" s="50"/>
    </row>
    <row r="666" spans="2:5" ht="15.75" customHeight="1">
      <c r="B666" s="142"/>
      <c r="E666" s="50"/>
    </row>
    <row r="667" spans="2:5" ht="15.75" customHeight="1">
      <c r="B667" s="142"/>
      <c r="E667" s="50"/>
    </row>
    <row r="668" spans="2:5" ht="15.75" customHeight="1">
      <c r="B668" s="142"/>
      <c r="E668" s="50"/>
    </row>
    <row r="669" spans="2:5" ht="15.75" customHeight="1">
      <c r="B669" s="142"/>
      <c r="E669" s="50"/>
    </row>
    <row r="670" spans="2:5" ht="15.75" customHeight="1">
      <c r="B670" s="142"/>
      <c r="E670" s="50"/>
    </row>
    <row r="671" spans="2:5" ht="15.75" customHeight="1">
      <c r="B671" s="142"/>
      <c r="E671" s="50"/>
    </row>
    <row r="672" spans="2:5" ht="15.75" customHeight="1">
      <c r="B672" s="142"/>
      <c r="E672" s="50"/>
    </row>
    <row r="673" spans="2:5" ht="15.75" customHeight="1">
      <c r="B673" s="142"/>
      <c r="E673" s="50"/>
    </row>
    <row r="674" spans="2:5" ht="15.75" customHeight="1">
      <c r="B674" s="142"/>
      <c r="E674" s="50"/>
    </row>
    <row r="675" spans="2:5" ht="15.75" customHeight="1">
      <c r="B675" s="142"/>
      <c r="E675" s="50"/>
    </row>
    <row r="676" spans="2:5" ht="15.75" customHeight="1">
      <c r="B676" s="142"/>
      <c r="E676" s="50"/>
    </row>
    <row r="677" spans="2:5" ht="15.75" customHeight="1">
      <c r="B677" s="142"/>
      <c r="E677" s="50"/>
    </row>
    <row r="678" spans="2:5" ht="15.75" customHeight="1">
      <c r="B678" s="142"/>
      <c r="E678" s="50"/>
    </row>
    <row r="679" spans="2:5" ht="15.75" customHeight="1">
      <c r="B679" s="142"/>
      <c r="E679" s="50"/>
    </row>
    <row r="680" spans="2:5" ht="15.75" customHeight="1">
      <c r="B680" s="142"/>
      <c r="E680" s="50"/>
    </row>
    <row r="681" spans="2:5" ht="15.75" customHeight="1">
      <c r="B681" s="142"/>
      <c r="E681" s="50"/>
    </row>
    <row r="682" spans="2:5" ht="15.75" customHeight="1">
      <c r="B682" s="142"/>
      <c r="E682" s="50"/>
    </row>
    <row r="683" spans="2:5" ht="15.75" customHeight="1">
      <c r="B683" s="142"/>
      <c r="E683" s="50"/>
    </row>
    <row r="684" spans="2:5" ht="15.75" customHeight="1">
      <c r="B684" s="142"/>
      <c r="E684" s="50"/>
    </row>
    <row r="685" spans="2:5" ht="15.75" customHeight="1">
      <c r="B685" s="142"/>
      <c r="E685" s="50"/>
    </row>
    <row r="686" spans="2:5" ht="15.75" customHeight="1">
      <c r="B686" s="142"/>
      <c r="E686" s="50"/>
    </row>
    <row r="687" spans="2:5" ht="15.75" customHeight="1">
      <c r="B687" s="142"/>
      <c r="E687" s="50"/>
    </row>
    <row r="688" spans="2:5" ht="15.75" customHeight="1">
      <c r="B688" s="142"/>
      <c r="E688" s="50"/>
    </row>
    <row r="689" spans="2:5" ht="15.75" customHeight="1">
      <c r="B689" s="142"/>
      <c r="E689" s="50"/>
    </row>
    <row r="690" spans="2:5" ht="15.75" customHeight="1">
      <c r="B690" s="142"/>
      <c r="E690" s="50"/>
    </row>
    <row r="691" spans="2:5" ht="15.75" customHeight="1">
      <c r="B691" s="142"/>
      <c r="E691" s="50"/>
    </row>
    <row r="692" spans="2:5" ht="15.75" customHeight="1">
      <c r="B692" s="142"/>
      <c r="E692" s="50"/>
    </row>
    <row r="693" spans="2:5" ht="15.75" customHeight="1">
      <c r="B693" s="142"/>
      <c r="E693" s="50"/>
    </row>
    <row r="694" spans="2:5" ht="15.75" customHeight="1">
      <c r="B694" s="142"/>
      <c r="E694" s="50"/>
    </row>
    <row r="695" spans="2:5" ht="15.75" customHeight="1">
      <c r="B695" s="142"/>
      <c r="E695" s="50"/>
    </row>
    <row r="696" spans="2:5" ht="15.75" customHeight="1">
      <c r="B696" s="142"/>
      <c r="E696" s="50"/>
    </row>
    <row r="697" spans="2:5" ht="15.75" customHeight="1">
      <c r="B697" s="142"/>
      <c r="E697" s="50"/>
    </row>
    <row r="698" spans="2:5" ht="15.75" customHeight="1">
      <c r="B698" s="142"/>
      <c r="E698" s="50"/>
    </row>
    <row r="699" spans="2:5" ht="15.75" customHeight="1">
      <c r="B699" s="142"/>
      <c r="E699" s="50"/>
    </row>
    <row r="700" spans="2:5" ht="15.75" customHeight="1">
      <c r="B700" s="142"/>
      <c r="E700" s="50"/>
    </row>
    <row r="701" spans="2:5" ht="15.75" customHeight="1">
      <c r="B701" s="142"/>
      <c r="E701" s="50"/>
    </row>
    <row r="702" spans="2:5" ht="15.75" customHeight="1">
      <c r="B702" s="142"/>
      <c r="E702" s="50"/>
    </row>
    <row r="703" spans="2:5" ht="15.75" customHeight="1">
      <c r="B703" s="142"/>
      <c r="E703" s="50"/>
    </row>
    <row r="704" spans="2:5" ht="15.75" customHeight="1">
      <c r="B704" s="142"/>
      <c r="E704" s="50"/>
    </row>
    <row r="705" spans="2:5" ht="15.75" customHeight="1">
      <c r="B705" s="142"/>
      <c r="E705" s="50"/>
    </row>
    <row r="706" spans="2:5" ht="15.75" customHeight="1">
      <c r="B706" s="142"/>
      <c r="E706" s="50"/>
    </row>
    <row r="707" spans="2:5" ht="15.75" customHeight="1">
      <c r="B707" s="142"/>
      <c r="E707" s="50"/>
    </row>
    <row r="708" spans="2:5" ht="15.75" customHeight="1">
      <c r="B708" s="142"/>
      <c r="E708" s="50"/>
    </row>
    <row r="709" spans="2:5" ht="15.75" customHeight="1">
      <c r="B709" s="142"/>
      <c r="E709" s="50"/>
    </row>
    <row r="710" spans="2:5" ht="15.75" customHeight="1">
      <c r="B710" s="142"/>
      <c r="E710" s="50"/>
    </row>
    <row r="711" spans="2:5" ht="15.75" customHeight="1">
      <c r="B711" s="142"/>
      <c r="E711" s="50"/>
    </row>
    <row r="712" spans="2:5" ht="15.75" customHeight="1">
      <c r="B712" s="142"/>
      <c r="E712" s="50"/>
    </row>
    <row r="713" spans="2:5" ht="15.75" customHeight="1">
      <c r="B713" s="142"/>
      <c r="E713" s="50"/>
    </row>
    <row r="714" spans="2:5" ht="15.75" customHeight="1">
      <c r="B714" s="142"/>
      <c r="E714" s="50"/>
    </row>
    <row r="715" spans="2:5" ht="15.75" customHeight="1">
      <c r="B715" s="142"/>
      <c r="E715" s="50"/>
    </row>
    <row r="716" spans="2:5" ht="15.75" customHeight="1">
      <c r="B716" s="142"/>
      <c r="E716" s="50"/>
    </row>
    <row r="717" spans="2:5" ht="15.75" customHeight="1">
      <c r="B717" s="142"/>
      <c r="E717" s="50"/>
    </row>
    <row r="718" spans="2:5" ht="15.75" customHeight="1">
      <c r="B718" s="142"/>
      <c r="E718" s="50"/>
    </row>
    <row r="719" spans="2:5" ht="15.75" customHeight="1">
      <c r="B719" s="142"/>
      <c r="E719" s="50"/>
    </row>
    <row r="720" spans="2:5" ht="15.75" customHeight="1">
      <c r="B720" s="142"/>
      <c r="E720" s="50"/>
    </row>
    <row r="721" spans="2:5" ht="15.75" customHeight="1">
      <c r="B721" s="142"/>
      <c r="E721" s="50"/>
    </row>
    <row r="722" spans="2:5" ht="15.75" customHeight="1">
      <c r="B722" s="142"/>
      <c r="E722" s="50"/>
    </row>
    <row r="723" spans="2:5" ht="15.75" customHeight="1">
      <c r="B723" s="142"/>
      <c r="E723" s="50"/>
    </row>
    <row r="724" spans="2:5" ht="15.75" customHeight="1">
      <c r="B724" s="142"/>
      <c r="E724" s="50"/>
    </row>
    <row r="725" spans="2:5" ht="15.75" customHeight="1">
      <c r="B725" s="142"/>
      <c r="E725" s="50"/>
    </row>
    <row r="726" spans="2:5" ht="15.75" customHeight="1">
      <c r="B726" s="142"/>
      <c r="E726" s="50"/>
    </row>
    <row r="727" spans="2:5" ht="15.75" customHeight="1">
      <c r="B727" s="142"/>
      <c r="E727" s="50"/>
    </row>
    <row r="728" spans="2:5" ht="15.75" customHeight="1">
      <c r="B728" s="142"/>
      <c r="E728" s="50"/>
    </row>
    <row r="729" spans="2:5" ht="15.75" customHeight="1">
      <c r="B729" s="142"/>
      <c r="E729" s="50"/>
    </row>
    <row r="730" spans="2:5" ht="15.75" customHeight="1">
      <c r="B730" s="142"/>
      <c r="E730" s="50"/>
    </row>
    <row r="731" spans="2:5" ht="15.75" customHeight="1">
      <c r="B731" s="142"/>
      <c r="E731" s="50"/>
    </row>
    <row r="732" spans="2:5" ht="15.75" customHeight="1">
      <c r="B732" s="142"/>
      <c r="E732" s="50"/>
    </row>
    <row r="733" spans="2:5" ht="15.75" customHeight="1">
      <c r="B733" s="142"/>
      <c r="E733" s="50"/>
    </row>
    <row r="734" spans="2:5" ht="15.75" customHeight="1">
      <c r="B734" s="142"/>
      <c r="E734" s="50"/>
    </row>
    <row r="735" spans="2:5" ht="15.75" customHeight="1">
      <c r="B735" s="142"/>
      <c r="E735" s="50"/>
    </row>
    <row r="736" spans="2:5" ht="15.75" customHeight="1">
      <c r="B736" s="142"/>
      <c r="E736" s="50"/>
    </row>
    <row r="737" spans="2:5" ht="15.75" customHeight="1">
      <c r="B737" s="142"/>
      <c r="E737" s="50"/>
    </row>
    <row r="738" spans="2:5" ht="15.75" customHeight="1">
      <c r="B738" s="142"/>
      <c r="E738" s="50"/>
    </row>
    <row r="739" spans="2:5" ht="15.75" customHeight="1">
      <c r="B739" s="142"/>
      <c r="E739" s="50"/>
    </row>
    <row r="740" spans="2:5" ht="15.75" customHeight="1">
      <c r="B740" s="142"/>
      <c r="E740" s="50"/>
    </row>
    <row r="741" spans="2:5" ht="15.75" customHeight="1">
      <c r="B741" s="142"/>
      <c r="E741" s="50"/>
    </row>
    <row r="742" spans="2:5" ht="15.75" customHeight="1">
      <c r="B742" s="142"/>
      <c r="E742" s="50"/>
    </row>
    <row r="743" spans="2:5" ht="15.75" customHeight="1">
      <c r="B743" s="142"/>
      <c r="E743" s="50"/>
    </row>
    <row r="744" spans="2:5" ht="15.75" customHeight="1">
      <c r="B744" s="142"/>
      <c r="E744" s="50"/>
    </row>
    <row r="745" spans="2:5" ht="15.75" customHeight="1">
      <c r="B745" s="142"/>
      <c r="E745" s="50"/>
    </row>
    <row r="746" spans="2:5" ht="15.75" customHeight="1">
      <c r="B746" s="142"/>
      <c r="E746" s="50"/>
    </row>
    <row r="747" spans="2:5" ht="15.75" customHeight="1">
      <c r="B747" s="142"/>
      <c r="E747" s="50"/>
    </row>
    <row r="748" spans="2:5" ht="15.75" customHeight="1">
      <c r="B748" s="142"/>
      <c r="E748" s="50"/>
    </row>
    <row r="749" spans="2:5" ht="15.75" customHeight="1">
      <c r="B749" s="142"/>
      <c r="E749" s="50"/>
    </row>
    <row r="750" spans="2:5" ht="15.75" customHeight="1">
      <c r="B750" s="142"/>
      <c r="E750" s="50"/>
    </row>
    <row r="751" spans="2:5" ht="15.75" customHeight="1">
      <c r="B751" s="142"/>
      <c r="E751" s="50"/>
    </row>
    <row r="752" spans="2:5" ht="15.75" customHeight="1">
      <c r="B752" s="142"/>
      <c r="E752" s="50"/>
    </row>
    <row r="753" spans="2:5" ht="15.75" customHeight="1">
      <c r="B753" s="142"/>
      <c r="E753" s="50"/>
    </row>
    <row r="754" spans="2:5" ht="15.75" customHeight="1">
      <c r="B754" s="142"/>
      <c r="E754" s="50"/>
    </row>
    <row r="755" spans="2:5" ht="15.75" customHeight="1">
      <c r="B755" s="142"/>
      <c r="E755" s="50"/>
    </row>
    <row r="756" spans="2:5" ht="15.75" customHeight="1">
      <c r="B756" s="142"/>
      <c r="E756" s="50"/>
    </row>
    <row r="757" spans="2:5" ht="15.75" customHeight="1">
      <c r="B757" s="142"/>
      <c r="E757" s="50"/>
    </row>
    <row r="758" spans="2:5" ht="15.75" customHeight="1">
      <c r="B758" s="142"/>
      <c r="E758" s="50"/>
    </row>
    <row r="759" spans="2:5" ht="15.75" customHeight="1">
      <c r="B759" s="142"/>
      <c r="E759" s="50"/>
    </row>
    <row r="760" spans="2:5" ht="15.75" customHeight="1">
      <c r="B760" s="142"/>
      <c r="E760" s="50"/>
    </row>
    <row r="761" spans="2:5" ht="15.75" customHeight="1">
      <c r="B761" s="142"/>
      <c r="E761" s="50"/>
    </row>
    <row r="762" spans="2:5" ht="15.75" customHeight="1">
      <c r="B762" s="142"/>
      <c r="E762" s="50"/>
    </row>
    <row r="763" spans="2:5" ht="15.75" customHeight="1">
      <c r="B763" s="142"/>
      <c r="E763" s="50"/>
    </row>
    <row r="764" spans="2:5" ht="15.75" customHeight="1">
      <c r="B764" s="142"/>
      <c r="E764" s="50"/>
    </row>
    <row r="765" spans="2:5" ht="15.75" customHeight="1">
      <c r="B765" s="142"/>
      <c r="E765" s="50"/>
    </row>
    <row r="766" spans="2:5" ht="15.75" customHeight="1">
      <c r="B766" s="142"/>
      <c r="E766" s="50"/>
    </row>
    <row r="767" spans="2:5" ht="15.75" customHeight="1">
      <c r="B767" s="142"/>
      <c r="E767" s="50"/>
    </row>
    <row r="768" spans="2:5" ht="15.75" customHeight="1">
      <c r="B768" s="142"/>
      <c r="E768" s="50"/>
    </row>
    <row r="769" spans="2:5" ht="15.75" customHeight="1">
      <c r="B769" s="142"/>
      <c r="E769" s="50"/>
    </row>
    <row r="770" spans="2:5" ht="15.75" customHeight="1">
      <c r="B770" s="142"/>
      <c r="E770" s="50"/>
    </row>
    <row r="771" spans="2:5" ht="15.75" customHeight="1">
      <c r="B771" s="142"/>
      <c r="E771" s="50"/>
    </row>
    <row r="772" spans="2:5" ht="15.75" customHeight="1">
      <c r="B772" s="142"/>
      <c r="E772" s="50"/>
    </row>
    <row r="773" spans="2:5" ht="15.75" customHeight="1">
      <c r="B773" s="142"/>
      <c r="E773" s="50"/>
    </row>
    <row r="774" spans="2:5" ht="15.75" customHeight="1">
      <c r="B774" s="142"/>
      <c r="E774" s="50"/>
    </row>
    <row r="775" spans="2:5" ht="15.75" customHeight="1">
      <c r="B775" s="142"/>
      <c r="E775" s="50"/>
    </row>
    <row r="776" spans="2:5" ht="15.75" customHeight="1">
      <c r="B776" s="142"/>
      <c r="E776" s="50"/>
    </row>
    <row r="777" spans="2:5" ht="15.75" customHeight="1">
      <c r="B777" s="142"/>
      <c r="E777" s="50"/>
    </row>
    <row r="778" spans="2:5" ht="15.75" customHeight="1">
      <c r="B778" s="142"/>
      <c r="E778" s="50"/>
    </row>
    <row r="779" spans="2:5" ht="15.75" customHeight="1">
      <c r="B779" s="142"/>
      <c r="E779" s="50"/>
    </row>
    <row r="780" spans="2:5" ht="15.75" customHeight="1">
      <c r="B780" s="142"/>
      <c r="E780" s="50"/>
    </row>
    <row r="781" spans="2:5" ht="15.75" customHeight="1">
      <c r="B781" s="142"/>
      <c r="E781" s="50"/>
    </row>
    <row r="782" spans="2:5" ht="15.75" customHeight="1">
      <c r="B782" s="142"/>
      <c r="E782" s="50"/>
    </row>
    <row r="783" spans="2:5" ht="15.75" customHeight="1">
      <c r="B783" s="142"/>
      <c r="E783" s="50"/>
    </row>
    <row r="784" spans="2:5" ht="15.75" customHeight="1">
      <c r="B784" s="142"/>
      <c r="E784" s="50"/>
    </row>
    <row r="785" spans="2:5" ht="15.75" customHeight="1">
      <c r="B785" s="142"/>
      <c r="E785" s="50"/>
    </row>
    <row r="786" spans="2:5" ht="15.75" customHeight="1">
      <c r="B786" s="142"/>
      <c r="E786" s="50"/>
    </row>
    <row r="787" spans="2:5" ht="15.75" customHeight="1">
      <c r="B787" s="142"/>
      <c r="E787" s="50"/>
    </row>
    <row r="788" spans="2:5" ht="15.75" customHeight="1">
      <c r="B788" s="142"/>
      <c r="E788" s="50"/>
    </row>
    <row r="789" spans="2:5" ht="15.75" customHeight="1">
      <c r="B789" s="142"/>
      <c r="E789" s="50"/>
    </row>
    <row r="790" spans="2:5" ht="15.75" customHeight="1">
      <c r="B790" s="142"/>
      <c r="E790" s="50"/>
    </row>
    <row r="791" spans="2:5" ht="15.75" customHeight="1">
      <c r="B791" s="142"/>
      <c r="E791" s="50"/>
    </row>
    <row r="792" spans="2:5" ht="15.75" customHeight="1">
      <c r="B792" s="142"/>
      <c r="E792" s="50"/>
    </row>
    <row r="793" spans="2:5" ht="15.75" customHeight="1">
      <c r="B793" s="142"/>
      <c r="E793" s="50"/>
    </row>
    <row r="794" spans="2:5" ht="15.75" customHeight="1">
      <c r="B794" s="142"/>
      <c r="E794" s="50"/>
    </row>
    <row r="795" spans="2:5" ht="15.75" customHeight="1">
      <c r="B795" s="142"/>
      <c r="E795" s="50"/>
    </row>
    <row r="796" spans="2:5" ht="15.75" customHeight="1">
      <c r="B796" s="142"/>
      <c r="E796" s="50"/>
    </row>
    <row r="797" spans="2:5" ht="15.75" customHeight="1">
      <c r="B797" s="142"/>
      <c r="E797" s="50"/>
    </row>
    <row r="798" spans="2:5" ht="15.75" customHeight="1">
      <c r="B798" s="142"/>
      <c r="E798" s="50"/>
    </row>
    <row r="799" spans="2:5" ht="15.75" customHeight="1">
      <c r="B799" s="142"/>
      <c r="E799" s="50"/>
    </row>
    <row r="800" spans="2:5" ht="15.75" customHeight="1">
      <c r="B800" s="142"/>
      <c r="E800" s="50"/>
    </row>
    <row r="801" spans="2:5" ht="15.75" customHeight="1">
      <c r="B801" s="142"/>
      <c r="E801" s="50"/>
    </row>
    <row r="802" spans="2:5" ht="15.75" customHeight="1">
      <c r="B802" s="142"/>
      <c r="E802" s="50"/>
    </row>
    <row r="803" spans="2:5" ht="15.75" customHeight="1">
      <c r="B803" s="142"/>
      <c r="E803" s="50"/>
    </row>
    <row r="804" spans="2:5" ht="15.75" customHeight="1">
      <c r="B804" s="142"/>
      <c r="E804" s="50"/>
    </row>
    <row r="805" spans="2:5" ht="15.75" customHeight="1">
      <c r="B805" s="142"/>
      <c r="E805" s="50"/>
    </row>
    <row r="806" spans="2:5" ht="15.75" customHeight="1">
      <c r="B806" s="142"/>
      <c r="E806" s="50"/>
    </row>
    <row r="807" spans="2:5" ht="15.75" customHeight="1">
      <c r="B807" s="142"/>
      <c r="E807" s="50"/>
    </row>
    <row r="808" spans="2:5" ht="15.75" customHeight="1">
      <c r="B808" s="142"/>
      <c r="E808" s="50"/>
    </row>
    <row r="809" spans="2:5" ht="15.75" customHeight="1">
      <c r="B809" s="142"/>
      <c r="E809" s="50"/>
    </row>
    <row r="810" spans="2:5" ht="15.75" customHeight="1">
      <c r="B810" s="142"/>
      <c r="E810" s="50"/>
    </row>
    <row r="811" spans="2:5" ht="15.75" customHeight="1">
      <c r="B811" s="142"/>
      <c r="E811" s="50"/>
    </row>
    <row r="812" spans="2:5" ht="15.75" customHeight="1">
      <c r="B812" s="142"/>
      <c r="E812" s="50"/>
    </row>
    <row r="813" spans="2:5" ht="15.75" customHeight="1">
      <c r="B813" s="142"/>
      <c r="E813" s="50"/>
    </row>
    <row r="814" spans="2:5" ht="15.75" customHeight="1">
      <c r="B814" s="142"/>
      <c r="E814" s="50"/>
    </row>
    <row r="815" spans="2:5" ht="15.75" customHeight="1">
      <c r="B815" s="142"/>
      <c r="E815" s="50"/>
    </row>
    <row r="816" spans="2:5" ht="15.75" customHeight="1">
      <c r="B816" s="142"/>
      <c r="E816" s="50"/>
    </row>
    <row r="817" spans="2:5" ht="15.75" customHeight="1">
      <c r="B817" s="142"/>
      <c r="E817" s="50"/>
    </row>
    <row r="818" spans="2:5" ht="15.75" customHeight="1">
      <c r="B818" s="142"/>
      <c r="E818" s="50"/>
    </row>
    <row r="819" spans="2:5" ht="15.75" customHeight="1">
      <c r="B819" s="142"/>
      <c r="E819" s="50"/>
    </row>
    <row r="820" spans="2:5" ht="15.75" customHeight="1">
      <c r="B820" s="142"/>
      <c r="E820" s="50"/>
    </row>
    <row r="821" spans="2:5" ht="15.75" customHeight="1">
      <c r="B821" s="142"/>
      <c r="E821" s="50"/>
    </row>
    <row r="822" spans="2:5" ht="15.75" customHeight="1">
      <c r="B822" s="142"/>
      <c r="E822" s="50"/>
    </row>
    <row r="823" spans="2:5" ht="15.75" customHeight="1">
      <c r="B823" s="142"/>
      <c r="E823" s="50"/>
    </row>
    <row r="824" spans="2:5" ht="15.75" customHeight="1">
      <c r="B824" s="142"/>
      <c r="E824" s="50"/>
    </row>
    <row r="825" spans="2:5" ht="15.75" customHeight="1">
      <c r="B825" s="142"/>
      <c r="E825" s="50"/>
    </row>
    <row r="826" spans="2:5" ht="15.75" customHeight="1">
      <c r="B826" s="142"/>
      <c r="E826" s="50"/>
    </row>
    <row r="827" spans="2:5" ht="15.75" customHeight="1">
      <c r="B827" s="142"/>
      <c r="E827" s="50"/>
    </row>
    <row r="828" spans="2:5" ht="15.75" customHeight="1">
      <c r="B828" s="142"/>
      <c r="E828" s="50"/>
    </row>
    <row r="829" spans="2:5" ht="15.75" customHeight="1">
      <c r="B829" s="142"/>
      <c r="E829" s="50"/>
    </row>
    <row r="830" spans="2:5" ht="15.75" customHeight="1">
      <c r="B830" s="142"/>
      <c r="E830" s="50"/>
    </row>
    <row r="831" spans="2:5" ht="15.75" customHeight="1">
      <c r="B831" s="142"/>
      <c r="E831" s="50"/>
    </row>
    <row r="832" spans="2:5" ht="15.75" customHeight="1">
      <c r="B832" s="142"/>
      <c r="E832" s="50"/>
    </row>
    <row r="833" spans="2:5" ht="15.75" customHeight="1">
      <c r="B833" s="142"/>
      <c r="E833" s="50"/>
    </row>
    <row r="834" spans="2:5" ht="15.75" customHeight="1">
      <c r="B834" s="142"/>
      <c r="E834" s="50"/>
    </row>
    <row r="835" spans="2:5" ht="15.75" customHeight="1">
      <c r="B835" s="142"/>
      <c r="E835" s="50"/>
    </row>
    <row r="836" spans="2:5" ht="15.75" customHeight="1">
      <c r="B836" s="142"/>
      <c r="E836" s="50"/>
    </row>
    <row r="837" spans="2:5" ht="15.75" customHeight="1">
      <c r="B837" s="142"/>
      <c r="E837" s="50"/>
    </row>
    <row r="838" spans="2:5" ht="15.75" customHeight="1">
      <c r="B838" s="142"/>
      <c r="E838" s="50"/>
    </row>
    <row r="839" spans="2:5" ht="15.75" customHeight="1">
      <c r="B839" s="142"/>
      <c r="E839" s="50"/>
    </row>
    <row r="840" spans="2:5" ht="15.75" customHeight="1">
      <c r="B840" s="142"/>
      <c r="E840" s="50"/>
    </row>
    <row r="841" spans="2:5" ht="15.75" customHeight="1">
      <c r="B841" s="142"/>
      <c r="E841" s="50"/>
    </row>
    <row r="842" spans="2:5" ht="15.75" customHeight="1">
      <c r="B842" s="142"/>
      <c r="E842" s="50"/>
    </row>
    <row r="843" spans="2:5" ht="15.75" customHeight="1">
      <c r="B843" s="142"/>
      <c r="E843" s="50"/>
    </row>
    <row r="844" spans="2:5" ht="15.75" customHeight="1">
      <c r="B844" s="142"/>
      <c r="E844" s="50"/>
    </row>
    <row r="845" spans="2:5" ht="15.75" customHeight="1">
      <c r="B845" s="142"/>
      <c r="E845" s="50"/>
    </row>
    <row r="846" spans="2:5" ht="15.75" customHeight="1">
      <c r="B846" s="142"/>
      <c r="E846" s="50"/>
    </row>
    <row r="847" spans="2:5" ht="15.75" customHeight="1">
      <c r="B847" s="142"/>
      <c r="E847" s="50"/>
    </row>
    <row r="848" spans="2:5" ht="15.75" customHeight="1">
      <c r="B848" s="142"/>
      <c r="E848" s="50"/>
    </row>
    <row r="849" spans="2:5" ht="15.75" customHeight="1">
      <c r="B849" s="142"/>
      <c r="E849" s="50"/>
    </row>
    <row r="850" spans="2:5" ht="15.75" customHeight="1">
      <c r="B850" s="142"/>
      <c r="E850" s="50"/>
    </row>
    <row r="851" spans="2:5" ht="15.75" customHeight="1">
      <c r="B851" s="142"/>
      <c r="E851" s="50"/>
    </row>
    <row r="852" spans="2:5" ht="15.75" customHeight="1">
      <c r="B852" s="142"/>
      <c r="E852" s="50"/>
    </row>
    <row r="853" spans="2:5" ht="15.75" customHeight="1">
      <c r="B853" s="142"/>
      <c r="E853" s="50"/>
    </row>
    <row r="854" spans="2:5" ht="15.75" customHeight="1">
      <c r="B854" s="142"/>
      <c r="E854" s="50"/>
    </row>
    <row r="855" spans="2:5" ht="15.75" customHeight="1">
      <c r="B855" s="142"/>
      <c r="E855" s="50"/>
    </row>
    <row r="856" spans="2:5" ht="15.75" customHeight="1">
      <c r="B856" s="142"/>
      <c r="E856" s="50"/>
    </row>
    <row r="857" spans="2:5" ht="15.75" customHeight="1">
      <c r="B857" s="142"/>
      <c r="E857" s="50"/>
    </row>
    <row r="858" spans="2:5" ht="15.75" customHeight="1">
      <c r="B858" s="142"/>
      <c r="E858" s="50"/>
    </row>
    <row r="859" spans="2:5" ht="15.75" customHeight="1">
      <c r="B859" s="142"/>
      <c r="E859" s="50"/>
    </row>
    <row r="860" spans="2:5" ht="15.75" customHeight="1">
      <c r="B860" s="142"/>
      <c r="E860" s="50"/>
    </row>
    <row r="861" spans="2:5" ht="15.75" customHeight="1">
      <c r="B861" s="142"/>
      <c r="E861" s="50"/>
    </row>
    <row r="862" spans="2:5" ht="15.75" customHeight="1">
      <c r="B862" s="142"/>
      <c r="E862" s="50"/>
    </row>
    <row r="863" spans="2:5" ht="15.75" customHeight="1">
      <c r="B863" s="142"/>
      <c r="E863" s="50"/>
    </row>
    <row r="864" spans="2:5" ht="15.75" customHeight="1">
      <c r="B864" s="142"/>
      <c r="E864" s="50"/>
    </row>
    <row r="865" spans="2:5" ht="15.75" customHeight="1">
      <c r="B865" s="142"/>
      <c r="E865" s="50"/>
    </row>
    <row r="866" spans="2:5" ht="15.75" customHeight="1">
      <c r="B866" s="142"/>
      <c r="E866" s="50"/>
    </row>
    <row r="867" spans="2:5" ht="15.75" customHeight="1">
      <c r="B867" s="142"/>
      <c r="E867" s="50"/>
    </row>
    <row r="868" spans="2:5" ht="15.75" customHeight="1">
      <c r="B868" s="142"/>
      <c r="E868" s="50"/>
    </row>
    <row r="869" spans="2:5" ht="15.75" customHeight="1">
      <c r="B869" s="142"/>
      <c r="E869" s="50"/>
    </row>
    <row r="870" spans="2:5" ht="15.75" customHeight="1">
      <c r="B870" s="142"/>
      <c r="E870" s="50"/>
    </row>
    <row r="871" spans="2:5" ht="15.75" customHeight="1">
      <c r="B871" s="142"/>
      <c r="E871" s="50"/>
    </row>
    <row r="872" spans="2:5" ht="15.75" customHeight="1">
      <c r="B872" s="142"/>
      <c r="E872" s="50"/>
    </row>
    <row r="873" spans="2:5" ht="15.75" customHeight="1">
      <c r="B873" s="142"/>
      <c r="E873" s="50"/>
    </row>
    <row r="874" spans="2:5" ht="15.75" customHeight="1">
      <c r="B874" s="142"/>
      <c r="E874" s="50"/>
    </row>
    <row r="875" spans="2:5" ht="15.75" customHeight="1">
      <c r="B875" s="142"/>
      <c r="E875" s="50"/>
    </row>
    <row r="876" spans="2:5" ht="15.75" customHeight="1">
      <c r="B876" s="142"/>
      <c r="E876" s="50"/>
    </row>
    <row r="877" spans="2:5" ht="15.75" customHeight="1">
      <c r="B877" s="142"/>
      <c r="E877" s="50"/>
    </row>
    <row r="878" spans="2:5" ht="15.75" customHeight="1">
      <c r="B878" s="142"/>
      <c r="E878" s="50"/>
    </row>
    <row r="879" spans="2:5" ht="15.75" customHeight="1">
      <c r="B879" s="142"/>
      <c r="E879" s="50"/>
    </row>
    <row r="880" spans="2:5" ht="15.75" customHeight="1">
      <c r="B880" s="142"/>
      <c r="E880" s="50"/>
    </row>
    <row r="881" spans="2:5" ht="15.75" customHeight="1">
      <c r="B881" s="142"/>
      <c r="E881" s="50"/>
    </row>
    <row r="882" spans="2:5" ht="15.75" customHeight="1">
      <c r="B882" s="142"/>
      <c r="E882" s="50"/>
    </row>
    <row r="883" spans="2:5" ht="15.75" customHeight="1">
      <c r="B883" s="142"/>
      <c r="E883" s="50"/>
    </row>
    <row r="884" spans="2:5" ht="15.75" customHeight="1">
      <c r="B884" s="142"/>
      <c r="E884" s="50"/>
    </row>
    <row r="885" spans="2:5" ht="15.75" customHeight="1">
      <c r="B885" s="142"/>
      <c r="E885" s="50"/>
    </row>
    <row r="886" spans="2:5" ht="15.75" customHeight="1">
      <c r="B886" s="142"/>
      <c r="E886" s="50"/>
    </row>
    <row r="887" spans="2:5" ht="15.75" customHeight="1">
      <c r="B887" s="142"/>
      <c r="E887" s="50"/>
    </row>
    <row r="888" spans="2:5" ht="15.75" customHeight="1">
      <c r="B888" s="142"/>
      <c r="E888" s="50"/>
    </row>
    <row r="889" spans="2:5" ht="15.75" customHeight="1">
      <c r="B889" s="142"/>
      <c r="E889" s="50"/>
    </row>
    <row r="890" spans="2:5" ht="15.75" customHeight="1">
      <c r="B890" s="142"/>
      <c r="E890" s="50"/>
    </row>
    <row r="891" spans="2:5" ht="15.75" customHeight="1">
      <c r="B891" s="142"/>
      <c r="E891" s="50"/>
    </row>
    <row r="892" spans="2:5" ht="15.75" customHeight="1">
      <c r="B892" s="142"/>
      <c r="E892" s="50"/>
    </row>
    <row r="893" spans="2:5" ht="15.75" customHeight="1">
      <c r="B893" s="142"/>
      <c r="E893" s="50"/>
    </row>
    <row r="894" spans="2:5" ht="15.75" customHeight="1">
      <c r="B894" s="142"/>
      <c r="E894" s="50"/>
    </row>
    <row r="895" spans="2:5" ht="15.75" customHeight="1">
      <c r="B895" s="142"/>
      <c r="E895" s="50"/>
    </row>
    <row r="896" spans="2:5" ht="15.75" customHeight="1">
      <c r="B896" s="142"/>
      <c r="E896" s="50"/>
    </row>
    <row r="897" spans="2:5" ht="15.75" customHeight="1">
      <c r="B897" s="142"/>
      <c r="E897" s="50"/>
    </row>
    <row r="898" spans="2:5" ht="15.75" customHeight="1">
      <c r="B898" s="142"/>
      <c r="E898" s="50"/>
    </row>
    <row r="899" spans="2:5" ht="15.75" customHeight="1">
      <c r="B899" s="142"/>
      <c r="E899" s="50"/>
    </row>
    <row r="900" spans="2:5" ht="15.75" customHeight="1">
      <c r="B900" s="142"/>
      <c r="E900" s="50"/>
    </row>
    <row r="901" spans="2:5" ht="15.75" customHeight="1">
      <c r="B901" s="142"/>
      <c r="E901" s="50"/>
    </row>
    <row r="902" spans="2:5" ht="15.75" customHeight="1">
      <c r="B902" s="142"/>
      <c r="E902" s="50"/>
    </row>
    <row r="903" spans="2:5" ht="15.75" customHeight="1">
      <c r="B903" s="142"/>
      <c r="E903" s="50"/>
    </row>
    <row r="904" spans="2:5" ht="15.75" customHeight="1">
      <c r="B904" s="142"/>
      <c r="E904" s="50"/>
    </row>
    <row r="905" spans="2:5" ht="15.75" customHeight="1">
      <c r="B905" s="142"/>
      <c r="E905" s="50"/>
    </row>
    <row r="906" spans="2:5" ht="15.75" customHeight="1">
      <c r="B906" s="142"/>
      <c r="E906" s="50"/>
    </row>
    <row r="907" spans="2:5" ht="15.75" customHeight="1">
      <c r="B907" s="142"/>
      <c r="E907" s="50"/>
    </row>
    <row r="908" spans="2:5" ht="15.75" customHeight="1">
      <c r="B908" s="142"/>
      <c r="E908" s="50"/>
    </row>
    <row r="909" spans="2:5" ht="15.75" customHeight="1">
      <c r="B909" s="142"/>
      <c r="E909" s="50"/>
    </row>
    <row r="910" spans="2:5" ht="15.75" customHeight="1">
      <c r="B910" s="142"/>
      <c r="E910" s="50"/>
    </row>
    <row r="911" spans="2:5" ht="15.75" customHeight="1">
      <c r="B911" s="142"/>
      <c r="E911" s="50"/>
    </row>
    <row r="912" spans="2:5" ht="15.75" customHeight="1">
      <c r="B912" s="142"/>
      <c r="E912" s="50"/>
    </row>
    <row r="913" spans="2:5" ht="15.75" customHeight="1">
      <c r="B913" s="142"/>
      <c r="E913" s="50"/>
    </row>
    <row r="914" spans="2:5" ht="15.75" customHeight="1">
      <c r="B914" s="142"/>
      <c r="E914" s="50"/>
    </row>
    <row r="915" spans="2:5" ht="15.75" customHeight="1">
      <c r="B915" s="142"/>
      <c r="E915" s="50"/>
    </row>
    <row r="916" spans="2:5" ht="15.75" customHeight="1">
      <c r="B916" s="142"/>
      <c r="E916" s="50"/>
    </row>
    <row r="917" spans="2:5" ht="15.75" customHeight="1">
      <c r="B917" s="142"/>
      <c r="E917" s="50"/>
    </row>
    <row r="918" spans="2:5" ht="15.75" customHeight="1">
      <c r="B918" s="142"/>
      <c r="E918" s="50"/>
    </row>
    <row r="919" spans="2:5" ht="15.75" customHeight="1">
      <c r="B919" s="142"/>
      <c r="E919" s="50"/>
    </row>
    <row r="920" spans="2:5" ht="15.75" customHeight="1">
      <c r="B920" s="142"/>
      <c r="E920" s="50"/>
    </row>
    <row r="921" spans="2:5" ht="15.75" customHeight="1">
      <c r="B921" s="142"/>
      <c r="E921" s="50"/>
    </row>
    <row r="922" spans="2:5" ht="15.75" customHeight="1">
      <c r="B922" s="142"/>
      <c r="E922" s="50"/>
    </row>
    <row r="923" spans="2:5" ht="15.75" customHeight="1">
      <c r="B923" s="142"/>
      <c r="E923" s="50"/>
    </row>
    <row r="924" spans="2:5" ht="15.75" customHeight="1">
      <c r="B924" s="142"/>
      <c r="E924" s="50"/>
    </row>
    <row r="925" spans="2:5" ht="15.75" customHeight="1">
      <c r="B925" s="142"/>
      <c r="E925" s="50"/>
    </row>
    <row r="926" spans="2:5" ht="15.75" customHeight="1">
      <c r="B926" s="142"/>
      <c r="E926" s="50"/>
    </row>
    <row r="927" spans="2:5" ht="15.75" customHeight="1">
      <c r="B927" s="142"/>
      <c r="E927" s="50"/>
    </row>
    <row r="928" spans="2:5" ht="15.75" customHeight="1">
      <c r="B928" s="142"/>
      <c r="E928" s="50"/>
    </row>
    <row r="929" spans="2:5" ht="15.75" customHeight="1">
      <c r="B929" s="142"/>
      <c r="E929" s="50"/>
    </row>
    <row r="930" spans="2:5" ht="15.75" customHeight="1">
      <c r="B930" s="142"/>
      <c r="E930" s="50"/>
    </row>
    <row r="931" spans="2:5" ht="15.75" customHeight="1">
      <c r="B931" s="142"/>
      <c r="E931" s="50"/>
    </row>
    <row r="932" spans="2:5" ht="15.75" customHeight="1">
      <c r="B932" s="142"/>
      <c r="E932" s="50"/>
    </row>
    <row r="933" spans="2:5" ht="15.75" customHeight="1">
      <c r="B933" s="142"/>
      <c r="E933" s="50"/>
    </row>
    <row r="934" spans="2:5" ht="15.75" customHeight="1">
      <c r="B934" s="142"/>
      <c r="E934" s="50"/>
    </row>
    <row r="935" spans="2:5" ht="15.75" customHeight="1">
      <c r="B935" s="142"/>
      <c r="E935" s="50"/>
    </row>
    <row r="936" spans="2:5" ht="15.75" customHeight="1">
      <c r="B936" s="142"/>
      <c r="E936" s="50"/>
    </row>
    <row r="937" spans="2:5" ht="15.75" customHeight="1">
      <c r="B937" s="142"/>
      <c r="E937" s="50"/>
    </row>
    <row r="938" spans="2:5" ht="15.75" customHeight="1">
      <c r="B938" s="142"/>
      <c r="E938" s="50"/>
    </row>
    <row r="939" spans="2:5" ht="15.75" customHeight="1">
      <c r="B939" s="142"/>
      <c r="E939" s="50"/>
    </row>
    <row r="940" spans="2:5" ht="15.75" customHeight="1">
      <c r="B940" s="142"/>
      <c r="E940" s="50"/>
    </row>
    <row r="941" spans="2:5" ht="15.75" customHeight="1">
      <c r="B941" s="142"/>
      <c r="E941" s="50"/>
    </row>
    <row r="942" spans="2:5" ht="15.75" customHeight="1">
      <c r="B942" s="142"/>
      <c r="E942" s="50"/>
    </row>
    <row r="943" spans="2:5" ht="15.75" customHeight="1">
      <c r="B943" s="142"/>
      <c r="E943" s="50"/>
    </row>
    <row r="944" spans="2:5" ht="15.75" customHeight="1">
      <c r="B944" s="142"/>
      <c r="E944" s="50"/>
    </row>
    <row r="945" spans="2:5" ht="15.75" customHeight="1">
      <c r="B945" s="142"/>
      <c r="E945" s="50"/>
    </row>
    <row r="946" spans="2:5" ht="15.75" customHeight="1">
      <c r="B946" s="142"/>
      <c r="E946" s="50"/>
    </row>
    <row r="947" spans="2:5" ht="15.75" customHeight="1">
      <c r="B947" s="142"/>
      <c r="E947" s="50"/>
    </row>
    <row r="948" spans="2:5" ht="15.75" customHeight="1">
      <c r="B948" s="142"/>
      <c r="E948" s="50"/>
    </row>
    <row r="949" spans="2:5" ht="15.75" customHeight="1">
      <c r="B949" s="142"/>
      <c r="E949" s="50"/>
    </row>
    <row r="950" spans="2:5" ht="15.75" customHeight="1">
      <c r="B950" s="142"/>
      <c r="E950" s="50"/>
    </row>
    <row r="951" spans="2:5" ht="15.75" customHeight="1">
      <c r="B951" s="142"/>
      <c r="E951" s="50"/>
    </row>
    <row r="952" spans="2:5" ht="15.75" customHeight="1">
      <c r="B952" s="142"/>
      <c r="E952" s="50"/>
    </row>
    <row r="953" spans="2:5" ht="15.75" customHeight="1">
      <c r="B953" s="142"/>
      <c r="E953" s="50"/>
    </row>
    <row r="954" spans="2:5" ht="15.75" customHeight="1">
      <c r="B954" s="142"/>
      <c r="E954" s="50"/>
    </row>
    <row r="955" spans="2:5" ht="15.75" customHeight="1">
      <c r="B955" s="142"/>
      <c r="E955" s="50"/>
    </row>
    <row r="956" spans="2:5" ht="15.75" customHeight="1">
      <c r="B956" s="142"/>
      <c r="E956" s="50"/>
    </row>
    <row r="957" spans="2:5" ht="15.75" customHeight="1">
      <c r="B957" s="142"/>
      <c r="E957" s="50"/>
    </row>
    <row r="958" spans="2:5" ht="15.75" customHeight="1">
      <c r="B958" s="142"/>
      <c r="E958" s="50"/>
    </row>
    <row r="959" spans="2:5" ht="15.75" customHeight="1">
      <c r="B959" s="142"/>
      <c r="E959" s="50"/>
    </row>
    <row r="960" spans="2:5" ht="15.75" customHeight="1">
      <c r="B960" s="142"/>
      <c r="E960" s="50"/>
    </row>
    <row r="961" spans="2:5" ht="15.75" customHeight="1">
      <c r="B961" s="142"/>
      <c r="E961" s="50"/>
    </row>
    <row r="962" spans="2:5" ht="15.75" customHeight="1">
      <c r="B962" s="142"/>
      <c r="E962" s="50"/>
    </row>
    <row r="963" spans="2:5" ht="15.75" customHeight="1">
      <c r="B963" s="142"/>
      <c r="E963" s="50"/>
    </row>
    <row r="964" spans="2:5" ht="15.75" customHeight="1">
      <c r="B964" s="142"/>
      <c r="E964" s="50"/>
    </row>
    <row r="965" spans="2:5" ht="15.75" customHeight="1">
      <c r="B965" s="142"/>
      <c r="E965" s="50"/>
    </row>
    <row r="966" spans="2:5" ht="15.75" customHeight="1">
      <c r="B966" s="142"/>
      <c r="E966" s="50"/>
    </row>
    <row r="967" spans="2:5" ht="15.75" customHeight="1">
      <c r="B967" s="142"/>
      <c r="E967" s="50"/>
    </row>
    <row r="968" spans="2:5" ht="15.75" customHeight="1">
      <c r="B968" s="142"/>
      <c r="E968" s="50"/>
    </row>
    <row r="969" spans="2:5" ht="15.75" customHeight="1">
      <c r="B969" s="142"/>
      <c r="E969" s="50"/>
    </row>
    <row r="970" spans="2:5" ht="15.75" customHeight="1">
      <c r="B970" s="142"/>
      <c r="E970" s="50"/>
    </row>
    <row r="971" spans="2:5" ht="15.75" customHeight="1">
      <c r="B971" s="142"/>
      <c r="E971" s="50"/>
    </row>
    <row r="972" spans="2:5" ht="15.75" customHeight="1">
      <c r="B972" s="142"/>
      <c r="E972" s="50"/>
    </row>
    <row r="973" spans="2:5" ht="15.75" customHeight="1">
      <c r="B973" s="142"/>
      <c r="E973" s="50"/>
    </row>
    <row r="974" spans="2:5" ht="15.75" customHeight="1">
      <c r="B974" s="142"/>
      <c r="E974" s="50"/>
    </row>
    <row r="975" spans="2:5" ht="15.75" customHeight="1">
      <c r="B975" s="142"/>
      <c r="E975" s="50"/>
    </row>
    <row r="976" spans="2:5" ht="15.75" customHeight="1">
      <c r="B976" s="142"/>
      <c r="E976" s="50"/>
    </row>
    <row r="977" spans="2:5" ht="15.75" customHeight="1">
      <c r="B977" s="142"/>
      <c r="E977" s="50"/>
    </row>
    <row r="978" spans="2:5" ht="15.75" customHeight="1">
      <c r="B978" s="142"/>
      <c r="E978" s="50"/>
    </row>
    <row r="979" spans="2:5" ht="15.75" customHeight="1">
      <c r="B979" s="142"/>
      <c r="E979" s="50"/>
    </row>
    <row r="980" spans="2:5" ht="15.75" customHeight="1">
      <c r="B980" s="142"/>
      <c r="E980" s="50"/>
    </row>
    <row r="981" spans="2:5" ht="15.75" customHeight="1">
      <c r="B981" s="142"/>
      <c r="E981" s="50"/>
    </row>
    <row r="982" spans="2:5" ht="15.75" customHeight="1">
      <c r="B982" s="142"/>
      <c r="E982" s="50"/>
    </row>
    <row r="983" spans="2:5" ht="15.75" customHeight="1">
      <c r="B983" s="142"/>
      <c r="E983" s="50"/>
    </row>
    <row r="984" spans="2:5" ht="15.75" customHeight="1">
      <c r="B984" s="142"/>
      <c r="E984" s="50"/>
    </row>
    <row r="985" spans="2:5" ht="15.75" customHeight="1">
      <c r="B985" s="142"/>
      <c r="E985" s="50"/>
    </row>
    <row r="986" spans="2:5" ht="15.75" customHeight="1">
      <c r="B986" s="142"/>
      <c r="E986" s="50"/>
    </row>
    <row r="987" spans="2:5" ht="15.75" customHeight="1">
      <c r="B987" s="142"/>
      <c r="E987" s="50"/>
    </row>
    <row r="988" spans="2:5" ht="15.75" customHeight="1">
      <c r="B988" s="142"/>
      <c r="E988" s="50"/>
    </row>
    <row r="989" spans="2:5" ht="15.75" customHeight="1">
      <c r="B989" s="142"/>
      <c r="E989" s="50"/>
    </row>
    <row r="990" spans="2:5" ht="15.75" customHeight="1">
      <c r="B990" s="142"/>
      <c r="E990" s="50"/>
    </row>
    <row r="991" spans="2:5" ht="15.75" customHeight="1">
      <c r="B991" s="142"/>
      <c r="E991" s="50"/>
    </row>
    <row r="992" spans="2:5" ht="15.75" customHeight="1">
      <c r="B992" s="142"/>
      <c r="E992" s="50"/>
    </row>
    <row r="993" spans="2:5" ht="15.75" customHeight="1">
      <c r="B993" s="142"/>
      <c r="E993" s="50"/>
    </row>
    <row r="994" spans="2:5" ht="15.75" customHeight="1">
      <c r="B994" s="142"/>
      <c r="E994" s="50"/>
    </row>
    <row r="995" spans="2:5" ht="15.75" customHeight="1">
      <c r="B995" s="142"/>
      <c r="E995" s="50"/>
    </row>
    <row r="996" spans="2:5" ht="15.75" customHeight="1">
      <c r="B996" s="142"/>
      <c r="E996" s="50"/>
    </row>
    <row r="997" spans="2:5" ht="15.75" customHeight="1">
      <c r="B997" s="142"/>
      <c r="E997" s="50"/>
    </row>
    <row r="998" spans="2:5" ht="15.75" customHeight="1">
      <c r="B998" s="142"/>
      <c r="E998" s="50"/>
    </row>
    <row r="999" spans="2:5" ht="15.75" customHeight="1">
      <c r="B999" s="142"/>
      <c r="E999" s="50"/>
    </row>
    <row r="1000" spans="2:5" ht="15.75" customHeight="1">
      <c r="B1000" s="142"/>
      <c r="E1000" s="50"/>
    </row>
    <row r="1001" spans="2:5" ht="15.75" customHeight="1">
      <c r="B1001" s="142"/>
      <c r="E1001" s="50"/>
    </row>
    <row r="1002" spans="2:5" ht="15.75" customHeight="1">
      <c r="B1002" s="142"/>
      <c r="E1002" s="50"/>
    </row>
    <row r="1003" spans="2:5" ht="15.75" customHeight="1">
      <c r="B1003" s="142"/>
      <c r="E1003" s="50"/>
    </row>
    <row r="1004" spans="2:5" ht="15.75" customHeight="1">
      <c r="B1004" s="142"/>
      <c r="E1004" s="50"/>
    </row>
    <row r="1005" spans="2:5" ht="15.75" customHeight="1">
      <c r="B1005" s="142"/>
      <c r="E1005" s="50"/>
    </row>
    <row r="1006" spans="2:5" ht="15.75" customHeight="1">
      <c r="B1006" s="142"/>
      <c r="E1006" s="50"/>
    </row>
    <row r="1007" spans="2:5" ht="15.75" customHeight="1">
      <c r="B1007" s="142"/>
      <c r="E1007" s="50"/>
    </row>
    <row r="1008" spans="2:5" ht="15.75" customHeight="1">
      <c r="B1008" s="142"/>
      <c r="E1008" s="50"/>
    </row>
    <row r="1009" spans="2:5" ht="15.75" customHeight="1">
      <c r="B1009" s="142"/>
      <c r="E1009" s="50"/>
    </row>
    <row r="1010" spans="2:5" ht="15.75" customHeight="1">
      <c r="B1010" s="142"/>
      <c r="E1010" s="50"/>
    </row>
    <row r="1011" spans="2:5" ht="15.75" customHeight="1">
      <c r="B1011" s="142"/>
      <c r="E1011" s="50"/>
    </row>
    <row r="1012" spans="2:5" ht="15.75" customHeight="1">
      <c r="B1012" s="142"/>
      <c r="E1012" s="50"/>
    </row>
    <row r="1013" spans="2:5" ht="15.75" customHeight="1">
      <c r="B1013" s="142"/>
      <c r="E1013" s="50"/>
    </row>
    <row r="1014" spans="2:5" ht="15.75" customHeight="1">
      <c r="B1014" s="142"/>
      <c r="E1014" s="50"/>
    </row>
    <row r="1015" spans="2:5" ht="15.75" customHeight="1">
      <c r="B1015" s="142"/>
      <c r="E1015" s="50"/>
    </row>
    <row r="1016" spans="2:5" ht="15.75" customHeight="1">
      <c r="B1016" s="142"/>
      <c r="E1016" s="50"/>
    </row>
    <row r="1017" spans="2:5" ht="15.75" customHeight="1">
      <c r="B1017" s="142"/>
      <c r="E1017" s="50"/>
    </row>
    <row r="1018" spans="2:5" ht="15.75" customHeight="1">
      <c r="B1018" s="142"/>
      <c r="E1018" s="50"/>
    </row>
    <row r="1019" spans="2:5" ht="15.75" customHeight="1">
      <c r="B1019" s="142"/>
      <c r="E1019" s="50"/>
    </row>
    <row r="1020" spans="2:5" ht="15.75" customHeight="1">
      <c r="B1020" s="142"/>
      <c r="E1020" s="50"/>
    </row>
    <row r="1021" spans="2:5" ht="15.75" customHeight="1">
      <c r="B1021" s="142"/>
      <c r="E1021" s="50"/>
    </row>
    <row r="1022" spans="2:5" ht="15.75" customHeight="1">
      <c r="B1022" s="142"/>
      <c r="E1022" s="50"/>
    </row>
    <row r="1023" spans="2:5" ht="15.75" customHeight="1">
      <c r="B1023" s="142"/>
      <c r="E1023" s="50"/>
    </row>
    <row r="1024" spans="2:5" ht="15.75" customHeight="1">
      <c r="B1024" s="142"/>
      <c r="E1024" s="50"/>
    </row>
    <row r="1025" spans="2:5" ht="15.75" customHeight="1">
      <c r="B1025" s="142"/>
      <c r="E1025" s="50"/>
    </row>
    <row r="1026" spans="2:5" ht="15.75" customHeight="1">
      <c r="B1026" s="142"/>
      <c r="E1026" s="50"/>
    </row>
    <row r="1027" spans="2:5" ht="15.75" customHeight="1">
      <c r="B1027" s="142"/>
      <c r="E1027" s="50"/>
    </row>
    <row r="1028" spans="2:5" ht="15.75" customHeight="1">
      <c r="B1028" s="142"/>
      <c r="E1028" s="50"/>
    </row>
    <row r="1029" spans="2:5" ht="15.75" customHeight="1">
      <c r="B1029" s="142"/>
      <c r="E1029" s="50"/>
    </row>
    <row r="1030" spans="2:5" ht="15.75" customHeight="1">
      <c r="B1030" s="142"/>
      <c r="E1030" s="50"/>
    </row>
    <row r="1031" spans="2:5" ht="15.75" customHeight="1">
      <c r="B1031" s="142"/>
      <c r="E1031" s="50"/>
    </row>
    <row r="1032" spans="2:5" ht="15.75" customHeight="1">
      <c r="B1032" s="142"/>
      <c r="E1032" s="50"/>
    </row>
    <row r="1033" spans="2:5" ht="15.75" customHeight="1">
      <c r="B1033" s="142"/>
      <c r="E1033" s="50"/>
    </row>
    <row r="1034" spans="2:5" ht="15.75" customHeight="1">
      <c r="B1034" s="142"/>
      <c r="E1034" s="50"/>
    </row>
    <row r="1035" spans="2:5" ht="15.75" customHeight="1">
      <c r="B1035" s="142"/>
      <c r="E1035" s="50"/>
    </row>
    <row r="1036" spans="2:5" ht="15.75" customHeight="1">
      <c r="B1036" s="142"/>
      <c r="E1036" s="50"/>
    </row>
    <row r="1037" spans="2:5" ht="15.75" customHeight="1">
      <c r="B1037" s="142"/>
      <c r="E1037" s="50"/>
    </row>
    <row r="1038" spans="2:5" ht="15.75" customHeight="1">
      <c r="B1038" s="142"/>
      <c r="E1038" s="50"/>
    </row>
    <row r="1039" spans="2:5" ht="15.75" customHeight="1">
      <c r="B1039" s="142"/>
      <c r="E1039" s="50"/>
    </row>
    <row r="1040" spans="2:5" ht="15.75" customHeight="1">
      <c r="B1040" s="142"/>
      <c r="E1040" s="50"/>
    </row>
    <row r="1041" spans="2:5" ht="15.75" customHeight="1">
      <c r="B1041" s="142"/>
      <c r="E1041" s="50"/>
    </row>
    <row r="1042" spans="2:5" ht="15.75" customHeight="1">
      <c r="B1042" s="142"/>
      <c r="E1042" s="50"/>
    </row>
    <row r="1043" spans="2:5" ht="15.75" customHeight="1">
      <c r="B1043" s="142"/>
      <c r="E1043" s="50"/>
    </row>
    <row r="1044" spans="2:5" ht="15.75" customHeight="1">
      <c r="B1044" s="142"/>
      <c r="E1044" s="50"/>
    </row>
    <row r="1045" spans="2:5" ht="15.75" customHeight="1">
      <c r="B1045" s="142"/>
      <c r="E1045" s="50"/>
    </row>
    <row r="1046" spans="2:5" ht="15.75" customHeight="1">
      <c r="B1046" s="142"/>
      <c r="E1046" s="50"/>
    </row>
    <row r="1047" spans="2:5" ht="15.75" customHeight="1">
      <c r="B1047" s="142"/>
      <c r="E1047" s="50"/>
    </row>
    <row r="1048" spans="2:5" ht="15.75" customHeight="1">
      <c r="B1048" s="142"/>
      <c r="E1048" s="50"/>
    </row>
    <row r="1049" spans="2:5" ht="15.75" customHeight="1">
      <c r="B1049" s="142"/>
      <c r="E1049" s="50"/>
    </row>
    <row r="1050" spans="2:5" ht="15.75" customHeight="1">
      <c r="B1050" s="142"/>
      <c r="E1050" s="50"/>
    </row>
    <row r="1051" spans="2:5" ht="15.75" customHeight="1">
      <c r="B1051" s="142"/>
      <c r="E1051" s="50"/>
    </row>
    <row r="1052" spans="2:5" ht="15.75" customHeight="1">
      <c r="B1052" s="142"/>
      <c r="E1052" s="50"/>
    </row>
    <row r="1053" spans="2:5" ht="15.75" customHeight="1">
      <c r="B1053" s="142"/>
      <c r="E1053" s="50"/>
    </row>
    <row r="1054" spans="2:5" ht="15.75" customHeight="1">
      <c r="B1054" s="142"/>
      <c r="E1054" s="50"/>
    </row>
    <row r="1055" spans="2:5" ht="15.75" customHeight="1">
      <c r="B1055" s="142"/>
      <c r="E1055" s="50"/>
    </row>
    <row r="1056" spans="2:5" ht="15.75" customHeight="1">
      <c r="B1056" s="142"/>
      <c r="E1056" s="50"/>
    </row>
    <row r="1057" spans="2:5" ht="15.75" customHeight="1">
      <c r="B1057" s="142"/>
      <c r="E1057" s="50"/>
    </row>
    <row r="1058" spans="2:5" ht="15.75" customHeight="1">
      <c r="B1058" s="142"/>
      <c r="E1058" s="50"/>
    </row>
    <row r="1059" spans="2:5" ht="15.75" customHeight="1">
      <c r="B1059" s="142"/>
      <c r="E1059" s="50"/>
    </row>
    <row r="1060" spans="2:5" ht="15.75" customHeight="1">
      <c r="B1060" s="142"/>
      <c r="E1060" s="50"/>
    </row>
    <row r="1061" spans="2:5" ht="15.75" customHeight="1">
      <c r="B1061" s="142"/>
      <c r="E1061" s="50"/>
    </row>
    <row r="1062" spans="2:5" ht="15.75" customHeight="1">
      <c r="B1062" s="142"/>
      <c r="E1062" s="50"/>
    </row>
    <row r="1063" spans="2:5" ht="15.75" customHeight="1">
      <c r="B1063" s="142"/>
      <c r="E1063" s="50"/>
    </row>
    <row r="1064" spans="2:5" ht="15.75" customHeight="1">
      <c r="B1064" s="142"/>
      <c r="E1064" s="50"/>
    </row>
    <row r="1065" spans="2:5" ht="15.75" customHeight="1">
      <c r="B1065" s="142"/>
      <c r="E1065" s="50"/>
    </row>
    <row r="1066" spans="2:5" ht="15.75" customHeight="1">
      <c r="B1066" s="142"/>
      <c r="E1066" s="50"/>
    </row>
    <row r="1067" spans="2:5" ht="15.75" customHeight="1">
      <c r="B1067" s="142"/>
      <c r="E1067" s="50"/>
    </row>
    <row r="1068" spans="2:5" ht="15.75" customHeight="1">
      <c r="B1068" s="142"/>
      <c r="E1068" s="50"/>
    </row>
    <row r="1069" spans="2:5" ht="15.75" customHeight="1">
      <c r="B1069" s="142"/>
      <c r="E1069" s="50"/>
    </row>
    <row r="1070" spans="2:5" ht="15.75" customHeight="1">
      <c r="B1070" s="142"/>
      <c r="E1070" s="50"/>
    </row>
    <row r="1071" spans="2:5" ht="15.75" customHeight="1">
      <c r="B1071" s="142"/>
      <c r="E1071" s="50"/>
    </row>
    <row r="1072" spans="2:5" ht="15.75" customHeight="1">
      <c r="B1072" s="142"/>
      <c r="E1072" s="50"/>
    </row>
    <row r="1073" spans="2:5" ht="15.75" customHeight="1">
      <c r="B1073" s="142"/>
      <c r="E1073" s="50"/>
    </row>
    <row r="1074" spans="2:5" ht="15.75" customHeight="1">
      <c r="B1074" s="142"/>
      <c r="E1074" s="50"/>
    </row>
    <row r="1075" spans="2:5" ht="15.75" customHeight="1">
      <c r="B1075" s="142"/>
      <c r="E1075" s="50"/>
    </row>
    <row r="1076" spans="2:5" ht="15.75" customHeight="1">
      <c r="B1076" s="142"/>
      <c r="E1076" s="50"/>
    </row>
    <row r="1077" spans="2:5" ht="15.75" customHeight="1">
      <c r="B1077" s="142"/>
      <c r="E1077" s="50"/>
    </row>
    <row r="1078" spans="2:5" ht="15.75" customHeight="1">
      <c r="B1078" s="142"/>
      <c r="E1078" s="50"/>
    </row>
    <row r="1079" spans="2:5" ht="15.75" customHeight="1">
      <c r="B1079" s="142"/>
      <c r="E1079" s="50"/>
    </row>
    <row r="1080" spans="2:5" ht="15.75" customHeight="1">
      <c r="B1080" s="142"/>
      <c r="E1080" s="50"/>
    </row>
    <row r="1081" spans="2:5" ht="15.75" customHeight="1">
      <c r="B1081" s="142"/>
      <c r="E1081" s="50"/>
    </row>
    <row r="1082" spans="2:5" ht="15.75" customHeight="1">
      <c r="B1082" s="142"/>
      <c r="E1082" s="50"/>
    </row>
    <row r="1083" spans="2:5" ht="15.75" customHeight="1">
      <c r="B1083" s="142"/>
      <c r="E1083" s="50"/>
    </row>
    <row r="1084" spans="2:5" ht="15.75" customHeight="1">
      <c r="B1084" s="142"/>
      <c r="E1084" s="50"/>
    </row>
    <row r="1085" spans="2:5" ht="15.75" customHeight="1">
      <c r="B1085" s="142"/>
      <c r="E1085" s="50"/>
    </row>
    <row r="1086" spans="2:5" ht="15.75" customHeight="1">
      <c r="B1086" s="142"/>
      <c r="E1086" s="50"/>
    </row>
    <row r="1087" spans="2:5" ht="15.75" customHeight="1">
      <c r="B1087" s="142"/>
      <c r="E1087" s="50"/>
    </row>
    <row r="1088" spans="2:5" ht="15.75" customHeight="1">
      <c r="B1088" s="142"/>
      <c r="E1088" s="50"/>
    </row>
    <row r="1089" spans="2:5" ht="15.75" customHeight="1">
      <c r="B1089" s="142"/>
      <c r="E1089" s="50"/>
    </row>
    <row r="1090" spans="2:5" ht="15.75" customHeight="1">
      <c r="B1090" s="142"/>
      <c r="E1090" s="50"/>
    </row>
    <row r="1091" spans="2:5" ht="15.75" customHeight="1">
      <c r="B1091" s="142"/>
      <c r="E1091" s="50"/>
    </row>
    <row r="1092" spans="2:5" ht="15.75" customHeight="1">
      <c r="B1092" s="142"/>
      <c r="E1092" s="50"/>
    </row>
    <row r="1093" spans="2:5" ht="15.75" customHeight="1">
      <c r="B1093" s="142"/>
      <c r="E1093" s="50"/>
    </row>
    <row r="1094" spans="2:5" ht="15.75" customHeight="1">
      <c r="B1094" s="142"/>
      <c r="E1094" s="50"/>
    </row>
    <row r="1095" spans="2:5" ht="15.75" customHeight="1">
      <c r="B1095" s="142"/>
      <c r="E1095" s="50"/>
    </row>
    <row r="1096" spans="2:5" ht="15.75" customHeight="1">
      <c r="B1096" s="142"/>
      <c r="E1096" s="50"/>
    </row>
    <row r="1097" spans="2:5" ht="15.75" customHeight="1">
      <c r="B1097" s="142"/>
      <c r="E1097" s="50"/>
    </row>
    <row r="1098" spans="2:5" ht="15.75" customHeight="1">
      <c r="B1098" s="142"/>
      <c r="E1098" s="50"/>
    </row>
    <row r="1099" spans="2:5" ht="15.75" customHeight="1">
      <c r="B1099" s="142"/>
      <c r="E1099" s="50"/>
    </row>
    <row r="1100" spans="2:5" ht="15.75" customHeight="1">
      <c r="B1100" s="142"/>
      <c r="E1100" s="50"/>
    </row>
    <row r="1101" spans="2:5" ht="15.75" customHeight="1">
      <c r="B1101" s="142"/>
      <c r="E1101" s="50"/>
    </row>
    <row r="1102" spans="2:5" ht="15.75" customHeight="1">
      <c r="B1102" s="142"/>
      <c r="E1102" s="50"/>
    </row>
    <row r="1103" spans="2:5" ht="15.75" customHeight="1">
      <c r="B1103" s="142"/>
      <c r="E1103" s="50"/>
    </row>
    <row r="1104" spans="2:5" ht="15.75" customHeight="1">
      <c r="B1104" s="142"/>
      <c r="E1104" s="50"/>
    </row>
    <row r="1105" spans="2:5" ht="15.75" customHeight="1">
      <c r="B1105" s="142"/>
      <c r="E1105" s="50"/>
    </row>
    <row r="1106" spans="2:5" ht="15.75" customHeight="1">
      <c r="B1106" s="142"/>
      <c r="E1106" s="50"/>
    </row>
    <row r="1107" spans="2:5" ht="15.75" customHeight="1">
      <c r="B1107" s="142"/>
      <c r="E1107" s="50"/>
    </row>
    <row r="1108" spans="2:5" ht="15.75" customHeight="1">
      <c r="B1108" s="142"/>
      <c r="E1108" s="50"/>
    </row>
    <row r="1109" spans="2:5" ht="15.75" customHeight="1">
      <c r="B1109" s="142"/>
      <c r="E1109" s="50"/>
    </row>
    <row r="1110" spans="2:5" ht="15.75" customHeight="1">
      <c r="B1110" s="142"/>
      <c r="E1110" s="50"/>
    </row>
    <row r="1111" spans="2:5" ht="15.75" customHeight="1">
      <c r="B1111" s="142"/>
      <c r="E1111" s="50"/>
    </row>
    <row r="1112" spans="2:5" ht="15.75" customHeight="1">
      <c r="B1112" s="142"/>
      <c r="E1112" s="50"/>
    </row>
    <row r="1113" spans="2:5" ht="15.75" customHeight="1">
      <c r="B1113" s="142"/>
      <c r="E1113" s="50"/>
    </row>
    <row r="1114" spans="2:5" ht="15.75" customHeight="1">
      <c r="B1114" s="142"/>
      <c r="E1114" s="50"/>
    </row>
    <row r="1115" spans="2:5" ht="15.75" customHeight="1">
      <c r="B1115" s="142"/>
      <c r="E1115" s="50"/>
    </row>
    <row r="1116" spans="2:5" ht="15.75" customHeight="1">
      <c r="B1116" s="142"/>
      <c r="E1116" s="50"/>
    </row>
    <row r="1117" spans="2:5" ht="15.75" customHeight="1">
      <c r="B1117" s="142"/>
      <c r="E1117" s="50"/>
    </row>
    <row r="1118" spans="2:5" ht="15.75" customHeight="1">
      <c r="B1118" s="142"/>
      <c r="E1118" s="50"/>
    </row>
    <row r="1119" spans="2:5" ht="15.75" customHeight="1">
      <c r="B1119" s="142"/>
      <c r="E1119" s="50"/>
    </row>
    <row r="1120" spans="2:5" ht="15.75" customHeight="1">
      <c r="B1120" s="142"/>
      <c r="E1120" s="50"/>
    </row>
    <row r="1121" spans="2:5" ht="15.75" customHeight="1">
      <c r="B1121" s="142"/>
      <c r="E1121" s="50"/>
    </row>
    <row r="1122" spans="2:5" ht="15.75" customHeight="1">
      <c r="B1122" s="142"/>
      <c r="E1122" s="50"/>
    </row>
    <row r="1123" spans="2:5" ht="15.75" customHeight="1">
      <c r="B1123" s="142"/>
      <c r="E1123" s="50"/>
    </row>
    <row r="1124" spans="2:5" ht="15.75" customHeight="1">
      <c r="B1124" s="142"/>
      <c r="E1124" s="50"/>
    </row>
    <row r="1125" spans="2:5" ht="15.75" customHeight="1">
      <c r="B1125" s="142"/>
      <c r="E1125" s="50"/>
    </row>
    <row r="1126" spans="2:5" ht="15.75" customHeight="1">
      <c r="B1126" s="142"/>
      <c r="E1126" s="50"/>
    </row>
    <row r="1127" spans="2:5" ht="15.75" customHeight="1">
      <c r="B1127" s="142"/>
      <c r="E1127" s="50"/>
    </row>
    <row r="1128" spans="2:5" ht="15.75" customHeight="1">
      <c r="B1128" s="142"/>
      <c r="E1128" s="50"/>
    </row>
    <row r="1129" spans="2:5" ht="15.75" customHeight="1">
      <c r="B1129" s="142"/>
      <c r="E1129" s="50"/>
    </row>
    <row r="1130" spans="2:5" ht="15.75" customHeight="1">
      <c r="B1130" s="142"/>
      <c r="E1130" s="50"/>
    </row>
    <row r="1131" spans="2:5" ht="15.75" customHeight="1">
      <c r="B1131" s="142"/>
      <c r="E1131" s="50"/>
    </row>
    <row r="1132" spans="2:5" ht="15.75" customHeight="1">
      <c r="B1132" s="142"/>
      <c r="E1132" s="50"/>
    </row>
    <row r="1133" spans="2:5" ht="15.75" customHeight="1">
      <c r="B1133" s="142"/>
      <c r="E1133" s="50"/>
    </row>
    <row r="1134" spans="2:5" ht="15.75" customHeight="1">
      <c r="B1134" s="142"/>
      <c r="E1134" s="50"/>
    </row>
    <row r="1135" spans="2:5" ht="15.75" customHeight="1">
      <c r="B1135" s="142"/>
      <c r="E1135" s="50"/>
    </row>
    <row r="1136" spans="2:5" ht="15.75" customHeight="1">
      <c r="B1136" s="142"/>
      <c r="E1136" s="50"/>
    </row>
    <row r="1137" spans="2:5" ht="15.75" customHeight="1">
      <c r="B1137" s="142"/>
      <c r="E1137" s="50"/>
    </row>
    <row r="1138" spans="2:5" ht="15.75" customHeight="1">
      <c r="B1138" s="142"/>
      <c r="E1138" s="50"/>
    </row>
    <row r="1139" spans="2:5" ht="15.75" customHeight="1">
      <c r="B1139" s="142"/>
      <c r="E1139" s="50"/>
    </row>
    <row r="1140" spans="2:5" ht="15.75" customHeight="1">
      <c r="B1140" s="142"/>
      <c r="E1140" s="50"/>
    </row>
    <row r="1141" spans="2:5" ht="15.75" customHeight="1">
      <c r="B1141" s="142"/>
      <c r="E1141" s="50"/>
    </row>
    <row r="1142" spans="2:5" ht="15.75" customHeight="1">
      <c r="B1142" s="142"/>
      <c r="E1142" s="50"/>
    </row>
    <row r="1143" spans="2:5" ht="15.75" customHeight="1">
      <c r="B1143" s="142"/>
      <c r="E1143" s="50"/>
    </row>
    <row r="1144" spans="2:5" ht="15.75" customHeight="1">
      <c r="B1144" s="142"/>
      <c r="E1144" s="50"/>
    </row>
    <row r="1145" spans="2:5" ht="15.75" customHeight="1">
      <c r="B1145" s="142"/>
      <c r="E1145" s="50"/>
    </row>
    <row r="1146" spans="2:5" ht="15.75" customHeight="1">
      <c r="B1146" s="142"/>
      <c r="E1146" s="50"/>
    </row>
    <row r="1147" spans="2:5" ht="15.75" customHeight="1">
      <c r="B1147" s="142"/>
      <c r="E1147" s="50"/>
    </row>
    <row r="1148" spans="2:5" ht="15.75" customHeight="1">
      <c r="B1148" s="142"/>
      <c r="E1148" s="50"/>
    </row>
    <row r="1149" spans="2:5" ht="15.75" customHeight="1">
      <c r="B1149" s="142"/>
      <c r="E1149" s="50"/>
    </row>
    <row r="1150" spans="2:5" ht="15.75" customHeight="1">
      <c r="B1150" s="142"/>
      <c r="E1150" s="50"/>
    </row>
    <row r="1151" spans="2:5" ht="15.75" customHeight="1">
      <c r="B1151" s="142"/>
      <c r="E1151" s="50"/>
    </row>
    <row r="1152" spans="2:5" ht="15.75" customHeight="1">
      <c r="B1152" s="142"/>
      <c r="E1152" s="50"/>
    </row>
    <row r="1153" spans="2:5" ht="15.75" customHeight="1">
      <c r="B1153" s="142"/>
      <c r="E1153" s="50"/>
    </row>
    <row r="1154" spans="2:5" ht="15.75" customHeight="1">
      <c r="B1154" s="142"/>
      <c r="E1154" s="50"/>
    </row>
    <row r="1155" spans="2:5" ht="15.75" customHeight="1">
      <c r="B1155" s="142"/>
      <c r="E1155" s="50"/>
    </row>
    <row r="1156" spans="2:5" ht="15.75" customHeight="1">
      <c r="B1156" s="142"/>
      <c r="E1156" s="50"/>
    </row>
    <row r="1157" spans="2:5" ht="15.75" customHeight="1">
      <c r="B1157" s="142"/>
      <c r="E1157" s="50"/>
    </row>
    <row r="1158" spans="2:5" ht="15.75" customHeight="1">
      <c r="B1158" s="142"/>
      <c r="E1158" s="50"/>
    </row>
    <row r="1159" spans="2:5" ht="15.75" customHeight="1">
      <c r="B1159" s="142"/>
      <c r="E1159" s="50"/>
    </row>
    <row r="1160" spans="2:5" ht="15.75" customHeight="1">
      <c r="B1160" s="142"/>
      <c r="E1160" s="50"/>
    </row>
    <row r="1161" spans="2:5" ht="15.75" customHeight="1">
      <c r="B1161" s="142"/>
      <c r="E1161" s="50"/>
    </row>
    <row r="1162" spans="2:5" ht="15.75" customHeight="1">
      <c r="B1162" s="142"/>
      <c r="E1162" s="50"/>
    </row>
    <row r="1163" spans="2:5" ht="15.75" customHeight="1">
      <c r="B1163" s="142"/>
      <c r="E1163" s="50"/>
    </row>
    <row r="1164" spans="2:5" ht="15.75" customHeight="1">
      <c r="B1164" s="142"/>
      <c r="E1164" s="50"/>
    </row>
    <row r="1165" spans="2:5" ht="15.75" customHeight="1">
      <c r="B1165" s="142"/>
      <c r="E1165" s="50"/>
    </row>
    <row r="1166" spans="2:5" ht="15.75" customHeight="1">
      <c r="B1166" s="142"/>
      <c r="E1166" s="50"/>
    </row>
    <row r="1167" spans="2:5" ht="15.75" customHeight="1">
      <c r="B1167" s="142"/>
      <c r="E1167" s="50"/>
    </row>
    <row r="1168" spans="2:5" ht="15.75" customHeight="1">
      <c r="B1168" s="142"/>
      <c r="E1168" s="50"/>
    </row>
    <row r="1169" spans="2:5" ht="15.75" customHeight="1">
      <c r="B1169" s="142"/>
      <c r="E1169" s="50"/>
    </row>
    <row r="1170" spans="2:5" ht="15.75" customHeight="1">
      <c r="B1170" s="142"/>
      <c r="E1170" s="50"/>
    </row>
    <row r="1171" spans="2:5" ht="15.75" customHeight="1">
      <c r="B1171" s="142"/>
      <c r="E1171" s="50"/>
    </row>
    <row r="1172" spans="2:5" ht="15.75" customHeight="1">
      <c r="B1172" s="142"/>
      <c r="E1172" s="50"/>
    </row>
    <row r="1173" spans="2:5" ht="15.75" customHeight="1">
      <c r="B1173" s="142"/>
      <c r="E1173" s="50"/>
    </row>
    <row r="1174" spans="2:5" ht="15.75" customHeight="1">
      <c r="B1174" s="142"/>
      <c r="E1174" s="50"/>
    </row>
    <row r="1175" spans="2:5" ht="15.75" customHeight="1">
      <c r="B1175" s="142"/>
      <c r="E1175" s="50"/>
    </row>
    <row r="1176" spans="2:5" ht="15.75" customHeight="1">
      <c r="B1176" s="142"/>
      <c r="E1176" s="50"/>
    </row>
    <row r="1177" spans="2:5" ht="15.75" customHeight="1">
      <c r="B1177" s="142"/>
      <c r="E1177" s="50"/>
    </row>
    <row r="1178" spans="2:5" ht="15.75" customHeight="1">
      <c r="B1178" s="142"/>
      <c r="E1178" s="50"/>
    </row>
    <row r="1179" spans="2:5" ht="15.75" customHeight="1">
      <c r="B1179" s="142"/>
      <c r="E1179" s="50"/>
    </row>
    <row r="1180" spans="2:5" ht="15.75" customHeight="1">
      <c r="B1180" s="142"/>
      <c r="E1180" s="50"/>
    </row>
    <row r="1181" spans="2:5" ht="15.75" customHeight="1">
      <c r="B1181" s="142"/>
      <c r="E1181" s="50"/>
    </row>
    <row r="1182" spans="2:5" ht="15.75" customHeight="1">
      <c r="B1182" s="142"/>
      <c r="E1182" s="50"/>
    </row>
    <row r="1183" spans="2:5" ht="15.75" customHeight="1">
      <c r="B1183" s="142"/>
      <c r="E1183" s="50"/>
    </row>
    <row r="1184" spans="2:5" ht="15.75" customHeight="1">
      <c r="B1184" s="142"/>
      <c r="E1184" s="50"/>
    </row>
    <row r="1185" spans="2:5" ht="15.75" customHeight="1">
      <c r="B1185" s="142"/>
      <c r="E1185" s="50"/>
    </row>
    <row r="1186" spans="2:5" ht="15.75" customHeight="1">
      <c r="B1186" s="142"/>
      <c r="E1186" s="50"/>
    </row>
    <row r="1187" spans="2:5" ht="15.75" customHeight="1">
      <c r="B1187" s="142"/>
      <c r="E1187" s="50"/>
    </row>
    <row r="1188" spans="2:5" ht="15.75" customHeight="1">
      <c r="B1188" s="142"/>
      <c r="E1188" s="50"/>
    </row>
    <row r="1189" spans="2:5" ht="15.75" customHeight="1">
      <c r="B1189" s="142"/>
      <c r="E1189" s="50"/>
    </row>
    <row r="1190" spans="2:5" ht="15.75" customHeight="1">
      <c r="B1190" s="142"/>
      <c r="E1190" s="50"/>
    </row>
    <row r="1191" spans="2:5" ht="15.75" customHeight="1">
      <c r="B1191" s="142"/>
      <c r="E1191" s="50"/>
    </row>
    <row r="1192" spans="2:5" ht="15.75" customHeight="1">
      <c r="B1192" s="142"/>
      <c r="E1192" s="50"/>
    </row>
    <row r="1193" spans="2:5" ht="15.75" customHeight="1">
      <c r="B1193" s="142"/>
      <c r="E1193" s="50"/>
    </row>
    <row r="1194" spans="2:5" ht="15.75" customHeight="1">
      <c r="B1194" s="142"/>
      <c r="E1194" s="50"/>
    </row>
    <row r="1195" spans="2:5" ht="15.75" customHeight="1">
      <c r="B1195" s="142"/>
      <c r="E1195" s="50"/>
    </row>
    <row r="1196" spans="2:5" ht="15.75" customHeight="1">
      <c r="B1196" s="142"/>
      <c r="E1196" s="50"/>
    </row>
    <row r="1197" spans="2:5" ht="15.75" customHeight="1">
      <c r="B1197" s="142"/>
      <c r="E1197" s="50"/>
    </row>
    <row r="1198" spans="2:5" ht="15.75" customHeight="1">
      <c r="B1198" s="142"/>
      <c r="E1198" s="50"/>
    </row>
    <row r="1199" spans="2:5" ht="15.75" customHeight="1">
      <c r="B1199" s="142"/>
      <c r="E1199" s="50"/>
    </row>
    <row r="1200" spans="2:5" ht="15.75" customHeight="1">
      <c r="B1200" s="142"/>
      <c r="E1200" s="50"/>
    </row>
  </sheetData>
  <phoneticPr fontId="5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4" sqref="K4"/>
    </sheetView>
  </sheetViews>
  <sheetFormatPr baseColWidth="10" defaultColWidth="14.5" defaultRowHeight="15" customHeight="1"/>
  <cols>
    <col min="1" max="1" width="1.83203125" customWidth="1"/>
    <col min="2" max="3" width="14.1640625" customWidth="1"/>
    <col min="4" max="4" width="12" customWidth="1"/>
    <col min="5" max="5" width="11.1640625" customWidth="1"/>
    <col min="6" max="6" width="11.5" customWidth="1"/>
    <col min="7" max="9" width="9.33203125" customWidth="1"/>
    <col min="10" max="10" width="11.33203125" customWidth="1"/>
    <col min="11" max="11" width="16.33203125" hidden="1" customWidth="1"/>
    <col min="12" max="21" width="13.5" hidden="1" customWidth="1"/>
    <col min="22" max="22" width="13.5" customWidth="1"/>
    <col min="23" max="23" width="28.1640625" customWidth="1"/>
    <col min="24" max="25" width="12.83203125" customWidth="1"/>
    <col min="26" max="26" width="9.6640625" customWidth="1"/>
    <col min="27" max="29" width="8.6640625" customWidth="1"/>
  </cols>
  <sheetData>
    <row r="1" spans="1:29" ht="15.75" customHeight="1">
      <c r="A1" s="1"/>
      <c r="B1" s="2" t="s">
        <v>390</v>
      </c>
      <c r="C1" s="1"/>
      <c r="D1" s="14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1"/>
      <c r="B2" s="53"/>
      <c r="C2" s="1"/>
      <c r="D2" s="143"/>
      <c r="E2" s="3"/>
      <c r="F2" s="3"/>
      <c r="G2" s="3"/>
      <c r="H2" s="3"/>
      <c r="I2" s="3"/>
      <c r="J2" s="3"/>
      <c r="K2" s="1"/>
      <c r="L2" s="1">
        <v>6</v>
      </c>
      <c r="M2" s="1">
        <v>7</v>
      </c>
      <c r="N2" s="1">
        <v>8</v>
      </c>
      <c r="O2" s="1">
        <v>9</v>
      </c>
      <c r="P2" s="1"/>
      <c r="Q2" s="1"/>
      <c r="R2" s="1">
        <v>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44.25" customHeight="1">
      <c r="A3" s="14"/>
      <c r="B3" s="144" t="s">
        <v>1</v>
      </c>
      <c r="C3" s="145" t="s">
        <v>1058</v>
      </c>
      <c r="D3" s="146" t="s">
        <v>1059</v>
      </c>
      <c r="E3" s="147" t="s">
        <v>1060</v>
      </c>
      <c r="F3" s="147" t="s">
        <v>1061</v>
      </c>
      <c r="G3" s="147" t="s">
        <v>1062</v>
      </c>
      <c r="H3" s="147" t="s">
        <v>1063</v>
      </c>
      <c r="I3" s="148" t="s">
        <v>3</v>
      </c>
      <c r="J3" s="149" t="s">
        <v>4</v>
      </c>
      <c r="K3" s="150" t="s">
        <v>5</v>
      </c>
      <c r="L3" s="151">
        <v>45107</v>
      </c>
      <c r="M3" s="151">
        <v>45138</v>
      </c>
      <c r="N3" s="151">
        <v>45169</v>
      </c>
      <c r="O3" s="151">
        <v>45199</v>
      </c>
      <c r="P3" s="151">
        <v>45230</v>
      </c>
      <c r="Q3" s="151">
        <v>45260</v>
      </c>
      <c r="R3" s="151">
        <v>45283</v>
      </c>
      <c r="S3" s="151">
        <v>45314</v>
      </c>
      <c r="T3" s="151">
        <v>45345</v>
      </c>
      <c r="U3" s="151">
        <v>45374</v>
      </c>
      <c r="V3" s="151">
        <v>45405</v>
      </c>
      <c r="W3" s="152" t="s">
        <v>6</v>
      </c>
      <c r="X3" s="14"/>
      <c r="Y3" s="14"/>
      <c r="Z3" s="14"/>
      <c r="AA3" s="14"/>
      <c r="AB3" s="14"/>
      <c r="AC3" s="14"/>
    </row>
    <row r="4" spans="1:29" ht="24.75" hidden="1" customHeight="1">
      <c r="A4" s="14"/>
      <c r="B4" s="153"/>
      <c r="C4" s="154"/>
      <c r="D4" s="155"/>
      <c r="E4" s="156"/>
      <c r="F4" s="156"/>
      <c r="G4" s="156"/>
      <c r="H4" s="156"/>
      <c r="I4" s="157"/>
      <c r="J4" s="158"/>
      <c r="K4" s="159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1"/>
      <c r="X4" s="14"/>
      <c r="Y4" s="14"/>
      <c r="Z4" s="14"/>
      <c r="AA4" s="14"/>
      <c r="AB4" s="14"/>
      <c r="AC4" s="14"/>
    </row>
    <row r="5" spans="1:29" ht="24.75" customHeight="1">
      <c r="A5" s="1"/>
      <c r="B5" s="162"/>
      <c r="C5" s="163" t="s">
        <v>1064</v>
      </c>
      <c r="D5" s="164"/>
      <c r="E5" s="165"/>
      <c r="F5" s="165"/>
      <c r="G5" s="165"/>
      <c r="H5" s="165"/>
      <c r="I5" s="166"/>
      <c r="J5" s="167"/>
      <c r="K5" s="168"/>
      <c r="L5" s="25"/>
      <c r="M5" s="25"/>
      <c r="N5" s="25"/>
      <c r="O5" s="25"/>
      <c r="P5" s="25"/>
      <c r="Q5" s="25"/>
      <c r="R5" s="25"/>
      <c r="S5" s="26"/>
      <c r="T5" s="27"/>
      <c r="U5" s="26"/>
      <c r="V5" s="26"/>
      <c r="W5" s="169"/>
      <c r="X5" s="1"/>
      <c r="Y5" s="1"/>
      <c r="Z5" s="170" t="str">
        <f>IF((I5)=0,"",(B4+1))</f>
        <v/>
      </c>
      <c r="AA5" s="1"/>
      <c r="AB5" s="1"/>
      <c r="AC5" s="1"/>
    </row>
    <row r="6" spans="1:29" ht="24.75" customHeight="1">
      <c r="A6" s="1"/>
      <c r="B6" s="162">
        <v>1</v>
      </c>
      <c r="C6" s="90" t="s">
        <v>1064</v>
      </c>
      <c r="D6" s="171">
        <v>45323</v>
      </c>
      <c r="E6" s="172">
        <v>21</v>
      </c>
      <c r="F6" s="172">
        <v>1.2</v>
      </c>
      <c r="G6" s="172">
        <v>5.5</v>
      </c>
      <c r="H6" s="172">
        <v>3.5</v>
      </c>
      <c r="I6" s="173">
        <v>1</v>
      </c>
      <c r="J6" s="174"/>
      <c r="K6" s="175"/>
      <c r="L6" s="176"/>
      <c r="M6" s="176"/>
      <c r="N6" s="176"/>
      <c r="O6" s="177"/>
      <c r="P6" s="177"/>
      <c r="Q6" s="177"/>
      <c r="R6" s="177"/>
      <c r="S6" s="177"/>
      <c r="T6" s="177"/>
      <c r="U6" s="177"/>
      <c r="V6" s="177">
        <f t="shared" ref="V6:V46" si="0">340*H6</f>
        <v>1190</v>
      </c>
      <c r="W6" s="130"/>
      <c r="X6" s="1"/>
      <c r="Y6" s="1"/>
      <c r="Z6" s="170" t="e">
        <f>IF((I6)=0,"",(#REF!+1))</f>
        <v>#REF!</v>
      </c>
      <c r="AA6" s="1"/>
      <c r="AB6" s="1"/>
      <c r="AC6" s="1"/>
    </row>
    <row r="7" spans="1:29" ht="24.75" customHeight="1">
      <c r="A7" s="1"/>
      <c r="B7" s="162">
        <v>2</v>
      </c>
      <c r="C7" s="90" t="s">
        <v>1064</v>
      </c>
      <c r="D7" s="171">
        <v>45323</v>
      </c>
      <c r="E7" s="172">
        <v>21</v>
      </c>
      <c r="F7" s="172">
        <v>1.4</v>
      </c>
      <c r="G7" s="172">
        <v>5.5</v>
      </c>
      <c r="H7" s="172">
        <v>4</v>
      </c>
      <c r="I7" s="173">
        <v>1</v>
      </c>
      <c r="J7" s="174"/>
      <c r="K7" s="175"/>
      <c r="L7" s="176"/>
      <c r="M7" s="176"/>
      <c r="N7" s="176"/>
      <c r="O7" s="176"/>
      <c r="P7" s="176"/>
      <c r="Q7" s="176"/>
      <c r="R7" s="176"/>
      <c r="S7" s="177"/>
      <c r="T7" s="177"/>
      <c r="U7" s="177"/>
      <c r="V7" s="177">
        <f t="shared" si="0"/>
        <v>1360</v>
      </c>
      <c r="W7" s="130"/>
      <c r="X7" s="1"/>
      <c r="Y7" s="1"/>
      <c r="Z7" s="170">
        <f t="shared" ref="Z7:Z8" si="1">IF((I7)=0,"",(B6+1))</f>
        <v>2</v>
      </c>
      <c r="AA7" s="1"/>
      <c r="AB7" s="1"/>
      <c r="AC7" s="1"/>
    </row>
    <row r="8" spans="1:29" ht="24.75" customHeight="1">
      <c r="A8" s="1"/>
      <c r="B8" s="162">
        <v>3</v>
      </c>
      <c r="C8" s="90" t="s">
        <v>1064</v>
      </c>
      <c r="D8" s="171">
        <v>45323</v>
      </c>
      <c r="E8" s="172">
        <v>21</v>
      </c>
      <c r="F8" s="172">
        <v>1.6</v>
      </c>
      <c r="G8" s="172">
        <v>5.5</v>
      </c>
      <c r="H8" s="172">
        <v>4.5</v>
      </c>
      <c r="I8" s="173">
        <v>1</v>
      </c>
      <c r="J8" s="178"/>
      <c r="K8" s="179"/>
      <c r="L8" s="180"/>
      <c r="M8" s="180"/>
      <c r="N8" s="180"/>
      <c r="O8" s="180"/>
      <c r="P8" s="180"/>
      <c r="Q8" s="180"/>
      <c r="R8" s="31"/>
      <c r="S8" s="180"/>
      <c r="T8" s="180"/>
      <c r="U8" s="180"/>
      <c r="V8" s="177">
        <f t="shared" si="0"/>
        <v>1530</v>
      </c>
      <c r="W8" s="181"/>
      <c r="X8" s="112"/>
      <c r="Y8" s="112"/>
      <c r="Z8" s="170">
        <f t="shared" si="1"/>
        <v>3</v>
      </c>
      <c r="AA8" s="112"/>
      <c r="AB8" s="112"/>
      <c r="AC8" s="112"/>
    </row>
    <row r="9" spans="1:29" ht="24.75" customHeight="1">
      <c r="A9" s="1"/>
      <c r="B9" s="162">
        <v>4</v>
      </c>
      <c r="C9" s="90" t="s">
        <v>1064</v>
      </c>
      <c r="D9" s="171">
        <v>45323</v>
      </c>
      <c r="E9" s="182">
        <v>21</v>
      </c>
      <c r="F9" s="182">
        <v>1.8</v>
      </c>
      <c r="G9" s="182">
        <v>5.8</v>
      </c>
      <c r="H9" s="182">
        <v>5.2</v>
      </c>
      <c r="I9" s="183">
        <v>1</v>
      </c>
      <c r="J9" s="184"/>
      <c r="K9" s="185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77">
        <f t="shared" si="0"/>
        <v>1768</v>
      </c>
      <c r="W9" s="181"/>
      <c r="X9" s="112"/>
      <c r="Y9" s="112"/>
      <c r="Z9" s="170" t="e">
        <f>IF((I9)=0,"",(#REF!+1))</f>
        <v>#REF!</v>
      </c>
      <c r="AA9" s="112"/>
      <c r="AB9" s="112"/>
      <c r="AC9" s="112"/>
    </row>
    <row r="10" spans="1:29" ht="24.75" customHeight="1">
      <c r="A10" s="1"/>
      <c r="B10" s="162">
        <v>5</v>
      </c>
      <c r="C10" s="90" t="s">
        <v>1064</v>
      </c>
      <c r="D10" s="171">
        <v>45323</v>
      </c>
      <c r="E10" s="182">
        <v>21</v>
      </c>
      <c r="F10" s="182">
        <v>2</v>
      </c>
      <c r="G10" s="182">
        <v>5.8</v>
      </c>
      <c r="H10" s="182">
        <v>5.7</v>
      </c>
      <c r="I10" s="183">
        <v>1</v>
      </c>
      <c r="J10" s="184"/>
      <c r="K10" s="185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77">
        <f t="shared" si="0"/>
        <v>1938</v>
      </c>
      <c r="W10" s="181"/>
      <c r="X10" s="112"/>
      <c r="Y10" s="112"/>
      <c r="Z10" s="170">
        <f t="shared" ref="Z10:Z16" si="2">IF((I10)=0,"",(B9+1))</f>
        <v>5</v>
      </c>
      <c r="AA10" s="112"/>
      <c r="AB10" s="112"/>
      <c r="AC10" s="112"/>
    </row>
    <row r="11" spans="1:29" ht="24.75" customHeight="1">
      <c r="A11" s="1"/>
      <c r="B11" s="162">
        <v>6</v>
      </c>
      <c r="C11" s="90" t="s">
        <v>1064</v>
      </c>
      <c r="D11" s="186">
        <v>45385</v>
      </c>
      <c r="E11" s="182">
        <v>27</v>
      </c>
      <c r="F11" s="172">
        <v>1.2</v>
      </c>
      <c r="G11" s="172">
        <v>5.5</v>
      </c>
      <c r="H11" s="172">
        <v>4.3</v>
      </c>
      <c r="I11" s="183">
        <v>1</v>
      </c>
      <c r="J11" s="184"/>
      <c r="K11" s="185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77">
        <f t="shared" si="0"/>
        <v>1462</v>
      </c>
      <c r="W11" s="181"/>
      <c r="X11" s="112"/>
      <c r="Y11" s="112"/>
      <c r="Z11" s="170">
        <f t="shared" si="2"/>
        <v>6</v>
      </c>
      <c r="AA11" s="112"/>
      <c r="AB11" s="112"/>
      <c r="AC11" s="112"/>
    </row>
    <row r="12" spans="1:29" ht="24.75" customHeight="1">
      <c r="A12" s="1"/>
      <c r="B12" s="162">
        <v>7</v>
      </c>
      <c r="C12" s="90" t="s">
        <v>1064</v>
      </c>
      <c r="D12" s="186">
        <v>45385</v>
      </c>
      <c r="E12" s="182">
        <v>27</v>
      </c>
      <c r="F12" s="172">
        <v>1.4</v>
      </c>
      <c r="G12" s="172">
        <v>5.5</v>
      </c>
      <c r="H12" s="172">
        <v>5.2</v>
      </c>
      <c r="I12" s="183">
        <v>1</v>
      </c>
      <c r="J12" s="167"/>
      <c r="K12" s="187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177">
        <f t="shared" si="0"/>
        <v>1768</v>
      </c>
      <c r="W12" s="181"/>
      <c r="X12" s="112"/>
      <c r="Y12" s="112"/>
      <c r="Z12" s="170">
        <f t="shared" si="2"/>
        <v>7</v>
      </c>
      <c r="AA12" s="112"/>
      <c r="AB12" s="112"/>
      <c r="AC12" s="112"/>
    </row>
    <row r="13" spans="1:29" ht="24.75" customHeight="1">
      <c r="A13" s="1"/>
      <c r="B13" s="162">
        <v>8</v>
      </c>
      <c r="C13" s="90" t="s">
        <v>1064</v>
      </c>
      <c r="D13" s="186">
        <v>45385</v>
      </c>
      <c r="E13" s="182">
        <v>27</v>
      </c>
      <c r="F13" s="172">
        <v>1.6</v>
      </c>
      <c r="G13" s="172">
        <v>5.5</v>
      </c>
      <c r="H13" s="172">
        <v>5.6</v>
      </c>
      <c r="I13" s="183">
        <v>1</v>
      </c>
      <c r="J13" s="167"/>
      <c r="K13" s="187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177">
        <f t="shared" si="0"/>
        <v>1903.9999999999998</v>
      </c>
      <c r="W13" s="181"/>
      <c r="X13" s="112"/>
      <c r="Y13" s="112"/>
      <c r="Z13" s="170">
        <f t="shared" si="2"/>
        <v>8</v>
      </c>
      <c r="AA13" s="112"/>
      <c r="AB13" s="112"/>
      <c r="AC13" s="112">
        <f>25000/2.83</f>
        <v>8833.9222614840983</v>
      </c>
    </row>
    <row r="14" spans="1:29" ht="24.75" customHeight="1">
      <c r="A14" s="1"/>
      <c r="B14" s="162">
        <v>9</v>
      </c>
      <c r="C14" s="90" t="s">
        <v>1064</v>
      </c>
      <c r="D14" s="186">
        <v>45385</v>
      </c>
      <c r="E14" s="182">
        <v>27</v>
      </c>
      <c r="F14" s="182">
        <v>1.8</v>
      </c>
      <c r="G14" s="182">
        <v>5.8</v>
      </c>
      <c r="H14" s="182">
        <v>6.5</v>
      </c>
      <c r="I14" s="183">
        <v>1</v>
      </c>
      <c r="J14" s="167"/>
      <c r="K14" s="187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177">
        <f t="shared" si="0"/>
        <v>2210</v>
      </c>
      <c r="W14" s="181"/>
      <c r="X14" s="112"/>
      <c r="Y14" s="112"/>
      <c r="Z14" s="170">
        <f t="shared" si="2"/>
        <v>9</v>
      </c>
      <c r="AA14" s="112"/>
      <c r="AB14" s="112"/>
      <c r="AC14" s="112"/>
    </row>
    <row r="15" spans="1:29" ht="24.75" customHeight="1">
      <c r="A15" s="1"/>
      <c r="B15" s="162">
        <v>10</v>
      </c>
      <c r="C15" s="90" t="s">
        <v>1064</v>
      </c>
      <c r="D15" s="186">
        <v>45385</v>
      </c>
      <c r="E15" s="182">
        <v>27</v>
      </c>
      <c r="F15" s="182">
        <v>2</v>
      </c>
      <c r="G15" s="182">
        <v>5.8</v>
      </c>
      <c r="H15" s="182">
        <v>7.2</v>
      </c>
      <c r="I15" s="183">
        <v>1</v>
      </c>
      <c r="J15" s="167"/>
      <c r="K15" s="18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177">
        <f t="shared" si="0"/>
        <v>2448</v>
      </c>
      <c r="W15" s="181"/>
      <c r="X15" s="112"/>
      <c r="Y15" s="112"/>
      <c r="Z15" s="170">
        <f t="shared" si="2"/>
        <v>10</v>
      </c>
      <c r="AA15" s="112"/>
      <c r="AB15" s="112"/>
      <c r="AC15" s="112">
        <f>19000/2.83</f>
        <v>6713.7809187279154</v>
      </c>
    </row>
    <row r="16" spans="1:29" ht="24.75" hidden="1" customHeight="1">
      <c r="A16" s="1"/>
      <c r="B16" s="162">
        <v>11</v>
      </c>
      <c r="C16" s="188"/>
      <c r="D16" s="164"/>
      <c r="E16" s="165"/>
      <c r="F16" s="165"/>
      <c r="G16" s="165"/>
      <c r="H16" s="165"/>
      <c r="I16" s="166"/>
      <c r="J16" s="167"/>
      <c r="K16" s="187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177">
        <f t="shared" si="0"/>
        <v>0</v>
      </c>
      <c r="W16" s="181"/>
      <c r="X16" s="112"/>
      <c r="Y16" s="112"/>
      <c r="Z16" s="170" t="str">
        <f t="shared" si="2"/>
        <v/>
      </c>
      <c r="AA16" s="112"/>
      <c r="AB16" s="112"/>
      <c r="AC16" s="112"/>
    </row>
    <row r="17" spans="1:29" ht="24.75" customHeight="1">
      <c r="A17" s="1"/>
      <c r="B17" s="162">
        <v>12</v>
      </c>
      <c r="C17" s="90" t="s">
        <v>1064</v>
      </c>
      <c r="D17" s="164">
        <v>1</v>
      </c>
      <c r="E17" s="165">
        <v>33.700000000000003</v>
      </c>
      <c r="F17" s="165">
        <v>1.2</v>
      </c>
      <c r="G17" s="165">
        <v>5.5</v>
      </c>
      <c r="H17" s="165">
        <v>5.4</v>
      </c>
      <c r="I17" s="183">
        <v>1</v>
      </c>
      <c r="J17" s="167"/>
      <c r="K17" s="18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177">
        <f t="shared" si="0"/>
        <v>1836.0000000000002</v>
      </c>
      <c r="W17" s="181"/>
      <c r="X17" s="112"/>
      <c r="Y17" s="112"/>
      <c r="Z17" s="170"/>
      <c r="AA17" s="112"/>
      <c r="AB17" s="112"/>
      <c r="AC17" s="112"/>
    </row>
    <row r="18" spans="1:29" ht="24.75" customHeight="1">
      <c r="A18" s="1"/>
      <c r="B18" s="162">
        <v>13</v>
      </c>
      <c r="C18" s="90" t="s">
        <v>1064</v>
      </c>
      <c r="D18" s="164">
        <v>1</v>
      </c>
      <c r="E18" s="165">
        <v>33.700000000000003</v>
      </c>
      <c r="F18" s="165">
        <v>1.4</v>
      </c>
      <c r="G18" s="165">
        <v>5.5</v>
      </c>
      <c r="H18" s="165">
        <v>6.2</v>
      </c>
      <c r="I18" s="183">
        <v>1</v>
      </c>
      <c r="J18" s="167"/>
      <c r="K18" s="18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177">
        <f t="shared" si="0"/>
        <v>2108</v>
      </c>
      <c r="W18" s="181"/>
      <c r="X18" s="112"/>
      <c r="Y18" s="112"/>
      <c r="Z18" s="170"/>
      <c r="AA18" s="112"/>
      <c r="AB18" s="112"/>
      <c r="AC18" s="112"/>
    </row>
    <row r="19" spans="1:29" ht="24.75" customHeight="1">
      <c r="A19" s="1"/>
      <c r="B19" s="162">
        <v>14</v>
      </c>
      <c r="C19" s="90" t="s">
        <v>1064</v>
      </c>
      <c r="D19" s="164">
        <v>1</v>
      </c>
      <c r="E19" s="165">
        <v>33.700000000000003</v>
      </c>
      <c r="F19" s="165">
        <v>1.6</v>
      </c>
      <c r="G19" s="165">
        <v>5.5</v>
      </c>
      <c r="H19" s="165">
        <v>7</v>
      </c>
      <c r="I19" s="183">
        <v>1</v>
      </c>
      <c r="J19" s="167"/>
      <c r="K19" s="18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177">
        <f t="shared" si="0"/>
        <v>2380</v>
      </c>
      <c r="W19" s="181"/>
      <c r="X19" s="112"/>
      <c r="Y19" s="112"/>
      <c r="Z19" s="170"/>
      <c r="AA19" s="112"/>
      <c r="AB19" s="112"/>
      <c r="AC19" s="112"/>
    </row>
    <row r="20" spans="1:29" ht="24.75" customHeight="1">
      <c r="A20" s="1"/>
      <c r="B20" s="162">
        <v>15</v>
      </c>
      <c r="C20" s="90" t="s">
        <v>1064</v>
      </c>
      <c r="D20" s="164">
        <v>1</v>
      </c>
      <c r="E20" s="165">
        <v>33.700000000000003</v>
      </c>
      <c r="F20" s="165">
        <v>1.8</v>
      </c>
      <c r="G20" s="165">
        <v>5.8</v>
      </c>
      <c r="H20" s="165">
        <v>8.5</v>
      </c>
      <c r="I20" s="183">
        <v>1</v>
      </c>
      <c r="J20" s="167"/>
      <c r="K20" s="187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177">
        <f t="shared" si="0"/>
        <v>2890</v>
      </c>
      <c r="W20" s="181"/>
      <c r="X20" s="112"/>
      <c r="Y20" s="112"/>
      <c r="Z20" s="170"/>
      <c r="AA20" s="112"/>
      <c r="AB20" s="112"/>
      <c r="AC20" s="112"/>
    </row>
    <row r="21" spans="1:29" ht="24.75" customHeight="1">
      <c r="A21" s="1"/>
      <c r="B21" s="162">
        <v>16</v>
      </c>
      <c r="C21" s="90" t="s">
        <v>1064</v>
      </c>
      <c r="D21" s="164">
        <v>1</v>
      </c>
      <c r="E21" s="165">
        <v>33.700000000000003</v>
      </c>
      <c r="F21" s="165">
        <v>2</v>
      </c>
      <c r="G21" s="165">
        <v>5.8</v>
      </c>
      <c r="H21" s="165">
        <v>9.5</v>
      </c>
      <c r="I21" s="183">
        <v>1</v>
      </c>
      <c r="J21" s="167"/>
      <c r="K21" s="187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177">
        <f t="shared" si="0"/>
        <v>3230</v>
      </c>
      <c r="W21" s="181"/>
      <c r="X21" s="112"/>
      <c r="Y21" s="112"/>
      <c r="Z21" s="170"/>
      <c r="AA21" s="112"/>
      <c r="AB21" s="112"/>
      <c r="AC21" s="112"/>
    </row>
    <row r="22" spans="1:29" ht="24.75" customHeight="1">
      <c r="A22" s="1"/>
      <c r="B22" s="162">
        <v>17</v>
      </c>
      <c r="C22" s="90" t="s">
        <v>1064</v>
      </c>
      <c r="D22" s="164">
        <v>1</v>
      </c>
      <c r="E22" s="165">
        <v>33.700000000000003</v>
      </c>
      <c r="F22" s="165">
        <v>2.2999999999999998</v>
      </c>
      <c r="G22" s="165">
        <v>5.8</v>
      </c>
      <c r="H22" s="165">
        <v>10.8</v>
      </c>
      <c r="I22" s="183">
        <v>1</v>
      </c>
      <c r="J22" s="167"/>
      <c r="K22" s="187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177">
        <f t="shared" si="0"/>
        <v>3672.0000000000005</v>
      </c>
      <c r="W22" s="181"/>
      <c r="X22" s="112"/>
      <c r="Y22" s="112"/>
      <c r="Z22" s="170"/>
      <c r="AA22" s="112"/>
      <c r="AB22" s="112"/>
      <c r="AC22" s="112"/>
    </row>
    <row r="23" spans="1:29" ht="24.75" customHeight="1">
      <c r="A23" s="1"/>
      <c r="B23" s="162">
        <v>18</v>
      </c>
      <c r="C23" s="90" t="s">
        <v>1064</v>
      </c>
      <c r="D23" s="164">
        <v>1</v>
      </c>
      <c r="E23" s="165">
        <v>33.700000000000003</v>
      </c>
      <c r="F23" s="165">
        <v>3</v>
      </c>
      <c r="G23" s="165">
        <v>5.8</v>
      </c>
      <c r="H23" s="165">
        <v>14</v>
      </c>
      <c r="I23" s="183">
        <v>1</v>
      </c>
      <c r="J23" s="167"/>
      <c r="K23" s="187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177">
        <f t="shared" si="0"/>
        <v>4760</v>
      </c>
      <c r="W23" s="181"/>
      <c r="X23" s="112"/>
      <c r="Y23" s="112"/>
      <c r="Z23" s="170"/>
      <c r="AA23" s="112"/>
      <c r="AB23" s="112"/>
      <c r="AC23" s="112"/>
    </row>
    <row r="24" spans="1:29" ht="24.75" customHeight="1">
      <c r="A24" s="1"/>
      <c r="B24" s="162">
        <v>19</v>
      </c>
      <c r="C24" s="90" t="s">
        <v>1064</v>
      </c>
      <c r="D24" s="164" t="s">
        <v>1065</v>
      </c>
      <c r="E24" s="165">
        <v>42.4</v>
      </c>
      <c r="F24" s="165">
        <v>1.4</v>
      </c>
      <c r="G24" s="165">
        <v>5.5</v>
      </c>
      <c r="H24" s="165">
        <v>7.8</v>
      </c>
      <c r="I24" s="183">
        <v>1</v>
      </c>
      <c r="J24" s="167"/>
      <c r="K24" s="187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177">
        <f t="shared" si="0"/>
        <v>2652</v>
      </c>
      <c r="W24" s="181"/>
      <c r="X24" s="112"/>
      <c r="Y24" s="112"/>
      <c r="Z24" s="170">
        <f>IF((I24)=0,"",(B16+1))</f>
        <v>12</v>
      </c>
      <c r="AA24" s="112"/>
      <c r="AB24" s="112"/>
      <c r="AC24" s="112"/>
    </row>
    <row r="25" spans="1:29" ht="24.75" customHeight="1">
      <c r="A25" s="1"/>
      <c r="B25" s="162">
        <v>20</v>
      </c>
      <c r="C25" s="90" t="s">
        <v>1064</v>
      </c>
      <c r="D25" s="164" t="s">
        <v>1065</v>
      </c>
      <c r="E25" s="165">
        <v>42.4</v>
      </c>
      <c r="F25" s="165">
        <v>1.6</v>
      </c>
      <c r="G25" s="165">
        <v>5.5</v>
      </c>
      <c r="H25" s="165">
        <v>8.8000000000000007</v>
      </c>
      <c r="I25" s="183">
        <v>1</v>
      </c>
      <c r="J25" s="167"/>
      <c r="K25" s="187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177">
        <f t="shared" si="0"/>
        <v>2992.0000000000005</v>
      </c>
      <c r="W25" s="181"/>
      <c r="X25" s="112"/>
      <c r="Y25" s="112"/>
      <c r="Z25" s="170">
        <f t="shared" ref="Z25:Z30" si="3">IF((I25)=0,"",(B24+1))</f>
        <v>20</v>
      </c>
      <c r="AA25" s="112"/>
      <c r="AB25" s="112"/>
      <c r="AC25" s="112"/>
    </row>
    <row r="26" spans="1:29" ht="24.75" customHeight="1">
      <c r="A26" s="1"/>
      <c r="B26" s="162">
        <v>21</v>
      </c>
      <c r="C26" s="90" t="s">
        <v>1064</v>
      </c>
      <c r="D26" s="164" t="s">
        <v>1065</v>
      </c>
      <c r="E26" s="165">
        <v>42.4</v>
      </c>
      <c r="F26" s="165">
        <v>1.8</v>
      </c>
      <c r="G26" s="165">
        <v>5.8</v>
      </c>
      <c r="H26" s="165">
        <v>10.8</v>
      </c>
      <c r="I26" s="183">
        <v>1</v>
      </c>
      <c r="J26" s="167"/>
      <c r="K26" s="187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177">
        <f t="shared" si="0"/>
        <v>3672.0000000000005</v>
      </c>
      <c r="W26" s="181"/>
      <c r="X26" s="112"/>
      <c r="Y26" s="112"/>
      <c r="Z26" s="170">
        <f t="shared" si="3"/>
        <v>21</v>
      </c>
      <c r="AA26" s="112"/>
      <c r="AB26" s="112"/>
      <c r="AC26" s="112"/>
    </row>
    <row r="27" spans="1:29" ht="24.75" customHeight="1">
      <c r="A27" s="1"/>
      <c r="B27" s="162">
        <v>22</v>
      </c>
      <c r="C27" s="90" t="s">
        <v>1064</v>
      </c>
      <c r="D27" s="164" t="s">
        <v>1065</v>
      </c>
      <c r="E27" s="165">
        <v>42.4</v>
      </c>
      <c r="F27" s="165">
        <v>2</v>
      </c>
      <c r="G27" s="165">
        <v>5.8</v>
      </c>
      <c r="H27" s="165">
        <v>11.8</v>
      </c>
      <c r="I27" s="183">
        <v>1</v>
      </c>
      <c r="J27" s="167"/>
      <c r="K27" s="187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177">
        <f t="shared" si="0"/>
        <v>4012.0000000000005</v>
      </c>
      <c r="W27" s="181"/>
      <c r="X27" s="112"/>
      <c r="Y27" s="112"/>
      <c r="Z27" s="170">
        <f t="shared" si="3"/>
        <v>22</v>
      </c>
      <c r="AA27" s="112"/>
      <c r="AB27" s="112"/>
      <c r="AC27" s="112"/>
    </row>
    <row r="28" spans="1:29" ht="24.75" customHeight="1">
      <c r="A28" s="1"/>
      <c r="B28" s="162">
        <v>23</v>
      </c>
      <c r="C28" s="90" t="s">
        <v>1064</v>
      </c>
      <c r="D28" s="164" t="s">
        <v>1065</v>
      </c>
      <c r="E28" s="165">
        <v>42.4</v>
      </c>
      <c r="F28" s="165">
        <v>2.2999999999999998</v>
      </c>
      <c r="G28" s="165">
        <v>5.8</v>
      </c>
      <c r="H28" s="165">
        <v>13.4</v>
      </c>
      <c r="I28" s="183">
        <v>1</v>
      </c>
      <c r="J28" s="167"/>
      <c r="K28" s="187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177">
        <f t="shared" si="0"/>
        <v>4556</v>
      </c>
      <c r="W28" s="181"/>
      <c r="X28" s="112"/>
      <c r="Y28" s="112"/>
      <c r="Z28" s="170">
        <f t="shared" si="3"/>
        <v>23</v>
      </c>
      <c r="AA28" s="112"/>
      <c r="AB28" s="112"/>
      <c r="AC28" s="112"/>
    </row>
    <row r="29" spans="1:29" ht="24.75" customHeight="1">
      <c r="A29" s="1"/>
      <c r="B29" s="162">
        <v>24</v>
      </c>
      <c r="C29" s="90" t="s">
        <v>1064</v>
      </c>
      <c r="D29" s="164" t="s">
        <v>1065</v>
      </c>
      <c r="E29" s="165">
        <v>42.4</v>
      </c>
      <c r="F29" s="165">
        <v>3</v>
      </c>
      <c r="G29" s="165">
        <v>5.8</v>
      </c>
      <c r="H29" s="165">
        <v>17.7</v>
      </c>
      <c r="I29" s="183">
        <v>1</v>
      </c>
      <c r="J29" s="167"/>
      <c r="K29" s="187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177">
        <f t="shared" si="0"/>
        <v>6018</v>
      </c>
      <c r="W29" s="181"/>
      <c r="X29" s="112"/>
      <c r="Y29" s="112"/>
      <c r="Z29" s="170">
        <f t="shared" si="3"/>
        <v>24</v>
      </c>
      <c r="AA29" s="112"/>
      <c r="AB29" s="112"/>
      <c r="AC29" s="112"/>
    </row>
    <row r="30" spans="1:29" ht="24.75" customHeight="1">
      <c r="A30" s="1"/>
      <c r="B30" s="162">
        <v>25</v>
      </c>
      <c r="C30" s="90" t="s">
        <v>1064</v>
      </c>
      <c r="D30" s="164" t="s">
        <v>1065</v>
      </c>
      <c r="E30" s="165">
        <v>42.4</v>
      </c>
      <c r="F30" s="165">
        <v>3.2</v>
      </c>
      <c r="G30" s="165">
        <v>5.8</v>
      </c>
      <c r="H30" s="165">
        <v>18.3</v>
      </c>
      <c r="I30" s="183">
        <v>1</v>
      </c>
      <c r="J30" s="167"/>
      <c r="K30" s="187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177">
        <f t="shared" si="0"/>
        <v>6222</v>
      </c>
      <c r="W30" s="181"/>
      <c r="X30" s="112"/>
      <c r="Y30" s="112"/>
      <c r="Z30" s="170">
        <f t="shared" si="3"/>
        <v>25</v>
      </c>
      <c r="AA30" s="112"/>
      <c r="AB30" s="112"/>
      <c r="AC30" s="112"/>
    </row>
    <row r="31" spans="1:29" ht="24.75" customHeight="1">
      <c r="A31" s="1"/>
      <c r="B31" s="162">
        <v>26</v>
      </c>
      <c r="C31" s="76" t="s">
        <v>1064</v>
      </c>
      <c r="D31" s="164" t="s">
        <v>1066</v>
      </c>
      <c r="E31" s="165">
        <v>48</v>
      </c>
      <c r="F31" s="165">
        <v>1.6</v>
      </c>
      <c r="G31" s="165">
        <v>5.5</v>
      </c>
      <c r="H31" s="165">
        <v>10.7</v>
      </c>
      <c r="I31" s="183">
        <v>1</v>
      </c>
      <c r="J31" s="167"/>
      <c r="K31" s="187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177">
        <f t="shared" si="0"/>
        <v>3637.9999999999995</v>
      </c>
      <c r="W31" s="181"/>
      <c r="X31" s="112"/>
      <c r="Y31" s="112"/>
      <c r="Z31" s="170" t="e">
        <f>IF((I31)=0,"",(#REF!+1))</f>
        <v>#REF!</v>
      </c>
      <c r="AA31" s="112"/>
      <c r="AB31" s="112"/>
      <c r="AC31" s="112"/>
    </row>
    <row r="32" spans="1:29" ht="24.75" customHeight="1">
      <c r="A32" s="1"/>
      <c r="B32" s="162">
        <v>27</v>
      </c>
      <c r="C32" s="76" t="s">
        <v>1064</v>
      </c>
      <c r="D32" s="164" t="s">
        <v>1066</v>
      </c>
      <c r="E32" s="165">
        <v>48</v>
      </c>
      <c r="F32" s="165">
        <v>1.8</v>
      </c>
      <c r="G32" s="165">
        <v>5.8</v>
      </c>
      <c r="H32" s="165">
        <v>12.3</v>
      </c>
      <c r="I32" s="183">
        <v>1</v>
      </c>
      <c r="J32" s="167"/>
      <c r="K32" s="179"/>
      <c r="L32" s="32"/>
      <c r="M32" s="39"/>
      <c r="N32" s="31"/>
      <c r="O32" s="32"/>
      <c r="P32" s="31"/>
      <c r="Q32" s="31"/>
      <c r="R32" s="31"/>
      <c r="S32" s="32"/>
      <c r="T32" s="32"/>
      <c r="U32" s="32"/>
      <c r="V32" s="177">
        <f t="shared" si="0"/>
        <v>4182</v>
      </c>
      <c r="W32" s="181"/>
      <c r="X32" s="112"/>
      <c r="Y32" s="112"/>
      <c r="Z32" s="170">
        <f>IF((I32)=0,"",(B31+1))</f>
        <v>27</v>
      </c>
      <c r="AA32" s="112"/>
      <c r="AB32" s="112"/>
      <c r="AC32" s="112"/>
    </row>
    <row r="33" spans="1:29" ht="24.75" customHeight="1">
      <c r="A33" s="1"/>
      <c r="B33" s="162">
        <v>28</v>
      </c>
      <c r="C33" s="76" t="s">
        <v>1064</v>
      </c>
      <c r="D33" s="164" t="s">
        <v>1066</v>
      </c>
      <c r="E33" s="165">
        <v>48</v>
      </c>
      <c r="F33" s="165">
        <v>2</v>
      </c>
      <c r="G33" s="165">
        <v>5.8</v>
      </c>
      <c r="H33" s="165">
        <v>13.5</v>
      </c>
      <c r="I33" s="183">
        <v>1</v>
      </c>
      <c r="J33" s="167"/>
      <c r="K33" s="187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177">
        <f t="shared" si="0"/>
        <v>4590</v>
      </c>
      <c r="W33" s="189"/>
      <c r="X33" s="112"/>
      <c r="Y33" s="112"/>
      <c r="Z33" s="170"/>
      <c r="AA33" s="112"/>
      <c r="AB33" s="112"/>
      <c r="AC33" s="112"/>
    </row>
    <row r="34" spans="1:29" ht="24.75" customHeight="1">
      <c r="A34" s="1"/>
      <c r="B34" s="162">
        <v>29</v>
      </c>
      <c r="C34" s="76" t="s">
        <v>1064</v>
      </c>
      <c r="D34" s="164" t="s">
        <v>1066</v>
      </c>
      <c r="E34" s="165">
        <v>48</v>
      </c>
      <c r="F34" s="165">
        <v>2.2999999999999998</v>
      </c>
      <c r="G34" s="165">
        <v>5.8</v>
      </c>
      <c r="H34" s="165">
        <v>15.5</v>
      </c>
      <c r="I34" s="183">
        <v>1</v>
      </c>
      <c r="J34" s="167"/>
      <c r="K34" s="18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177">
        <f t="shared" si="0"/>
        <v>5270</v>
      </c>
      <c r="W34" s="189"/>
      <c r="X34" s="112"/>
      <c r="Y34" s="112"/>
      <c r="Z34" s="170"/>
      <c r="AA34" s="112"/>
      <c r="AB34" s="112"/>
      <c r="AC34" s="112"/>
    </row>
    <row r="35" spans="1:29" ht="24.75" customHeight="1">
      <c r="A35" s="1"/>
      <c r="B35" s="162">
        <v>30</v>
      </c>
      <c r="C35" s="76" t="s">
        <v>1064</v>
      </c>
      <c r="D35" s="164" t="s">
        <v>1066</v>
      </c>
      <c r="E35" s="165">
        <v>48</v>
      </c>
      <c r="F35" s="165">
        <v>3</v>
      </c>
      <c r="G35" s="165">
        <v>5.8</v>
      </c>
      <c r="H35" s="165">
        <v>20</v>
      </c>
      <c r="I35" s="183">
        <v>1</v>
      </c>
      <c r="J35" s="167"/>
      <c r="K35" s="18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177">
        <f t="shared" si="0"/>
        <v>6800</v>
      </c>
      <c r="W35" s="189"/>
      <c r="X35" s="112"/>
      <c r="Y35" s="112"/>
      <c r="Z35" s="170"/>
      <c r="AA35" s="112"/>
      <c r="AB35" s="112"/>
      <c r="AC35" s="112"/>
    </row>
    <row r="36" spans="1:29" ht="24.75" customHeight="1">
      <c r="A36" s="1"/>
      <c r="B36" s="162">
        <v>31</v>
      </c>
      <c r="C36" s="76" t="s">
        <v>1064</v>
      </c>
      <c r="D36" s="164" t="s">
        <v>1066</v>
      </c>
      <c r="E36" s="165">
        <v>48</v>
      </c>
      <c r="F36" s="190">
        <v>3.2</v>
      </c>
      <c r="G36" s="165">
        <v>5.8</v>
      </c>
      <c r="H36" s="190">
        <v>20.7</v>
      </c>
      <c r="I36" s="183">
        <v>1</v>
      </c>
      <c r="J36" s="191"/>
      <c r="K36" s="18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177">
        <f t="shared" si="0"/>
        <v>7038</v>
      </c>
      <c r="W36" s="189"/>
      <c r="X36" s="112"/>
      <c r="Y36" s="112"/>
      <c r="Z36" s="170" t="e">
        <f>IF((I36)=0,"",(#REF!+1))</f>
        <v>#REF!</v>
      </c>
      <c r="AA36" s="112"/>
      <c r="AB36" s="112"/>
      <c r="AC36" s="112"/>
    </row>
    <row r="37" spans="1:29" ht="24.75" customHeight="1">
      <c r="A37" s="1"/>
      <c r="B37" s="162">
        <v>32</v>
      </c>
      <c r="C37" s="76" t="s">
        <v>1064</v>
      </c>
      <c r="D37" s="164" t="s">
        <v>1066</v>
      </c>
      <c r="E37" s="165">
        <v>48</v>
      </c>
      <c r="F37" s="190">
        <v>3.2</v>
      </c>
      <c r="G37" s="190">
        <v>6</v>
      </c>
      <c r="H37" s="190">
        <v>21.2</v>
      </c>
      <c r="I37" s="183">
        <v>1</v>
      </c>
      <c r="J37" s="191"/>
      <c r="K37" s="187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177">
        <f t="shared" si="0"/>
        <v>7208</v>
      </c>
      <c r="W37" s="189"/>
      <c r="X37" s="112"/>
      <c r="Y37" s="112"/>
      <c r="Z37" s="170">
        <f>IF((I37)=0,"",(B36+1))</f>
        <v>32</v>
      </c>
      <c r="AA37" s="112"/>
      <c r="AB37" s="112"/>
      <c r="AC37" s="112"/>
    </row>
    <row r="38" spans="1:29" ht="24.75" customHeight="1">
      <c r="A38" s="1"/>
      <c r="B38" s="162">
        <v>33</v>
      </c>
      <c r="C38" s="76" t="s">
        <v>1064</v>
      </c>
      <c r="D38" s="164">
        <v>2</v>
      </c>
      <c r="E38" s="165">
        <v>60.3</v>
      </c>
      <c r="F38" s="165">
        <v>1.6</v>
      </c>
      <c r="G38" s="165">
        <v>5.8</v>
      </c>
      <c r="H38" s="165">
        <v>13.8</v>
      </c>
      <c r="I38" s="183">
        <v>1</v>
      </c>
      <c r="J38" s="167"/>
      <c r="K38" s="187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177">
        <f t="shared" si="0"/>
        <v>4692</v>
      </c>
      <c r="W38" s="181"/>
      <c r="X38" s="112"/>
      <c r="Y38" s="112"/>
      <c r="Z38" s="170" t="e">
        <f>IF((I38)=0,"",(#REF!+1))</f>
        <v>#REF!</v>
      </c>
      <c r="AA38" s="112"/>
      <c r="AB38" s="112"/>
      <c r="AC38" s="112"/>
    </row>
    <row r="39" spans="1:29" ht="24.75" customHeight="1">
      <c r="A39" s="1"/>
      <c r="B39" s="162">
        <v>34</v>
      </c>
      <c r="C39" s="76" t="s">
        <v>1064</v>
      </c>
      <c r="D39" s="164">
        <v>2</v>
      </c>
      <c r="E39" s="165">
        <v>60.3</v>
      </c>
      <c r="F39" s="165">
        <v>1.8</v>
      </c>
      <c r="G39" s="165">
        <v>5.8</v>
      </c>
      <c r="H39" s="165">
        <v>15.6</v>
      </c>
      <c r="I39" s="183">
        <v>1</v>
      </c>
      <c r="J39" s="167"/>
      <c r="K39" s="187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177">
        <f t="shared" si="0"/>
        <v>5304</v>
      </c>
      <c r="W39" s="181"/>
      <c r="X39" s="112"/>
      <c r="Y39" s="112"/>
      <c r="Z39" s="170">
        <f t="shared" ref="Z39:Z43" si="4">IF((I39)=0,"",(B38+1))</f>
        <v>34</v>
      </c>
      <c r="AA39" s="112"/>
      <c r="AB39" s="112"/>
      <c r="AC39" s="112"/>
    </row>
    <row r="40" spans="1:29" ht="24.75" customHeight="1">
      <c r="A40" s="1"/>
      <c r="B40" s="162">
        <v>35</v>
      </c>
      <c r="C40" s="76" t="s">
        <v>1064</v>
      </c>
      <c r="D40" s="164">
        <v>2</v>
      </c>
      <c r="E40" s="165">
        <v>60.3</v>
      </c>
      <c r="F40" s="165">
        <v>2</v>
      </c>
      <c r="G40" s="165">
        <v>5.8</v>
      </c>
      <c r="H40" s="165">
        <v>17</v>
      </c>
      <c r="I40" s="183">
        <v>1</v>
      </c>
      <c r="J40" s="167"/>
      <c r="K40" s="18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177">
        <f t="shared" si="0"/>
        <v>5780</v>
      </c>
      <c r="W40" s="181"/>
      <c r="X40" s="112"/>
      <c r="Y40" s="112"/>
      <c r="Z40" s="170">
        <f t="shared" si="4"/>
        <v>35</v>
      </c>
      <c r="AA40" s="112"/>
      <c r="AB40" s="112"/>
      <c r="AC40" s="112"/>
    </row>
    <row r="41" spans="1:29" ht="24.75" customHeight="1">
      <c r="A41" s="1"/>
      <c r="B41" s="162">
        <v>36</v>
      </c>
      <c r="C41" s="76" t="s">
        <v>1064</v>
      </c>
      <c r="D41" s="164">
        <v>2</v>
      </c>
      <c r="E41" s="165">
        <v>60.3</v>
      </c>
      <c r="F41" s="165">
        <v>2.2999999999999998</v>
      </c>
      <c r="G41" s="165">
        <v>5.8</v>
      </c>
      <c r="H41" s="165">
        <v>20</v>
      </c>
      <c r="I41" s="183">
        <v>1</v>
      </c>
      <c r="J41" s="167"/>
      <c r="K41" s="187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177">
        <f t="shared" si="0"/>
        <v>6800</v>
      </c>
      <c r="W41" s="181"/>
      <c r="X41" s="112"/>
      <c r="Y41" s="112"/>
      <c r="Z41" s="170">
        <f t="shared" si="4"/>
        <v>36</v>
      </c>
      <c r="AA41" s="112"/>
      <c r="AB41" s="112"/>
      <c r="AC41" s="112"/>
    </row>
    <row r="42" spans="1:29" ht="24.75" customHeight="1">
      <c r="A42" s="1"/>
      <c r="B42" s="162">
        <v>37</v>
      </c>
      <c r="C42" s="76" t="s">
        <v>1064</v>
      </c>
      <c r="D42" s="164">
        <v>2</v>
      </c>
      <c r="E42" s="165">
        <v>60.3</v>
      </c>
      <c r="F42" s="165">
        <v>3</v>
      </c>
      <c r="G42" s="165">
        <v>5.8</v>
      </c>
      <c r="H42" s="165">
        <v>26</v>
      </c>
      <c r="I42" s="183">
        <v>1</v>
      </c>
      <c r="J42" s="167"/>
      <c r="K42" s="187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177">
        <f t="shared" si="0"/>
        <v>8840</v>
      </c>
      <c r="W42" s="181"/>
      <c r="X42" s="112"/>
      <c r="Y42" s="112"/>
      <c r="Z42" s="170">
        <f t="shared" si="4"/>
        <v>37</v>
      </c>
      <c r="AA42" s="112"/>
      <c r="AB42" s="112"/>
      <c r="AC42" s="112"/>
    </row>
    <row r="43" spans="1:29" ht="24.75" customHeight="1">
      <c r="A43" s="1"/>
      <c r="B43" s="162">
        <v>38</v>
      </c>
      <c r="C43" s="76" t="s">
        <v>1064</v>
      </c>
      <c r="D43" s="164">
        <v>3</v>
      </c>
      <c r="E43" s="165">
        <v>88.9</v>
      </c>
      <c r="F43" s="165">
        <v>2</v>
      </c>
      <c r="G43" s="165">
        <v>5.8</v>
      </c>
      <c r="H43" s="165">
        <v>25</v>
      </c>
      <c r="I43" s="183">
        <v>1</v>
      </c>
      <c r="J43" s="167"/>
      <c r="K43" s="187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177">
        <f t="shared" si="0"/>
        <v>8500</v>
      </c>
      <c r="W43" s="181"/>
      <c r="X43" s="112"/>
      <c r="Y43" s="112"/>
      <c r="Z43" s="170">
        <f t="shared" si="4"/>
        <v>38</v>
      </c>
      <c r="AA43" s="112"/>
      <c r="AB43" s="112"/>
      <c r="AC43" s="112"/>
    </row>
    <row r="44" spans="1:29" ht="24.75" customHeight="1">
      <c r="A44" s="1"/>
      <c r="B44" s="162">
        <v>39</v>
      </c>
      <c r="C44" s="76" t="s">
        <v>1064</v>
      </c>
      <c r="D44" s="192">
        <v>3</v>
      </c>
      <c r="E44" s="190">
        <v>88.9</v>
      </c>
      <c r="F44" s="190">
        <v>3</v>
      </c>
      <c r="G44" s="190">
        <v>5.8</v>
      </c>
      <c r="H44" s="190">
        <v>37</v>
      </c>
      <c r="I44" s="183">
        <v>1</v>
      </c>
      <c r="J44" s="191"/>
      <c r="K44" s="187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177">
        <f t="shared" si="0"/>
        <v>12580</v>
      </c>
      <c r="W44" s="189"/>
      <c r="X44" s="112"/>
      <c r="Y44" s="112"/>
      <c r="Z44" s="170" t="e">
        <f>IF((I44)=0,"",(#REF!+1))</f>
        <v>#REF!</v>
      </c>
      <c r="AA44" s="112"/>
      <c r="AB44" s="112"/>
      <c r="AC44" s="112"/>
    </row>
    <row r="45" spans="1:29" ht="24.75" customHeight="1">
      <c r="A45" s="1"/>
      <c r="B45" s="162">
        <v>40</v>
      </c>
      <c r="C45" s="76" t="s">
        <v>1064</v>
      </c>
      <c r="D45" s="164">
        <v>4</v>
      </c>
      <c r="E45" s="165">
        <v>114.3</v>
      </c>
      <c r="F45" s="165">
        <v>2</v>
      </c>
      <c r="G45" s="165">
        <v>5.8</v>
      </c>
      <c r="H45" s="165">
        <v>32</v>
      </c>
      <c r="I45" s="183">
        <v>1</v>
      </c>
      <c r="J45" s="167"/>
      <c r="K45" s="187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177">
        <f t="shared" si="0"/>
        <v>10880</v>
      </c>
      <c r="W45" s="181"/>
      <c r="X45" s="112"/>
      <c r="Y45" s="112"/>
      <c r="Z45" s="170">
        <f t="shared" ref="Z45:Z56" si="5">IF((I45)=0,"",(B44+1))</f>
        <v>40</v>
      </c>
      <c r="AA45" s="112"/>
      <c r="AB45" s="112"/>
      <c r="AC45" s="112"/>
    </row>
    <row r="46" spans="1:29" ht="24.75" customHeight="1">
      <c r="A46" s="1"/>
      <c r="B46" s="162">
        <v>41</v>
      </c>
      <c r="C46" s="76" t="s">
        <v>1064</v>
      </c>
      <c r="D46" s="164">
        <v>4</v>
      </c>
      <c r="E46" s="165">
        <v>114.3</v>
      </c>
      <c r="F46" s="165">
        <v>3</v>
      </c>
      <c r="G46" s="165">
        <v>5.8</v>
      </c>
      <c r="H46" s="165">
        <v>50</v>
      </c>
      <c r="I46" s="183">
        <v>1</v>
      </c>
      <c r="J46" s="167"/>
      <c r="K46" s="187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177">
        <f t="shared" si="0"/>
        <v>17000</v>
      </c>
      <c r="W46" s="181"/>
      <c r="X46" s="112"/>
      <c r="Y46" s="112"/>
      <c r="Z46" s="170">
        <f t="shared" si="5"/>
        <v>41</v>
      </c>
      <c r="AA46" s="112"/>
      <c r="AB46" s="112"/>
      <c r="AC46" s="112"/>
    </row>
    <row r="47" spans="1:29" ht="24.75" customHeight="1">
      <c r="A47" s="1"/>
      <c r="B47" s="162">
        <v>42</v>
      </c>
      <c r="C47" s="76"/>
      <c r="D47" s="164"/>
      <c r="E47" s="164"/>
      <c r="F47" s="165"/>
      <c r="G47" s="165"/>
      <c r="H47" s="165"/>
      <c r="I47" s="166"/>
      <c r="J47" s="167"/>
      <c r="K47" s="187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181"/>
      <c r="X47" s="112"/>
      <c r="Y47" s="112"/>
      <c r="Z47" s="170" t="str">
        <f t="shared" si="5"/>
        <v/>
      </c>
      <c r="AA47" s="112"/>
      <c r="AB47" s="112"/>
      <c r="AC47" s="112"/>
    </row>
    <row r="48" spans="1:29" ht="24.75" customHeight="1">
      <c r="A48" s="1"/>
      <c r="B48" s="162">
        <v>43</v>
      </c>
      <c r="C48" s="76"/>
      <c r="D48" s="193"/>
      <c r="E48" s="194"/>
      <c r="F48" s="194"/>
      <c r="G48" s="194"/>
      <c r="H48" s="194"/>
      <c r="I48" s="195"/>
      <c r="J48" s="196"/>
      <c r="K48" s="187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81"/>
      <c r="X48" s="112"/>
      <c r="Y48" s="112"/>
      <c r="Z48" s="170" t="str">
        <f t="shared" si="5"/>
        <v/>
      </c>
      <c r="AA48" s="112"/>
      <c r="AB48" s="112"/>
      <c r="AC48" s="112"/>
    </row>
    <row r="49" spans="1:29" ht="24.75" customHeight="1">
      <c r="A49" s="1"/>
      <c r="B49" s="162">
        <v>44</v>
      </c>
      <c r="C49" s="76"/>
      <c r="D49" s="193"/>
      <c r="E49" s="194"/>
      <c r="F49" s="194"/>
      <c r="G49" s="194"/>
      <c r="H49" s="194"/>
      <c r="I49" s="195"/>
      <c r="J49" s="196"/>
      <c r="K49" s="187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181"/>
      <c r="X49" s="112"/>
      <c r="Y49" s="112"/>
      <c r="Z49" s="170" t="str">
        <f t="shared" si="5"/>
        <v/>
      </c>
      <c r="AA49" s="112"/>
      <c r="AB49" s="112"/>
      <c r="AC49" s="112"/>
    </row>
    <row r="50" spans="1:29" ht="24.75" customHeight="1">
      <c r="A50" s="1"/>
      <c r="B50" s="162">
        <v>45</v>
      </c>
      <c r="C50" s="76"/>
      <c r="D50" s="193"/>
      <c r="E50" s="194"/>
      <c r="F50" s="194"/>
      <c r="G50" s="194"/>
      <c r="H50" s="194"/>
      <c r="I50" s="195"/>
      <c r="J50" s="196"/>
      <c r="K50" s="187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181"/>
      <c r="X50" s="112"/>
      <c r="Y50" s="112"/>
      <c r="Z50" s="170" t="str">
        <f t="shared" si="5"/>
        <v/>
      </c>
      <c r="AA50" s="112"/>
      <c r="AB50" s="112"/>
      <c r="AC50" s="112"/>
    </row>
    <row r="51" spans="1:29" ht="24.75" customHeight="1">
      <c r="A51" s="1"/>
      <c r="B51" s="162">
        <v>46</v>
      </c>
      <c r="C51" s="76"/>
      <c r="D51" s="193"/>
      <c r="E51" s="194"/>
      <c r="F51" s="194"/>
      <c r="G51" s="194"/>
      <c r="H51" s="194"/>
      <c r="I51" s="195"/>
      <c r="J51" s="196"/>
      <c r="K51" s="187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181"/>
      <c r="X51" s="112"/>
      <c r="Y51" s="112"/>
      <c r="Z51" s="170" t="str">
        <f t="shared" si="5"/>
        <v/>
      </c>
      <c r="AA51" s="112"/>
      <c r="AB51" s="112"/>
      <c r="AC51" s="112"/>
    </row>
    <row r="52" spans="1:29" ht="24.75" customHeight="1">
      <c r="A52" s="1"/>
      <c r="B52" s="162">
        <v>47</v>
      </c>
      <c r="C52" s="76"/>
      <c r="D52" s="193"/>
      <c r="E52" s="194"/>
      <c r="F52" s="194"/>
      <c r="G52" s="194"/>
      <c r="H52" s="194"/>
      <c r="I52" s="195"/>
      <c r="J52" s="196"/>
      <c r="K52" s="187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181"/>
      <c r="X52" s="112"/>
      <c r="Y52" s="112"/>
      <c r="Z52" s="170" t="str">
        <f t="shared" si="5"/>
        <v/>
      </c>
      <c r="AA52" s="112"/>
      <c r="AB52" s="112"/>
      <c r="AC52" s="112"/>
    </row>
    <row r="53" spans="1:29" ht="24.75" customHeight="1">
      <c r="A53" s="1"/>
      <c r="B53" s="162">
        <v>48</v>
      </c>
      <c r="C53" s="76"/>
      <c r="D53" s="193"/>
      <c r="E53" s="194"/>
      <c r="F53" s="194"/>
      <c r="G53" s="194"/>
      <c r="H53" s="194"/>
      <c r="I53" s="195"/>
      <c r="J53" s="196"/>
      <c r="K53" s="187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181"/>
      <c r="X53" s="112"/>
      <c r="Y53" s="112"/>
      <c r="Z53" s="170" t="str">
        <f t="shared" si="5"/>
        <v/>
      </c>
      <c r="AA53" s="112"/>
      <c r="AB53" s="112"/>
      <c r="AC53" s="112"/>
    </row>
    <row r="54" spans="1:29" ht="24.75" customHeight="1">
      <c r="A54" s="1"/>
      <c r="B54" s="162">
        <v>49</v>
      </c>
      <c r="C54" s="76"/>
      <c r="D54" s="193"/>
      <c r="E54" s="194"/>
      <c r="F54" s="194"/>
      <c r="G54" s="194"/>
      <c r="H54" s="194"/>
      <c r="I54" s="195"/>
      <c r="J54" s="196"/>
      <c r="K54" s="187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181"/>
      <c r="X54" s="112"/>
      <c r="Y54" s="112"/>
      <c r="Z54" s="170" t="str">
        <f t="shared" si="5"/>
        <v/>
      </c>
      <c r="AA54" s="112"/>
      <c r="AB54" s="112"/>
      <c r="AC54" s="112"/>
    </row>
    <row r="55" spans="1:29" ht="24.75" customHeight="1">
      <c r="A55" s="1"/>
      <c r="B55" s="162">
        <v>50</v>
      </c>
      <c r="C55" s="76"/>
      <c r="D55" s="193"/>
      <c r="E55" s="194"/>
      <c r="F55" s="194"/>
      <c r="G55" s="194"/>
      <c r="H55" s="194"/>
      <c r="I55" s="195"/>
      <c r="J55" s="196"/>
      <c r="K55" s="187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181"/>
      <c r="X55" s="112"/>
      <c r="Y55" s="112"/>
      <c r="Z55" s="170" t="str">
        <f t="shared" si="5"/>
        <v/>
      </c>
      <c r="AA55" s="112"/>
      <c r="AB55" s="112"/>
      <c r="AC55" s="112"/>
    </row>
    <row r="56" spans="1:29" ht="24.75" customHeight="1">
      <c r="A56" s="1"/>
      <c r="B56" s="162">
        <v>51</v>
      </c>
      <c r="C56" s="76"/>
      <c r="D56" s="193"/>
      <c r="E56" s="194"/>
      <c r="F56" s="194"/>
      <c r="G56" s="194"/>
      <c r="H56" s="194"/>
      <c r="I56" s="195"/>
      <c r="J56" s="196"/>
      <c r="K56" s="187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181"/>
      <c r="X56" s="112"/>
      <c r="Y56" s="112"/>
      <c r="Z56" s="170" t="str">
        <f t="shared" si="5"/>
        <v/>
      </c>
      <c r="AA56" s="112"/>
      <c r="AB56" s="112"/>
      <c r="AC56" s="112"/>
    </row>
    <row r="57" spans="1:29" ht="21.75" customHeight="1">
      <c r="A57" s="1"/>
      <c r="B57" s="162">
        <v>52</v>
      </c>
      <c r="C57" s="76"/>
      <c r="D57" s="193"/>
      <c r="E57" s="194"/>
      <c r="F57" s="194"/>
      <c r="G57" s="194"/>
      <c r="H57" s="194"/>
      <c r="I57" s="195"/>
      <c r="J57" s="196"/>
      <c r="K57" s="187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181"/>
      <c r="X57" s="1"/>
      <c r="Y57" s="1"/>
      <c r="Z57" s="170"/>
      <c r="AA57" s="1"/>
      <c r="AB57" s="1"/>
      <c r="AC57" s="1"/>
    </row>
    <row r="58" spans="1:29" ht="21.75" customHeight="1">
      <c r="A58" s="1"/>
      <c r="B58" s="162">
        <v>53</v>
      </c>
      <c r="C58" s="76"/>
      <c r="D58" s="193"/>
      <c r="E58" s="194"/>
      <c r="F58" s="194"/>
      <c r="G58" s="194"/>
      <c r="H58" s="194"/>
      <c r="I58" s="195"/>
      <c r="J58" s="196"/>
      <c r="K58" s="187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181"/>
      <c r="X58" s="1"/>
      <c r="Y58" s="1"/>
      <c r="Z58" s="170"/>
      <c r="AA58" s="1"/>
      <c r="AB58" s="1"/>
      <c r="AC58" s="1"/>
    </row>
    <row r="59" spans="1:29" ht="21.75" customHeight="1">
      <c r="A59" s="1"/>
      <c r="B59" s="162">
        <v>54</v>
      </c>
      <c r="C59" s="76"/>
      <c r="D59" s="193"/>
      <c r="E59" s="194"/>
      <c r="F59" s="194"/>
      <c r="G59" s="194"/>
      <c r="H59" s="194"/>
      <c r="I59" s="195"/>
      <c r="J59" s="196"/>
      <c r="K59" s="187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181"/>
      <c r="X59" s="1"/>
      <c r="Y59" s="1"/>
      <c r="Z59" s="170"/>
      <c r="AA59" s="1"/>
      <c r="AB59" s="1"/>
      <c r="AC59" s="1"/>
    </row>
    <row r="60" spans="1:29" ht="21.75" customHeight="1">
      <c r="A60" s="1"/>
      <c r="B60" s="162">
        <v>55</v>
      </c>
      <c r="C60" s="90"/>
      <c r="D60" s="164"/>
      <c r="E60" s="165"/>
      <c r="F60" s="165"/>
      <c r="G60" s="165"/>
      <c r="H60" s="165"/>
      <c r="I60" s="166"/>
      <c r="J60" s="196"/>
      <c r="K60" s="187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181"/>
      <c r="X60" s="1"/>
      <c r="Y60" s="1"/>
      <c r="Z60" s="170" t="str">
        <f>IF((I60)=0,"",(B53+1))</f>
        <v/>
      </c>
      <c r="AA60" s="1"/>
      <c r="AB60" s="1"/>
      <c r="AC60" s="1"/>
    </row>
    <row r="61" spans="1:29" ht="21.75" customHeight="1">
      <c r="A61" s="1"/>
      <c r="B61" s="162">
        <v>56</v>
      </c>
      <c r="C61" s="90"/>
      <c r="D61" s="164"/>
      <c r="E61" s="165"/>
      <c r="F61" s="165"/>
      <c r="G61" s="165"/>
      <c r="H61" s="165"/>
      <c r="I61" s="166"/>
      <c r="J61" s="196"/>
      <c r="K61" s="187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181"/>
      <c r="X61" s="1"/>
      <c r="Y61" s="1"/>
      <c r="Z61" s="170" t="str">
        <f>IF((I61)=0,"",(B60+1))</f>
        <v/>
      </c>
      <c r="AA61" s="1"/>
      <c r="AB61" s="1"/>
      <c r="AC61" s="1"/>
    </row>
    <row r="62" spans="1:29" ht="21.75" customHeight="1">
      <c r="A62" s="1"/>
      <c r="B62" s="162">
        <v>57</v>
      </c>
      <c r="C62" s="90"/>
      <c r="D62" s="164"/>
      <c r="E62" s="165"/>
      <c r="F62" s="165"/>
      <c r="G62" s="165"/>
      <c r="H62" s="165"/>
      <c r="I62" s="166"/>
      <c r="J62" s="196"/>
      <c r="K62" s="187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181"/>
      <c r="X62" s="1"/>
      <c r="Y62" s="1"/>
      <c r="Z62" s="170"/>
      <c r="AA62" s="1"/>
      <c r="AB62" s="1"/>
      <c r="AC62" s="1"/>
    </row>
    <row r="63" spans="1:29" ht="21.75" customHeight="1">
      <c r="A63" s="1"/>
      <c r="B63" s="162">
        <v>58</v>
      </c>
      <c r="C63" s="90"/>
      <c r="D63" s="164"/>
      <c r="E63" s="165"/>
      <c r="F63" s="165"/>
      <c r="G63" s="165"/>
      <c r="H63" s="165"/>
      <c r="I63" s="166"/>
      <c r="J63" s="196"/>
      <c r="K63" s="187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181"/>
      <c r="X63" s="1"/>
      <c r="Y63" s="1"/>
      <c r="Z63" s="170"/>
      <c r="AA63" s="1"/>
      <c r="AB63" s="1"/>
      <c r="AC63" s="1"/>
    </row>
    <row r="64" spans="1:29" ht="21.75" customHeight="1">
      <c r="A64" s="1"/>
      <c r="B64" s="162">
        <v>59</v>
      </c>
      <c r="C64" s="90"/>
      <c r="D64" s="164"/>
      <c r="E64" s="165"/>
      <c r="F64" s="165"/>
      <c r="G64" s="165"/>
      <c r="H64" s="165"/>
      <c r="I64" s="166"/>
      <c r="J64" s="196"/>
      <c r="K64" s="187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181"/>
      <c r="X64" s="1"/>
      <c r="Y64" s="1"/>
      <c r="Z64" s="170"/>
      <c r="AA64" s="1"/>
      <c r="AB64" s="1"/>
      <c r="AC64" s="1"/>
    </row>
    <row r="65" spans="1:29" ht="21.75" customHeight="1">
      <c r="A65" s="1"/>
      <c r="B65" s="162">
        <v>60</v>
      </c>
      <c r="C65" s="90"/>
      <c r="D65" s="164"/>
      <c r="E65" s="165"/>
      <c r="F65" s="165"/>
      <c r="G65" s="165"/>
      <c r="H65" s="165"/>
      <c r="I65" s="166"/>
      <c r="J65" s="196"/>
      <c r="K65" s="187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181"/>
      <c r="X65" s="1"/>
      <c r="Y65" s="1"/>
      <c r="Z65" s="170"/>
      <c r="AA65" s="1"/>
      <c r="AB65" s="1"/>
      <c r="AC65" s="1"/>
    </row>
    <row r="66" spans="1:29" ht="21.75" customHeight="1">
      <c r="A66" s="1"/>
      <c r="B66" s="162">
        <v>61</v>
      </c>
      <c r="C66" s="90"/>
      <c r="D66" s="164"/>
      <c r="E66" s="165"/>
      <c r="F66" s="165"/>
      <c r="G66" s="165"/>
      <c r="H66" s="165"/>
      <c r="I66" s="166"/>
      <c r="J66" s="196"/>
      <c r="K66" s="187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181"/>
      <c r="X66" s="1"/>
      <c r="Y66" s="1"/>
      <c r="Z66" s="170"/>
      <c r="AA66" s="1"/>
      <c r="AB66" s="1"/>
      <c r="AC66" s="1"/>
    </row>
    <row r="67" spans="1:29" ht="21.75" customHeight="1">
      <c r="A67" s="1"/>
      <c r="B67" s="162">
        <v>62</v>
      </c>
      <c r="C67" s="90"/>
      <c r="D67" s="164"/>
      <c r="E67" s="165"/>
      <c r="F67" s="165"/>
      <c r="G67" s="165"/>
      <c r="H67" s="165"/>
      <c r="I67" s="166"/>
      <c r="J67" s="196"/>
      <c r="K67" s="187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181"/>
      <c r="X67" s="1"/>
      <c r="Y67" s="1"/>
      <c r="Z67" s="170"/>
      <c r="AA67" s="1"/>
      <c r="AB67" s="1"/>
      <c r="AC67" s="1"/>
    </row>
    <row r="68" spans="1:29" ht="21.75" customHeight="1">
      <c r="A68" s="1"/>
      <c r="B68" s="162">
        <v>63</v>
      </c>
      <c r="C68" s="90"/>
      <c r="D68" s="164"/>
      <c r="E68" s="165"/>
      <c r="F68" s="165"/>
      <c r="G68" s="165"/>
      <c r="H68" s="165"/>
      <c r="I68" s="166"/>
      <c r="J68" s="196"/>
      <c r="K68" s="187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181"/>
      <c r="X68" s="1"/>
      <c r="Y68" s="1"/>
      <c r="Z68" s="170"/>
      <c r="AA68" s="1"/>
      <c r="AB68" s="1"/>
      <c r="AC68" s="1"/>
    </row>
    <row r="69" spans="1:29" ht="21.75" customHeight="1">
      <c r="A69" s="1"/>
      <c r="B69" s="162">
        <v>64</v>
      </c>
      <c r="C69" s="90"/>
      <c r="D69" s="164"/>
      <c r="E69" s="165"/>
      <c r="F69" s="165"/>
      <c r="G69" s="165"/>
      <c r="H69" s="165"/>
      <c r="I69" s="166"/>
      <c r="J69" s="196"/>
      <c r="K69" s="187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181"/>
      <c r="X69" s="1"/>
      <c r="Y69" s="1"/>
      <c r="Z69" s="170"/>
      <c r="AA69" s="1"/>
      <c r="AB69" s="1"/>
      <c r="AC69" s="1"/>
    </row>
    <row r="70" spans="1:29" ht="21.75" customHeight="1">
      <c r="A70" s="1"/>
      <c r="B70" s="162">
        <v>65</v>
      </c>
      <c r="C70" s="90"/>
      <c r="D70" s="164"/>
      <c r="E70" s="165"/>
      <c r="F70" s="165"/>
      <c r="G70" s="165"/>
      <c r="H70" s="165"/>
      <c r="I70" s="166"/>
      <c r="J70" s="196"/>
      <c r="K70" s="187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181"/>
      <c r="X70" s="1"/>
      <c r="Y70" s="1"/>
      <c r="Z70" s="170"/>
      <c r="AA70" s="1"/>
      <c r="AB70" s="1"/>
      <c r="AC70" s="1"/>
    </row>
    <row r="71" spans="1:29" ht="21.75" customHeight="1">
      <c r="A71" s="1"/>
      <c r="B71" s="162">
        <v>66</v>
      </c>
      <c r="C71" s="90"/>
      <c r="D71" s="164"/>
      <c r="E71" s="165"/>
      <c r="F71" s="165"/>
      <c r="G71" s="165"/>
      <c r="H71" s="165"/>
      <c r="I71" s="166"/>
      <c r="J71" s="196"/>
      <c r="K71" s="187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181"/>
      <c r="X71" s="1"/>
      <c r="Y71" s="1"/>
      <c r="Z71" s="170"/>
      <c r="AA71" s="1"/>
      <c r="AB71" s="1"/>
      <c r="AC71" s="1"/>
    </row>
    <row r="72" spans="1:29" ht="21.75" customHeight="1">
      <c r="A72" s="1"/>
      <c r="B72" s="162"/>
      <c r="C72" s="90"/>
      <c r="D72" s="164"/>
      <c r="E72" s="165"/>
      <c r="F72" s="165"/>
      <c r="G72" s="165"/>
      <c r="H72" s="165"/>
      <c r="I72" s="166"/>
      <c r="J72" s="196"/>
      <c r="K72" s="187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181"/>
      <c r="X72" s="1"/>
      <c r="Y72" s="1"/>
      <c r="Z72" s="170"/>
      <c r="AA72" s="1"/>
      <c r="AB72" s="1"/>
      <c r="AC72" s="1"/>
    </row>
    <row r="73" spans="1:29" ht="21.75" customHeight="1">
      <c r="A73" s="1"/>
      <c r="B73" s="162"/>
      <c r="C73" s="90"/>
      <c r="D73" s="164"/>
      <c r="E73" s="165"/>
      <c r="F73" s="165"/>
      <c r="G73" s="165"/>
      <c r="H73" s="165"/>
      <c r="I73" s="166"/>
      <c r="J73" s="196"/>
      <c r="K73" s="187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181"/>
      <c r="X73" s="1"/>
      <c r="Y73" s="1"/>
      <c r="Z73" s="170"/>
      <c r="AA73" s="1"/>
      <c r="AB73" s="1"/>
      <c r="AC73" s="1"/>
    </row>
    <row r="74" spans="1:29" ht="21.75" customHeight="1">
      <c r="A74" s="1"/>
      <c r="B74" s="162"/>
      <c r="C74" s="90"/>
      <c r="D74" s="164"/>
      <c r="E74" s="165"/>
      <c r="F74" s="165"/>
      <c r="G74" s="165"/>
      <c r="H74" s="165"/>
      <c r="I74" s="166"/>
      <c r="J74" s="196"/>
      <c r="K74" s="187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181"/>
      <c r="X74" s="1"/>
      <c r="Y74" s="1"/>
      <c r="Z74" s="170"/>
      <c r="AA74" s="1"/>
      <c r="AB74" s="1"/>
      <c r="AC74" s="1"/>
    </row>
    <row r="75" spans="1:29" ht="21.75" customHeight="1">
      <c r="A75" s="1"/>
      <c r="B75" s="162"/>
      <c r="C75" s="90"/>
      <c r="D75" s="164"/>
      <c r="E75" s="165"/>
      <c r="F75" s="165"/>
      <c r="G75" s="165"/>
      <c r="H75" s="165"/>
      <c r="I75" s="166"/>
      <c r="J75" s="196"/>
      <c r="K75" s="187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181"/>
      <c r="X75" s="1"/>
      <c r="Y75" s="1"/>
      <c r="Z75" s="170"/>
      <c r="AA75" s="1"/>
      <c r="AB75" s="1"/>
      <c r="AC75" s="1"/>
    </row>
    <row r="76" spans="1:29" ht="21.75" customHeight="1">
      <c r="A76" s="1"/>
      <c r="B76" s="162"/>
      <c r="C76" s="90"/>
      <c r="D76" s="164"/>
      <c r="E76" s="165"/>
      <c r="F76" s="165"/>
      <c r="G76" s="165"/>
      <c r="H76" s="165"/>
      <c r="I76" s="166"/>
      <c r="J76" s="196"/>
      <c r="K76" s="187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181"/>
      <c r="X76" s="1"/>
      <c r="Y76" s="1"/>
      <c r="Z76" s="170"/>
      <c r="AA76" s="1"/>
      <c r="AB76" s="1"/>
      <c r="AC76" s="1"/>
    </row>
    <row r="77" spans="1:29" ht="21.75" customHeight="1">
      <c r="A77" s="1"/>
      <c r="B77" s="162"/>
      <c r="C77" s="90"/>
      <c r="D77" s="164"/>
      <c r="E77" s="165"/>
      <c r="F77" s="165"/>
      <c r="G77" s="165"/>
      <c r="H77" s="165"/>
      <c r="I77" s="166"/>
      <c r="J77" s="196"/>
      <c r="K77" s="187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181"/>
      <c r="X77" s="1"/>
      <c r="Y77" s="1"/>
      <c r="Z77" s="170"/>
      <c r="AA77" s="1"/>
      <c r="AB77" s="1"/>
      <c r="AC77" s="1"/>
    </row>
    <row r="78" spans="1:29" ht="21.75" customHeight="1">
      <c r="A78" s="1"/>
      <c r="B78" s="162"/>
      <c r="C78" s="90"/>
      <c r="D78" s="164"/>
      <c r="E78" s="165"/>
      <c r="F78" s="165"/>
      <c r="G78" s="165"/>
      <c r="H78" s="165"/>
      <c r="I78" s="166"/>
      <c r="J78" s="196"/>
      <c r="K78" s="187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181"/>
      <c r="X78" s="1"/>
      <c r="Y78" s="1"/>
      <c r="Z78" s="170"/>
      <c r="AA78" s="1"/>
      <c r="AB78" s="1"/>
      <c r="AC78" s="1"/>
    </row>
    <row r="79" spans="1:29" ht="21.75" customHeight="1">
      <c r="A79" s="1"/>
      <c r="B79" s="162"/>
      <c r="C79" s="90"/>
      <c r="D79" s="164"/>
      <c r="E79" s="165"/>
      <c r="F79" s="165"/>
      <c r="G79" s="165"/>
      <c r="H79" s="165"/>
      <c r="I79" s="166"/>
      <c r="J79" s="196"/>
      <c r="K79" s="187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181"/>
      <c r="X79" s="1"/>
      <c r="Y79" s="1"/>
      <c r="Z79" s="170"/>
      <c r="AA79" s="1"/>
      <c r="AB79" s="1"/>
      <c r="AC79" s="1"/>
    </row>
    <row r="80" spans="1:29" ht="21.75" customHeight="1">
      <c r="A80" s="1"/>
      <c r="B80" s="162"/>
      <c r="C80" s="90"/>
      <c r="D80" s="164"/>
      <c r="E80" s="165"/>
      <c r="F80" s="165"/>
      <c r="G80" s="165"/>
      <c r="H80" s="165"/>
      <c r="I80" s="166"/>
      <c r="J80" s="196"/>
      <c r="K80" s="187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181"/>
      <c r="X80" s="1"/>
      <c r="Y80" s="1"/>
      <c r="Z80" s="170"/>
      <c r="AA80" s="1"/>
      <c r="AB80" s="1"/>
      <c r="AC80" s="1"/>
    </row>
    <row r="81" spans="1:29" ht="21.75" customHeight="1">
      <c r="A81" s="1"/>
      <c r="B81" s="162"/>
      <c r="C81" s="90"/>
      <c r="D81" s="164"/>
      <c r="E81" s="165"/>
      <c r="F81" s="165"/>
      <c r="G81" s="165"/>
      <c r="H81" s="165"/>
      <c r="I81" s="166"/>
      <c r="J81" s="196"/>
      <c r="K81" s="187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181"/>
      <c r="X81" s="1"/>
      <c r="Y81" s="1"/>
      <c r="Z81" s="170"/>
      <c r="AA81" s="1"/>
      <c r="AB81" s="1"/>
      <c r="AC81" s="1"/>
    </row>
    <row r="82" spans="1:29" ht="21.75" customHeight="1">
      <c r="A82" s="1"/>
      <c r="B82" s="162"/>
      <c r="C82" s="90"/>
      <c r="D82" s="164"/>
      <c r="E82" s="165"/>
      <c r="F82" s="165"/>
      <c r="G82" s="165"/>
      <c r="H82" s="165"/>
      <c r="I82" s="166"/>
      <c r="J82" s="196"/>
      <c r="K82" s="187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181"/>
      <c r="X82" s="1"/>
      <c r="Y82" s="1"/>
      <c r="Z82" s="170"/>
      <c r="AA82" s="1"/>
      <c r="AB82" s="1"/>
      <c r="AC82" s="1"/>
    </row>
    <row r="83" spans="1:29" ht="21.75" customHeight="1">
      <c r="A83" s="1"/>
      <c r="B83" s="162"/>
      <c r="C83" s="90"/>
      <c r="D83" s="164"/>
      <c r="E83" s="165"/>
      <c r="F83" s="165"/>
      <c r="G83" s="165"/>
      <c r="H83" s="165"/>
      <c r="I83" s="166"/>
      <c r="J83" s="196"/>
      <c r="K83" s="187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81"/>
      <c r="X83" s="1"/>
      <c r="Y83" s="1"/>
      <c r="Z83" s="170"/>
      <c r="AA83" s="1"/>
      <c r="AB83" s="1"/>
      <c r="AC83" s="1"/>
    </row>
    <row r="84" spans="1:29" ht="21.75" customHeight="1">
      <c r="A84" s="1"/>
      <c r="B84" s="162"/>
      <c r="C84" s="90"/>
      <c r="D84" s="164"/>
      <c r="E84" s="165"/>
      <c r="F84" s="165"/>
      <c r="G84" s="165"/>
      <c r="H84" s="165"/>
      <c r="I84" s="166"/>
      <c r="J84" s="196"/>
      <c r="K84" s="187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181"/>
      <c r="X84" s="1"/>
      <c r="Y84" s="1"/>
      <c r="Z84" s="170"/>
      <c r="AA84" s="1"/>
      <c r="AB84" s="1"/>
      <c r="AC84" s="1"/>
    </row>
    <row r="85" spans="1:29" ht="21.75" customHeight="1">
      <c r="A85" s="1"/>
      <c r="B85" s="162"/>
      <c r="C85" s="90"/>
      <c r="D85" s="164"/>
      <c r="E85" s="165"/>
      <c r="F85" s="165"/>
      <c r="G85" s="165"/>
      <c r="H85" s="165"/>
      <c r="I85" s="166"/>
      <c r="J85" s="196"/>
      <c r="K85" s="187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181"/>
      <c r="X85" s="1"/>
      <c r="Y85" s="1"/>
      <c r="Z85" s="170"/>
      <c r="AA85" s="1"/>
      <c r="AB85" s="1"/>
      <c r="AC85" s="1"/>
    </row>
    <row r="86" spans="1:29" ht="21.75" customHeight="1">
      <c r="A86" s="1"/>
      <c r="B86" s="162"/>
      <c r="C86" s="90"/>
      <c r="D86" s="164"/>
      <c r="E86" s="165"/>
      <c r="F86" s="165"/>
      <c r="G86" s="165"/>
      <c r="H86" s="165"/>
      <c r="I86" s="166"/>
      <c r="J86" s="196"/>
      <c r="K86" s="187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181"/>
      <c r="X86" s="1"/>
      <c r="Y86" s="1"/>
      <c r="Z86" s="170"/>
      <c r="AA86" s="1"/>
      <c r="AB86" s="1"/>
      <c r="AC86" s="1"/>
    </row>
    <row r="87" spans="1:29" ht="21.75" customHeight="1">
      <c r="A87" s="1"/>
      <c r="B87" s="162"/>
      <c r="C87" s="90"/>
      <c r="D87" s="164"/>
      <c r="E87" s="165"/>
      <c r="F87" s="165"/>
      <c r="G87" s="165"/>
      <c r="H87" s="165"/>
      <c r="I87" s="166"/>
      <c r="J87" s="196"/>
      <c r="K87" s="187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181"/>
      <c r="X87" s="1"/>
      <c r="Y87" s="1"/>
      <c r="Z87" s="170"/>
      <c r="AA87" s="1"/>
      <c r="AB87" s="1"/>
      <c r="AC87" s="1"/>
    </row>
    <row r="88" spans="1:29" ht="21.75" customHeight="1">
      <c r="A88" s="1"/>
      <c r="B88" s="162"/>
      <c r="C88" s="90"/>
      <c r="D88" s="164"/>
      <c r="E88" s="165"/>
      <c r="F88" s="165"/>
      <c r="G88" s="165"/>
      <c r="H88" s="165"/>
      <c r="I88" s="166"/>
      <c r="J88" s="196"/>
      <c r="K88" s="187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181"/>
      <c r="X88" s="1"/>
      <c r="Y88" s="1"/>
      <c r="Z88" s="170"/>
      <c r="AA88" s="1"/>
      <c r="AB88" s="1"/>
      <c r="AC88" s="1"/>
    </row>
    <row r="89" spans="1:29" ht="21.75" customHeight="1">
      <c r="A89" s="1"/>
      <c r="B89" s="162"/>
      <c r="C89" s="90"/>
      <c r="D89" s="164"/>
      <c r="E89" s="165"/>
      <c r="F89" s="165"/>
      <c r="G89" s="165"/>
      <c r="H89" s="165"/>
      <c r="I89" s="166"/>
      <c r="J89" s="196"/>
      <c r="K89" s="187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181"/>
      <c r="X89" s="1"/>
      <c r="Y89" s="1"/>
      <c r="Z89" s="170"/>
      <c r="AA89" s="1"/>
      <c r="AB89" s="1"/>
      <c r="AC89" s="1"/>
    </row>
    <row r="90" spans="1:29" ht="21.75" customHeight="1">
      <c r="A90" s="1"/>
      <c r="B90" s="162"/>
      <c r="C90" s="90"/>
      <c r="D90" s="164"/>
      <c r="E90" s="165"/>
      <c r="F90" s="165"/>
      <c r="G90" s="165"/>
      <c r="H90" s="165"/>
      <c r="I90" s="166"/>
      <c r="J90" s="196"/>
      <c r="K90" s="187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181"/>
      <c r="X90" s="1"/>
      <c r="Y90" s="1"/>
      <c r="Z90" s="170"/>
      <c r="AA90" s="1"/>
      <c r="AB90" s="1"/>
      <c r="AC90" s="1"/>
    </row>
    <row r="91" spans="1:29" ht="21.75" customHeight="1">
      <c r="A91" s="1"/>
      <c r="B91" s="162"/>
      <c r="C91" s="90"/>
      <c r="D91" s="164"/>
      <c r="E91" s="165"/>
      <c r="F91" s="165"/>
      <c r="G91" s="165"/>
      <c r="H91" s="165"/>
      <c r="I91" s="166"/>
      <c r="J91" s="196"/>
      <c r="K91" s="187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181"/>
      <c r="X91" s="1"/>
      <c r="Y91" s="1"/>
      <c r="Z91" s="170"/>
      <c r="AA91" s="1"/>
      <c r="AB91" s="1"/>
      <c r="AC91" s="1"/>
    </row>
    <row r="92" spans="1:29" ht="21.75" customHeight="1">
      <c r="A92" s="1"/>
      <c r="B92" s="162"/>
      <c r="C92" s="90"/>
      <c r="D92" s="164"/>
      <c r="E92" s="165"/>
      <c r="F92" s="165"/>
      <c r="G92" s="165"/>
      <c r="H92" s="165"/>
      <c r="I92" s="166"/>
      <c r="J92" s="196"/>
      <c r="K92" s="187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181"/>
      <c r="X92" s="1"/>
      <c r="Y92" s="1"/>
      <c r="Z92" s="170"/>
      <c r="AA92" s="1"/>
      <c r="AB92" s="1"/>
      <c r="AC92" s="1"/>
    </row>
    <row r="93" spans="1:29" ht="21.75" customHeight="1">
      <c r="A93" s="1"/>
      <c r="B93" s="162"/>
      <c r="C93" s="90"/>
      <c r="D93" s="164"/>
      <c r="E93" s="165"/>
      <c r="F93" s="165"/>
      <c r="G93" s="165"/>
      <c r="H93" s="165"/>
      <c r="I93" s="166"/>
      <c r="J93" s="196"/>
      <c r="K93" s="187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181"/>
      <c r="X93" s="1"/>
      <c r="Y93" s="1"/>
      <c r="Z93" s="170"/>
      <c r="AA93" s="1"/>
      <c r="AB93" s="1"/>
      <c r="AC93" s="1"/>
    </row>
    <row r="94" spans="1:29" ht="21.75" customHeight="1">
      <c r="A94" s="1"/>
      <c r="B94" s="162"/>
      <c r="C94" s="90"/>
      <c r="D94" s="164"/>
      <c r="E94" s="165"/>
      <c r="F94" s="165"/>
      <c r="G94" s="165"/>
      <c r="H94" s="165"/>
      <c r="I94" s="166"/>
      <c r="J94" s="196"/>
      <c r="K94" s="187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181"/>
      <c r="X94" s="1"/>
      <c r="Y94" s="1"/>
      <c r="Z94" s="170"/>
      <c r="AA94" s="1"/>
      <c r="AB94" s="1"/>
      <c r="AC94" s="1"/>
    </row>
    <row r="95" spans="1:29" ht="21.75" customHeight="1">
      <c r="A95" s="1"/>
      <c r="B95" s="162"/>
      <c r="C95" s="90"/>
      <c r="D95" s="164"/>
      <c r="E95" s="165"/>
      <c r="F95" s="165"/>
      <c r="G95" s="165"/>
      <c r="H95" s="165"/>
      <c r="I95" s="166"/>
      <c r="J95" s="196"/>
      <c r="K95" s="187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181"/>
      <c r="X95" s="1"/>
      <c r="Y95" s="1"/>
      <c r="Z95" s="170"/>
      <c r="AA95" s="1"/>
      <c r="AB95" s="1"/>
      <c r="AC95" s="1"/>
    </row>
    <row r="96" spans="1:29" ht="21.75" customHeight="1">
      <c r="A96" s="1"/>
      <c r="B96" s="162"/>
      <c r="C96" s="90"/>
      <c r="D96" s="164"/>
      <c r="E96" s="165"/>
      <c r="F96" s="165"/>
      <c r="G96" s="165"/>
      <c r="H96" s="165"/>
      <c r="I96" s="166"/>
      <c r="J96" s="196"/>
      <c r="K96" s="187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181"/>
      <c r="X96" s="1"/>
      <c r="Y96" s="1"/>
      <c r="Z96" s="170"/>
      <c r="AA96" s="1"/>
      <c r="AB96" s="1"/>
      <c r="AC96" s="1"/>
    </row>
    <row r="97" spans="1:29" ht="21.75" customHeight="1">
      <c r="A97" s="1"/>
      <c r="B97" s="162"/>
      <c r="C97" s="90"/>
      <c r="D97" s="164"/>
      <c r="E97" s="165"/>
      <c r="F97" s="165"/>
      <c r="G97" s="165"/>
      <c r="H97" s="165"/>
      <c r="I97" s="166"/>
      <c r="J97" s="196"/>
      <c r="K97" s="187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181"/>
      <c r="X97" s="1"/>
      <c r="Y97" s="1"/>
      <c r="Z97" s="170"/>
      <c r="AA97" s="1"/>
      <c r="AB97" s="1"/>
      <c r="AC97" s="1"/>
    </row>
    <row r="98" spans="1:29" ht="21.75" customHeight="1">
      <c r="A98" s="1"/>
      <c r="B98" s="162"/>
      <c r="C98" s="90"/>
      <c r="D98" s="164"/>
      <c r="E98" s="165"/>
      <c r="F98" s="165"/>
      <c r="G98" s="165"/>
      <c r="H98" s="165"/>
      <c r="I98" s="166"/>
      <c r="J98" s="196"/>
      <c r="K98" s="187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181"/>
      <c r="X98" s="1"/>
      <c r="Y98" s="1"/>
      <c r="Z98" s="170"/>
      <c r="AA98" s="1"/>
      <c r="AB98" s="1"/>
      <c r="AC98" s="1"/>
    </row>
    <row r="99" spans="1:29" ht="21.75" customHeight="1">
      <c r="A99" s="1"/>
      <c r="B99" s="162"/>
      <c r="C99" s="90"/>
      <c r="D99" s="164"/>
      <c r="E99" s="165"/>
      <c r="F99" s="165"/>
      <c r="G99" s="165"/>
      <c r="H99" s="165"/>
      <c r="I99" s="166"/>
      <c r="J99" s="196"/>
      <c r="K99" s="187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181"/>
      <c r="X99" s="1"/>
      <c r="Y99" s="1"/>
      <c r="Z99" s="170"/>
      <c r="AA99" s="1"/>
      <c r="AB99" s="1"/>
      <c r="AC99" s="1"/>
    </row>
    <row r="100" spans="1:29" ht="24.75" customHeight="1">
      <c r="A100" s="1"/>
      <c r="B100" s="162"/>
      <c r="C100" s="197"/>
      <c r="D100" s="198"/>
      <c r="E100" s="199"/>
      <c r="F100" s="199"/>
      <c r="G100" s="199"/>
      <c r="H100" s="199"/>
      <c r="I100" s="195"/>
      <c r="J100" s="196"/>
      <c r="K100" s="187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181"/>
      <c r="X100" s="112"/>
      <c r="Y100" s="112"/>
      <c r="Z100" s="170" t="str">
        <f>IF((I100)=0,"",(B61+1))</f>
        <v/>
      </c>
      <c r="AA100" s="112"/>
      <c r="AB100" s="112"/>
      <c r="AC100" s="112"/>
    </row>
    <row r="101" spans="1:29" ht="24.75" customHeight="1">
      <c r="A101" s="1"/>
      <c r="B101" s="162"/>
      <c r="C101" s="197"/>
      <c r="D101" s="198"/>
      <c r="E101" s="199"/>
      <c r="F101" s="199"/>
      <c r="G101" s="199"/>
      <c r="H101" s="199"/>
      <c r="I101" s="195"/>
      <c r="J101" s="196"/>
      <c r="K101" s="187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181"/>
      <c r="X101" s="112"/>
      <c r="Y101" s="112"/>
      <c r="Z101" s="170"/>
      <c r="AA101" s="112"/>
      <c r="AB101" s="112"/>
      <c r="AC101" s="112"/>
    </row>
    <row r="102" spans="1:29" ht="24.75" customHeight="1">
      <c r="A102" s="1"/>
      <c r="B102" s="162"/>
      <c r="C102" s="200"/>
      <c r="D102" s="192"/>
      <c r="E102" s="190"/>
      <c r="F102" s="190"/>
      <c r="G102" s="190"/>
      <c r="H102" s="190"/>
      <c r="I102" s="166"/>
      <c r="J102" s="167"/>
      <c r="K102" s="187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189"/>
      <c r="X102" s="112"/>
      <c r="Y102" s="112"/>
      <c r="Z102" s="170" t="str">
        <f t="shared" ref="Z102:Z103" si="6">IF((I102)=0,"",(#REF!+1))</f>
        <v/>
      </c>
      <c r="AA102" s="112"/>
      <c r="AB102" s="112"/>
      <c r="AC102" s="112"/>
    </row>
    <row r="103" spans="1:29" ht="24.75" hidden="1" customHeight="1">
      <c r="A103" s="1"/>
      <c r="B103" s="162"/>
      <c r="C103" s="188"/>
      <c r="D103" s="193"/>
      <c r="E103" s="194"/>
      <c r="F103" s="194"/>
      <c r="G103" s="194"/>
      <c r="H103" s="194"/>
      <c r="I103" s="195"/>
      <c r="J103" s="196"/>
      <c r="K103" s="187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181"/>
      <c r="X103" s="112"/>
      <c r="Y103" s="112"/>
      <c r="Z103" s="170" t="str">
        <f t="shared" si="6"/>
        <v/>
      </c>
      <c r="AA103" s="112"/>
      <c r="AB103" s="112"/>
      <c r="AC103" s="112"/>
    </row>
    <row r="104" spans="1:29" ht="24.75" hidden="1" customHeight="1">
      <c r="A104" s="1"/>
      <c r="B104" s="162"/>
      <c r="C104" s="188"/>
      <c r="D104" s="193"/>
      <c r="E104" s="194"/>
      <c r="F104" s="194"/>
      <c r="G104" s="194"/>
      <c r="H104" s="194"/>
      <c r="I104" s="195"/>
      <c r="J104" s="196"/>
      <c r="K104" s="187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181"/>
      <c r="X104" s="112"/>
      <c r="Y104" s="112"/>
      <c r="Z104" s="170" t="str">
        <f t="shared" ref="Z104:Z108" si="7">IF((I104)=0,"",(B103+1))</f>
        <v/>
      </c>
      <c r="AA104" s="112"/>
      <c r="AB104" s="112"/>
      <c r="AC104" s="112"/>
    </row>
    <row r="105" spans="1:29" ht="24.75" hidden="1" customHeight="1">
      <c r="A105" s="1"/>
      <c r="B105" s="162"/>
      <c r="C105" s="188"/>
      <c r="D105" s="193"/>
      <c r="E105" s="194"/>
      <c r="F105" s="194"/>
      <c r="G105" s="194"/>
      <c r="H105" s="194"/>
      <c r="I105" s="195"/>
      <c r="J105" s="196"/>
      <c r="K105" s="187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181"/>
      <c r="X105" s="112"/>
      <c r="Y105" s="112"/>
      <c r="Z105" s="170" t="str">
        <f t="shared" si="7"/>
        <v/>
      </c>
      <c r="AA105" s="112"/>
      <c r="AB105" s="112"/>
      <c r="AC105" s="112"/>
    </row>
    <row r="106" spans="1:29" ht="24.75" hidden="1" customHeight="1">
      <c r="A106" s="1"/>
      <c r="B106" s="162"/>
      <c r="C106" s="188"/>
      <c r="D106" s="193"/>
      <c r="E106" s="194"/>
      <c r="F106" s="194"/>
      <c r="G106" s="194"/>
      <c r="H106" s="194"/>
      <c r="I106" s="195"/>
      <c r="J106" s="196"/>
      <c r="K106" s="187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181"/>
      <c r="X106" s="112"/>
      <c r="Y106" s="112"/>
      <c r="Z106" s="170" t="str">
        <f t="shared" si="7"/>
        <v/>
      </c>
      <c r="AA106" s="112"/>
      <c r="AB106" s="112"/>
      <c r="AC106" s="112"/>
    </row>
    <row r="107" spans="1:29" ht="24.75" hidden="1" customHeight="1">
      <c r="A107" s="1"/>
      <c r="B107" s="162"/>
      <c r="C107" s="188"/>
      <c r="D107" s="193"/>
      <c r="E107" s="194"/>
      <c r="F107" s="194"/>
      <c r="G107" s="194"/>
      <c r="H107" s="194"/>
      <c r="I107" s="195"/>
      <c r="J107" s="196"/>
      <c r="K107" s="187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181"/>
      <c r="X107" s="112"/>
      <c r="Y107" s="112"/>
      <c r="Z107" s="170" t="str">
        <f t="shared" si="7"/>
        <v/>
      </c>
      <c r="AA107" s="112"/>
      <c r="AB107" s="112"/>
      <c r="AC107" s="112"/>
    </row>
    <row r="108" spans="1:29" ht="24.75" customHeight="1">
      <c r="A108" s="1"/>
      <c r="B108" s="162"/>
      <c r="C108" s="76"/>
      <c r="D108" s="193"/>
      <c r="E108" s="194"/>
      <c r="F108" s="194"/>
      <c r="G108" s="194"/>
      <c r="H108" s="194"/>
      <c r="I108" s="195"/>
      <c r="J108" s="196"/>
      <c r="K108" s="187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181"/>
      <c r="X108" s="112"/>
      <c r="Y108" s="112"/>
      <c r="Z108" s="170" t="str">
        <f t="shared" si="7"/>
        <v/>
      </c>
      <c r="AA108" s="112"/>
      <c r="AB108" s="112"/>
      <c r="AC108" s="112"/>
    </row>
    <row r="109" spans="1:29" ht="26.25" hidden="1" customHeight="1">
      <c r="A109" s="1"/>
      <c r="B109" s="162"/>
      <c r="C109" s="201"/>
      <c r="D109" s="193"/>
      <c r="E109" s="194"/>
      <c r="F109" s="194"/>
      <c r="G109" s="194"/>
      <c r="H109" s="194"/>
      <c r="I109" s="195"/>
      <c r="J109" s="167"/>
      <c r="K109" s="187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181"/>
      <c r="X109" s="112"/>
      <c r="Y109" s="112"/>
      <c r="Z109" s="170" t="str">
        <f>IF((I109)=0,"",(#REF!+1))</f>
        <v/>
      </c>
      <c r="AA109" s="112"/>
      <c r="AB109" s="112"/>
      <c r="AC109" s="112"/>
    </row>
    <row r="110" spans="1:29" ht="11.25" hidden="1" customHeight="1">
      <c r="A110" s="1"/>
      <c r="B110" s="162"/>
      <c r="C110" s="188"/>
      <c r="D110" s="164"/>
      <c r="E110" s="165"/>
      <c r="F110" s="165"/>
      <c r="G110" s="165"/>
      <c r="H110" s="165"/>
      <c r="I110" s="166"/>
      <c r="J110" s="167"/>
      <c r="K110" s="187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181"/>
      <c r="X110" s="112"/>
      <c r="Y110" s="112"/>
      <c r="Z110" s="170" t="str">
        <f t="shared" ref="Z110:Z135" si="8">IF((I110)=0,"",(B109+1))</f>
        <v/>
      </c>
      <c r="AA110" s="112"/>
      <c r="AB110" s="112"/>
      <c r="AC110" s="112"/>
    </row>
    <row r="111" spans="1:29" ht="24.75" hidden="1" customHeight="1">
      <c r="A111" s="1"/>
      <c r="B111" s="162"/>
      <c r="C111" s="188"/>
      <c r="D111" s="164"/>
      <c r="E111" s="165"/>
      <c r="F111" s="165"/>
      <c r="G111" s="165"/>
      <c r="H111" s="165"/>
      <c r="I111" s="166"/>
      <c r="J111" s="167"/>
      <c r="K111" s="187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181"/>
      <c r="X111" s="112"/>
      <c r="Y111" s="112"/>
      <c r="Z111" s="170" t="str">
        <f t="shared" si="8"/>
        <v/>
      </c>
      <c r="AA111" s="112"/>
      <c r="AB111" s="112"/>
      <c r="AC111" s="112"/>
    </row>
    <row r="112" spans="1:29" ht="24.75" hidden="1" customHeight="1">
      <c r="A112" s="1"/>
      <c r="B112" s="162"/>
      <c r="C112" s="188"/>
      <c r="D112" s="164"/>
      <c r="E112" s="165"/>
      <c r="F112" s="165"/>
      <c r="G112" s="165"/>
      <c r="H112" s="165"/>
      <c r="I112" s="166"/>
      <c r="J112" s="167"/>
      <c r="K112" s="187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181"/>
      <c r="X112" s="112"/>
      <c r="Y112" s="112"/>
      <c r="Z112" s="170" t="str">
        <f t="shared" si="8"/>
        <v/>
      </c>
      <c r="AA112" s="112"/>
      <c r="AB112" s="112"/>
      <c r="AC112" s="112"/>
    </row>
    <row r="113" spans="1:29" ht="24.75" hidden="1" customHeight="1">
      <c r="A113" s="1"/>
      <c r="B113" s="162"/>
      <c r="C113" s="188"/>
      <c r="D113" s="164"/>
      <c r="E113" s="165"/>
      <c r="F113" s="165"/>
      <c r="G113" s="165"/>
      <c r="H113" s="165"/>
      <c r="I113" s="166"/>
      <c r="J113" s="167"/>
      <c r="K113" s="187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181"/>
      <c r="X113" s="112"/>
      <c r="Y113" s="112"/>
      <c r="Z113" s="170" t="str">
        <f t="shared" si="8"/>
        <v/>
      </c>
      <c r="AA113" s="112"/>
      <c r="AB113" s="112"/>
      <c r="AC113" s="112"/>
    </row>
    <row r="114" spans="1:29" ht="24.75" hidden="1" customHeight="1">
      <c r="A114" s="1"/>
      <c r="B114" s="162"/>
      <c r="C114" s="188"/>
      <c r="D114" s="164"/>
      <c r="E114" s="165"/>
      <c r="F114" s="165"/>
      <c r="G114" s="165"/>
      <c r="H114" s="165"/>
      <c r="I114" s="166"/>
      <c r="J114" s="167"/>
      <c r="K114" s="187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181"/>
      <c r="X114" s="112"/>
      <c r="Y114" s="112"/>
      <c r="Z114" s="170" t="str">
        <f t="shared" si="8"/>
        <v/>
      </c>
      <c r="AA114" s="112"/>
      <c r="AB114" s="112"/>
      <c r="AC114" s="112"/>
    </row>
    <row r="115" spans="1:29" ht="24.75" hidden="1" customHeight="1">
      <c r="A115" s="1"/>
      <c r="B115" s="162"/>
      <c r="C115" s="188"/>
      <c r="D115" s="164"/>
      <c r="E115" s="165"/>
      <c r="F115" s="165"/>
      <c r="G115" s="165"/>
      <c r="H115" s="165"/>
      <c r="I115" s="166"/>
      <c r="J115" s="167"/>
      <c r="K115" s="187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189"/>
      <c r="X115" s="112"/>
      <c r="Y115" s="112"/>
      <c r="Z115" s="170" t="str">
        <f t="shared" si="8"/>
        <v/>
      </c>
      <c r="AA115" s="112"/>
      <c r="AB115" s="112"/>
      <c r="AC115" s="112"/>
    </row>
    <row r="116" spans="1:29" ht="24.75" hidden="1" customHeight="1">
      <c r="A116" s="1"/>
      <c r="B116" s="162"/>
      <c r="C116" s="188"/>
      <c r="D116" s="164"/>
      <c r="E116" s="165"/>
      <c r="F116" s="165"/>
      <c r="G116" s="165"/>
      <c r="H116" s="165"/>
      <c r="I116" s="166"/>
      <c r="J116" s="167"/>
      <c r="K116" s="187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189"/>
      <c r="X116" s="112"/>
      <c r="Y116" s="112"/>
      <c r="Z116" s="170" t="str">
        <f t="shared" si="8"/>
        <v/>
      </c>
      <c r="AA116" s="112"/>
      <c r="AB116" s="112"/>
      <c r="AC116" s="112"/>
    </row>
    <row r="117" spans="1:29" ht="24.75" hidden="1" customHeight="1">
      <c r="A117" s="1"/>
      <c r="B117" s="162"/>
      <c r="C117" s="188"/>
      <c r="D117" s="164"/>
      <c r="E117" s="165"/>
      <c r="F117" s="165"/>
      <c r="G117" s="165"/>
      <c r="H117" s="165"/>
      <c r="I117" s="166"/>
      <c r="J117" s="167"/>
      <c r="K117" s="187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189"/>
      <c r="X117" s="112"/>
      <c r="Y117" s="112"/>
      <c r="Z117" s="170" t="str">
        <f t="shared" si="8"/>
        <v/>
      </c>
      <c r="AA117" s="112"/>
      <c r="AB117" s="112"/>
      <c r="AC117" s="112"/>
    </row>
    <row r="118" spans="1:29" ht="24.75" hidden="1" customHeight="1">
      <c r="A118" s="1"/>
      <c r="B118" s="162"/>
      <c r="C118" s="188"/>
      <c r="D118" s="164"/>
      <c r="E118" s="165"/>
      <c r="F118" s="165"/>
      <c r="G118" s="165"/>
      <c r="H118" s="165"/>
      <c r="I118" s="166"/>
      <c r="J118" s="167"/>
      <c r="K118" s="187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189"/>
      <c r="X118" s="112"/>
      <c r="Y118" s="112"/>
      <c r="Z118" s="170" t="str">
        <f t="shared" si="8"/>
        <v/>
      </c>
      <c r="AA118" s="112"/>
      <c r="AB118" s="112"/>
      <c r="AC118" s="112"/>
    </row>
    <row r="119" spans="1:29" ht="24.75" hidden="1" customHeight="1">
      <c r="A119" s="1"/>
      <c r="B119" s="162"/>
      <c r="C119" s="188"/>
      <c r="D119" s="164"/>
      <c r="E119" s="165"/>
      <c r="F119" s="165"/>
      <c r="G119" s="165"/>
      <c r="H119" s="165"/>
      <c r="I119" s="166"/>
      <c r="J119" s="167"/>
      <c r="K119" s="187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189"/>
      <c r="X119" s="112"/>
      <c r="Y119" s="112"/>
      <c r="Z119" s="170" t="str">
        <f t="shared" si="8"/>
        <v/>
      </c>
      <c r="AA119" s="112"/>
      <c r="AB119" s="112"/>
      <c r="AC119" s="112"/>
    </row>
    <row r="120" spans="1:29" ht="24.75" hidden="1" customHeight="1">
      <c r="A120" s="1"/>
      <c r="B120" s="162"/>
      <c r="C120" s="188"/>
      <c r="D120" s="164"/>
      <c r="E120" s="165"/>
      <c r="F120" s="165"/>
      <c r="G120" s="165"/>
      <c r="H120" s="165"/>
      <c r="I120" s="166"/>
      <c r="J120" s="167"/>
      <c r="K120" s="187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189"/>
      <c r="X120" s="112"/>
      <c r="Y120" s="112"/>
      <c r="Z120" s="170" t="str">
        <f t="shared" si="8"/>
        <v/>
      </c>
      <c r="AA120" s="112"/>
      <c r="AB120" s="112"/>
      <c r="AC120" s="112"/>
    </row>
    <row r="121" spans="1:29" ht="24.75" hidden="1" customHeight="1">
      <c r="A121" s="1"/>
      <c r="B121" s="162"/>
      <c r="C121" s="188"/>
      <c r="D121" s="164"/>
      <c r="E121" s="165"/>
      <c r="F121" s="165"/>
      <c r="G121" s="165"/>
      <c r="H121" s="165"/>
      <c r="I121" s="166"/>
      <c r="J121" s="167"/>
      <c r="K121" s="187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189"/>
      <c r="X121" s="112"/>
      <c r="Y121" s="112"/>
      <c r="Z121" s="170" t="str">
        <f t="shared" si="8"/>
        <v/>
      </c>
      <c r="AA121" s="112"/>
      <c r="AB121" s="112"/>
      <c r="AC121" s="112"/>
    </row>
    <row r="122" spans="1:29" ht="24.75" hidden="1" customHeight="1">
      <c r="A122" s="1"/>
      <c r="B122" s="162"/>
      <c r="C122" s="188"/>
      <c r="D122" s="164"/>
      <c r="E122" s="165"/>
      <c r="F122" s="165"/>
      <c r="G122" s="165"/>
      <c r="H122" s="165"/>
      <c r="I122" s="166"/>
      <c r="J122" s="167"/>
      <c r="K122" s="187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189"/>
      <c r="X122" s="112"/>
      <c r="Y122" s="112"/>
      <c r="Z122" s="170" t="str">
        <f t="shared" si="8"/>
        <v/>
      </c>
      <c r="AA122" s="112"/>
      <c r="AB122" s="112"/>
      <c r="AC122" s="112"/>
    </row>
    <row r="123" spans="1:29" ht="24.75" hidden="1" customHeight="1">
      <c r="A123" s="1"/>
      <c r="B123" s="162"/>
      <c r="C123" s="188"/>
      <c r="D123" s="164"/>
      <c r="E123" s="165"/>
      <c r="F123" s="165"/>
      <c r="G123" s="165"/>
      <c r="H123" s="165"/>
      <c r="I123" s="166"/>
      <c r="J123" s="167"/>
      <c r="K123" s="187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89"/>
      <c r="X123" s="112"/>
      <c r="Y123" s="112"/>
      <c r="Z123" s="170" t="str">
        <f t="shared" si="8"/>
        <v/>
      </c>
      <c r="AA123" s="112"/>
      <c r="AB123" s="112"/>
      <c r="AC123" s="112"/>
    </row>
    <row r="124" spans="1:29" ht="24.75" hidden="1" customHeight="1">
      <c r="A124" s="1"/>
      <c r="B124" s="162"/>
      <c r="C124" s="188"/>
      <c r="D124" s="164"/>
      <c r="E124" s="165"/>
      <c r="F124" s="165"/>
      <c r="G124" s="165"/>
      <c r="H124" s="165"/>
      <c r="I124" s="166"/>
      <c r="J124" s="167"/>
      <c r="K124" s="187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89"/>
      <c r="X124" s="112"/>
      <c r="Y124" s="112"/>
      <c r="Z124" s="170" t="str">
        <f t="shared" si="8"/>
        <v/>
      </c>
      <c r="AA124" s="112"/>
      <c r="AB124" s="112"/>
      <c r="AC124" s="112"/>
    </row>
    <row r="125" spans="1:29" ht="24.75" hidden="1" customHeight="1">
      <c r="A125" s="1"/>
      <c r="B125" s="162"/>
      <c r="C125" s="188"/>
      <c r="D125" s="164"/>
      <c r="E125" s="165"/>
      <c r="F125" s="165"/>
      <c r="G125" s="165"/>
      <c r="H125" s="165"/>
      <c r="I125" s="166"/>
      <c r="J125" s="167"/>
      <c r="K125" s="187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89"/>
      <c r="X125" s="112"/>
      <c r="Y125" s="112"/>
      <c r="Z125" s="170" t="str">
        <f t="shared" si="8"/>
        <v/>
      </c>
      <c r="AA125" s="112"/>
      <c r="AB125" s="112"/>
      <c r="AC125" s="112"/>
    </row>
    <row r="126" spans="1:29" ht="24.75" hidden="1" customHeight="1">
      <c r="A126" s="1"/>
      <c r="B126" s="162"/>
      <c r="C126" s="188"/>
      <c r="D126" s="164"/>
      <c r="E126" s="165"/>
      <c r="F126" s="165"/>
      <c r="G126" s="165"/>
      <c r="H126" s="165"/>
      <c r="I126" s="166"/>
      <c r="J126" s="167"/>
      <c r="K126" s="187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89"/>
      <c r="X126" s="112"/>
      <c r="Y126" s="112"/>
      <c r="Z126" s="170" t="str">
        <f t="shared" si="8"/>
        <v/>
      </c>
      <c r="AA126" s="112"/>
      <c r="AB126" s="112"/>
      <c r="AC126" s="112"/>
    </row>
    <row r="127" spans="1:29" ht="24.75" hidden="1" customHeight="1">
      <c r="A127" s="1"/>
      <c r="B127" s="162"/>
      <c r="C127" s="188"/>
      <c r="D127" s="164"/>
      <c r="E127" s="165"/>
      <c r="F127" s="165"/>
      <c r="G127" s="165"/>
      <c r="H127" s="165"/>
      <c r="I127" s="166"/>
      <c r="J127" s="167"/>
      <c r="K127" s="187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189"/>
      <c r="X127" s="112"/>
      <c r="Y127" s="112"/>
      <c r="Z127" s="170" t="str">
        <f t="shared" si="8"/>
        <v/>
      </c>
      <c r="AA127" s="112"/>
      <c r="AB127" s="112"/>
      <c r="AC127" s="112"/>
    </row>
    <row r="128" spans="1:29" ht="24.75" hidden="1" customHeight="1">
      <c r="A128" s="1"/>
      <c r="B128" s="162"/>
      <c r="C128" s="188"/>
      <c r="D128" s="164"/>
      <c r="E128" s="165"/>
      <c r="F128" s="165"/>
      <c r="G128" s="165"/>
      <c r="H128" s="165"/>
      <c r="I128" s="166"/>
      <c r="J128" s="167"/>
      <c r="K128" s="187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189"/>
      <c r="X128" s="112"/>
      <c r="Y128" s="112"/>
      <c r="Z128" s="170" t="str">
        <f t="shared" si="8"/>
        <v/>
      </c>
      <c r="AA128" s="112"/>
      <c r="AB128" s="112"/>
      <c r="AC128" s="112"/>
    </row>
    <row r="129" spans="1:29" ht="24.75" hidden="1" customHeight="1">
      <c r="A129" s="1"/>
      <c r="B129" s="162"/>
      <c r="C129" s="188"/>
      <c r="D129" s="164"/>
      <c r="E129" s="165"/>
      <c r="F129" s="165"/>
      <c r="G129" s="165"/>
      <c r="H129" s="165"/>
      <c r="I129" s="166"/>
      <c r="J129" s="167"/>
      <c r="K129" s="187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189"/>
      <c r="X129" s="112"/>
      <c r="Y129" s="112"/>
      <c r="Z129" s="170" t="str">
        <f t="shared" si="8"/>
        <v/>
      </c>
      <c r="AA129" s="112"/>
      <c r="AB129" s="112"/>
      <c r="AC129" s="112"/>
    </row>
    <row r="130" spans="1:29" ht="24.75" hidden="1" customHeight="1">
      <c r="A130" s="1"/>
      <c r="B130" s="162"/>
      <c r="C130" s="188"/>
      <c r="D130" s="164"/>
      <c r="E130" s="165"/>
      <c r="F130" s="165"/>
      <c r="G130" s="165"/>
      <c r="H130" s="165"/>
      <c r="I130" s="166"/>
      <c r="J130" s="167"/>
      <c r="K130" s="187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189"/>
      <c r="X130" s="112"/>
      <c r="Y130" s="112"/>
      <c r="Z130" s="170" t="str">
        <f t="shared" si="8"/>
        <v/>
      </c>
      <c r="AA130" s="112"/>
      <c r="AB130" s="112"/>
      <c r="AC130" s="112"/>
    </row>
    <row r="131" spans="1:29" ht="24.75" hidden="1" customHeight="1">
      <c r="A131" s="1"/>
      <c r="B131" s="162"/>
      <c r="C131" s="188"/>
      <c r="D131" s="164"/>
      <c r="E131" s="165"/>
      <c r="F131" s="165"/>
      <c r="G131" s="165"/>
      <c r="H131" s="165"/>
      <c r="I131" s="166"/>
      <c r="J131" s="167"/>
      <c r="K131" s="187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189"/>
      <c r="X131" s="112"/>
      <c r="Y131" s="112"/>
      <c r="Z131" s="170" t="str">
        <f t="shared" si="8"/>
        <v/>
      </c>
      <c r="AA131" s="112"/>
      <c r="AB131" s="112"/>
      <c r="AC131" s="112"/>
    </row>
    <row r="132" spans="1:29" ht="24.75" customHeight="1">
      <c r="A132" s="1"/>
      <c r="B132" s="162"/>
      <c r="C132" s="76"/>
      <c r="D132" s="192"/>
      <c r="E132" s="190"/>
      <c r="F132" s="190"/>
      <c r="G132" s="190"/>
      <c r="H132" s="190"/>
      <c r="I132" s="202"/>
      <c r="J132" s="191"/>
      <c r="K132" s="187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189"/>
      <c r="X132" s="112"/>
      <c r="Y132" s="112"/>
      <c r="Z132" s="170" t="str">
        <f t="shared" si="8"/>
        <v/>
      </c>
      <c r="AA132" s="112"/>
      <c r="AB132" s="112"/>
      <c r="AC132" s="112"/>
    </row>
    <row r="133" spans="1:29" ht="24.75" customHeight="1">
      <c r="A133" s="1"/>
      <c r="B133" s="162"/>
      <c r="C133" s="200"/>
      <c r="D133" s="192"/>
      <c r="E133" s="190"/>
      <c r="F133" s="190"/>
      <c r="G133" s="190"/>
      <c r="H133" s="190"/>
      <c r="I133" s="202"/>
      <c r="J133" s="191"/>
      <c r="K133" s="187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189"/>
      <c r="X133" s="112"/>
      <c r="Y133" s="112"/>
      <c r="Z133" s="170" t="str">
        <f t="shared" si="8"/>
        <v/>
      </c>
      <c r="AA133" s="112"/>
      <c r="AB133" s="112"/>
      <c r="AC133" s="112"/>
    </row>
    <row r="134" spans="1:29" ht="24.75" customHeight="1">
      <c r="A134" s="1"/>
      <c r="B134" s="162"/>
      <c r="C134" s="200"/>
      <c r="D134" s="192"/>
      <c r="E134" s="190"/>
      <c r="F134" s="190"/>
      <c r="G134" s="190"/>
      <c r="H134" s="190"/>
      <c r="I134" s="202"/>
      <c r="J134" s="191"/>
      <c r="K134" s="187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189"/>
      <c r="X134" s="112"/>
      <c r="Y134" s="112"/>
      <c r="Z134" s="170" t="str">
        <f t="shared" si="8"/>
        <v/>
      </c>
      <c r="AA134" s="112"/>
      <c r="AB134" s="112"/>
      <c r="AC134" s="112"/>
    </row>
    <row r="135" spans="1:29" ht="24.75" customHeight="1">
      <c r="A135" s="1"/>
      <c r="B135" s="162"/>
      <c r="C135" s="200"/>
      <c r="D135" s="192"/>
      <c r="E135" s="190"/>
      <c r="F135" s="190"/>
      <c r="G135" s="190"/>
      <c r="H135" s="190"/>
      <c r="I135" s="202"/>
      <c r="J135" s="191"/>
      <c r="K135" s="187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189"/>
      <c r="X135" s="112"/>
      <c r="Y135" s="112"/>
      <c r="Z135" s="170" t="str">
        <f t="shared" si="8"/>
        <v/>
      </c>
      <c r="AA135" s="112"/>
      <c r="AB135" s="112"/>
      <c r="AC135" s="112"/>
    </row>
    <row r="136" spans="1:29" ht="15.75" customHeight="1">
      <c r="D136" s="203"/>
    </row>
    <row r="137" spans="1:29" ht="15.75" customHeight="1">
      <c r="D137" s="203"/>
    </row>
    <row r="138" spans="1:29" ht="15.75" customHeight="1">
      <c r="D138" s="203"/>
    </row>
    <row r="139" spans="1:29" ht="15.75" customHeight="1">
      <c r="D139" s="203"/>
    </row>
    <row r="140" spans="1:29" ht="15.75" customHeight="1">
      <c r="D140" s="203"/>
    </row>
    <row r="141" spans="1:29" ht="15.75" customHeight="1">
      <c r="D141" s="203"/>
    </row>
    <row r="142" spans="1:29" ht="15.75" customHeight="1">
      <c r="D142" s="203"/>
    </row>
    <row r="143" spans="1:29" ht="15.75" customHeight="1">
      <c r="D143" s="203"/>
    </row>
    <row r="144" spans="1:29" ht="15.75" customHeight="1">
      <c r="D144" s="203"/>
    </row>
    <row r="145" spans="4:4" ht="15.75" customHeight="1">
      <c r="D145" s="203"/>
    </row>
    <row r="146" spans="4:4" ht="15.75" customHeight="1">
      <c r="D146" s="203"/>
    </row>
    <row r="147" spans="4:4" ht="15.75" customHeight="1">
      <c r="D147" s="203"/>
    </row>
    <row r="148" spans="4:4" ht="15.75" customHeight="1">
      <c r="D148" s="203"/>
    </row>
    <row r="149" spans="4:4" ht="15.75" customHeight="1">
      <c r="D149" s="203"/>
    </row>
    <row r="150" spans="4:4" ht="15.75" customHeight="1">
      <c r="D150" s="203"/>
    </row>
    <row r="151" spans="4:4" ht="15.75" customHeight="1">
      <c r="D151" s="203"/>
    </row>
    <row r="152" spans="4:4" ht="15.75" customHeight="1">
      <c r="D152" s="203"/>
    </row>
    <row r="153" spans="4:4" ht="15.75" customHeight="1">
      <c r="D153" s="203"/>
    </row>
    <row r="154" spans="4:4" ht="15.75" customHeight="1">
      <c r="D154" s="203"/>
    </row>
    <row r="155" spans="4:4" ht="15.75" customHeight="1">
      <c r="D155" s="203"/>
    </row>
    <row r="156" spans="4:4" ht="15.75" customHeight="1">
      <c r="D156" s="203"/>
    </row>
    <row r="157" spans="4:4" ht="15.75" customHeight="1">
      <c r="D157" s="203"/>
    </row>
    <row r="158" spans="4:4" ht="15.75" customHeight="1">
      <c r="D158" s="203"/>
    </row>
    <row r="159" spans="4:4" ht="15.75" customHeight="1">
      <c r="D159" s="203"/>
    </row>
    <row r="160" spans="4:4" ht="15.75" customHeight="1">
      <c r="D160" s="203"/>
    </row>
    <row r="161" spans="4:4" ht="15.75" customHeight="1">
      <c r="D161" s="203"/>
    </row>
    <row r="162" spans="4:4" ht="15.75" customHeight="1">
      <c r="D162" s="203"/>
    </row>
    <row r="163" spans="4:4" ht="15.75" customHeight="1">
      <c r="D163" s="203"/>
    </row>
    <row r="164" spans="4:4" ht="15.75" customHeight="1">
      <c r="D164" s="203"/>
    </row>
    <row r="165" spans="4:4" ht="15.75" customHeight="1">
      <c r="D165" s="203"/>
    </row>
    <row r="166" spans="4:4" ht="15.75" customHeight="1">
      <c r="D166" s="203"/>
    </row>
    <row r="167" spans="4:4" ht="15.75" customHeight="1">
      <c r="D167" s="203"/>
    </row>
    <row r="168" spans="4:4" ht="15.75" customHeight="1">
      <c r="D168" s="203"/>
    </row>
    <row r="169" spans="4:4" ht="15.75" customHeight="1">
      <c r="D169" s="203"/>
    </row>
    <row r="170" spans="4:4" ht="15.75" customHeight="1">
      <c r="D170" s="203"/>
    </row>
    <row r="171" spans="4:4" ht="15.75" customHeight="1">
      <c r="D171" s="203"/>
    </row>
    <row r="172" spans="4:4" ht="15.75" customHeight="1">
      <c r="D172" s="203"/>
    </row>
    <row r="173" spans="4:4" ht="15.75" customHeight="1">
      <c r="D173" s="203"/>
    </row>
    <row r="174" spans="4:4" ht="15.75" customHeight="1">
      <c r="D174" s="203"/>
    </row>
    <row r="175" spans="4:4" ht="15.75" customHeight="1">
      <c r="D175" s="203"/>
    </row>
    <row r="176" spans="4:4" ht="15.75" customHeight="1">
      <c r="D176" s="203"/>
    </row>
    <row r="177" spans="4:4" ht="15.75" customHeight="1">
      <c r="D177" s="203"/>
    </row>
    <row r="178" spans="4:4" ht="15.75" customHeight="1">
      <c r="D178" s="203"/>
    </row>
    <row r="179" spans="4:4" ht="15.75" customHeight="1">
      <c r="D179" s="203"/>
    </row>
    <row r="180" spans="4:4" ht="15.75" customHeight="1">
      <c r="D180" s="203"/>
    </row>
    <row r="181" spans="4:4" ht="15.75" customHeight="1">
      <c r="D181" s="203"/>
    </row>
    <row r="182" spans="4:4" ht="15.75" customHeight="1">
      <c r="D182" s="203"/>
    </row>
    <row r="183" spans="4:4" ht="15.75" customHeight="1">
      <c r="D183" s="203"/>
    </row>
    <row r="184" spans="4:4" ht="15.75" customHeight="1">
      <c r="D184" s="203"/>
    </row>
    <row r="185" spans="4:4" ht="15.75" customHeight="1">
      <c r="D185" s="203"/>
    </row>
    <row r="186" spans="4:4" ht="15.75" customHeight="1">
      <c r="D186" s="203"/>
    </row>
    <row r="187" spans="4:4" ht="15.75" customHeight="1">
      <c r="D187" s="203"/>
    </row>
    <row r="188" spans="4:4" ht="15.75" customHeight="1">
      <c r="D188" s="203"/>
    </row>
    <row r="189" spans="4:4" ht="15.75" customHeight="1">
      <c r="D189" s="203"/>
    </row>
    <row r="190" spans="4:4" ht="15.75" customHeight="1">
      <c r="D190" s="203"/>
    </row>
    <row r="191" spans="4:4" ht="15.75" customHeight="1">
      <c r="D191" s="203"/>
    </row>
    <row r="192" spans="4:4" ht="15.75" customHeight="1">
      <c r="D192" s="203"/>
    </row>
    <row r="193" spans="4:4" ht="15.75" customHeight="1">
      <c r="D193" s="203"/>
    </row>
    <row r="194" spans="4:4" ht="15.75" customHeight="1">
      <c r="D194" s="203"/>
    </row>
    <row r="195" spans="4:4" ht="15.75" customHeight="1">
      <c r="D195" s="203"/>
    </row>
    <row r="196" spans="4:4" ht="15.75" customHeight="1">
      <c r="D196" s="203"/>
    </row>
    <row r="197" spans="4:4" ht="15.75" customHeight="1">
      <c r="D197" s="203"/>
    </row>
    <row r="198" spans="4:4" ht="15.75" customHeight="1">
      <c r="D198" s="203"/>
    </row>
    <row r="199" spans="4:4" ht="15.75" customHeight="1">
      <c r="D199" s="203"/>
    </row>
    <row r="200" spans="4:4" ht="15.75" customHeight="1">
      <c r="D200" s="203"/>
    </row>
    <row r="201" spans="4:4" ht="15.75" customHeight="1">
      <c r="D201" s="203"/>
    </row>
    <row r="202" spans="4:4" ht="15.75" customHeight="1">
      <c r="D202" s="203"/>
    </row>
    <row r="203" spans="4:4" ht="15.75" customHeight="1">
      <c r="D203" s="203"/>
    </row>
    <row r="204" spans="4:4" ht="15.75" customHeight="1">
      <c r="D204" s="203"/>
    </row>
    <row r="205" spans="4:4" ht="15.75" customHeight="1">
      <c r="D205" s="203"/>
    </row>
    <row r="206" spans="4:4" ht="15.75" customHeight="1">
      <c r="D206" s="203"/>
    </row>
    <row r="207" spans="4:4" ht="15.75" customHeight="1">
      <c r="D207" s="203"/>
    </row>
    <row r="208" spans="4:4" ht="15.75" customHeight="1">
      <c r="D208" s="203"/>
    </row>
    <row r="209" spans="4:4" ht="15.75" customHeight="1">
      <c r="D209" s="203"/>
    </row>
    <row r="210" spans="4:4" ht="15.75" customHeight="1">
      <c r="D210" s="203"/>
    </row>
    <row r="211" spans="4:4" ht="15.75" customHeight="1">
      <c r="D211" s="203"/>
    </row>
    <row r="212" spans="4:4" ht="15.75" customHeight="1">
      <c r="D212" s="203"/>
    </row>
    <row r="213" spans="4:4" ht="15.75" customHeight="1">
      <c r="D213" s="203"/>
    </row>
    <row r="214" spans="4:4" ht="15.75" customHeight="1">
      <c r="D214" s="203"/>
    </row>
    <row r="215" spans="4:4" ht="15.75" customHeight="1">
      <c r="D215" s="203"/>
    </row>
    <row r="216" spans="4:4" ht="15.75" customHeight="1">
      <c r="D216" s="203"/>
    </row>
    <row r="217" spans="4:4" ht="15.75" customHeight="1">
      <c r="D217" s="203"/>
    </row>
    <row r="218" spans="4:4" ht="15.75" customHeight="1">
      <c r="D218" s="203"/>
    </row>
    <row r="219" spans="4:4" ht="15.75" customHeight="1">
      <c r="D219" s="203"/>
    </row>
    <row r="220" spans="4:4" ht="15.75" customHeight="1">
      <c r="D220" s="203"/>
    </row>
    <row r="221" spans="4:4" ht="15.75" customHeight="1">
      <c r="D221" s="203"/>
    </row>
    <row r="222" spans="4:4" ht="15.75" customHeight="1">
      <c r="D222" s="203"/>
    </row>
    <row r="223" spans="4:4" ht="15.75" customHeight="1">
      <c r="D223" s="203"/>
    </row>
    <row r="224" spans="4:4" ht="15.75" customHeight="1">
      <c r="D224" s="203"/>
    </row>
    <row r="225" spans="4:4" ht="15.75" customHeight="1">
      <c r="D225" s="203"/>
    </row>
    <row r="226" spans="4:4" ht="15.75" customHeight="1">
      <c r="D226" s="203"/>
    </row>
    <row r="227" spans="4:4" ht="15.75" customHeight="1">
      <c r="D227" s="203"/>
    </row>
    <row r="228" spans="4:4" ht="15.75" customHeight="1">
      <c r="D228" s="203"/>
    </row>
    <row r="229" spans="4:4" ht="15.75" customHeight="1">
      <c r="D229" s="203"/>
    </row>
    <row r="230" spans="4:4" ht="15.75" customHeight="1">
      <c r="D230" s="203"/>
    </row>
    <row r="231" spans="4:4" ht="15.75" customHeight="1">
      <c r="D231" s="203"/>
    </row>
    <row r="232" spans="4:4" ht="15.75" customHeight="1">
      <c r="D232" s="203"/>
    </row>
    <row r="233" spans="4:4" ht="15.75" customHeight="1">
      <c r="D233" s="203"/>
    </row>
    <row r="234" spans="4:4" ht="15.75" customHeight="1">
      <c r="D234" s="203"/>
    </row>
    <row r="235" spans="4:4" ht="15.75" customHeight="1">
      <c r="D235" s="203"/>
    </row>
    <row r="236" spans="4:4" ht="15.75" customHeight="1">
      <c r="D236" s="203"/>
    </row>
    <row r="237" spans="4:4" ht="15.75" customHeight="1">
      <c r="D237" s="203"/>
    </row>
    <row r="238" spans="4:4" ht="15.75" customHeight="1">
      <c r="D238" s="203"/>
    </row>
    <row r="239" spans="4:4" ht="15.75" customHeight="1">
      <c r="D239" s="203"/>
    </row>
    <row r="240" spans="4:4" ht="15.75" customHeight="1">
      <c r="D240" s="203"/>
    </row>
    <row r="241" spans="4:4" ht="15.75" customHeight="1">
      <c r="D241" s="203"/>
    </row>
    <row r="242" spans="4:4" ht="15.75" customHeight="1">
      <c r="D242" s="203"/>
    </row>
    <row r="243" spans="4:4" ht="15.75" customHeight="1">
      <c r="D243" s="203"/>
    </row>
    <row r="244" spans="4:4" ht="15.75" customHeight="1">
      <c r="D244" s="203"/>
    </row>
    <row r="245" spans="4:4" ht="15.75" customHeight="1">
      <c r="D245" s="203"/>
    </row>
    <row r="246" spans="4:4" ht="15.75" customHeight="1">
      <c r="D246" s="203"/>
    </row>
    <row r="247" spans="4:4" ht="15.75" customHeight="1">
      <c r="D247" s="203"/>
    </row>
    <row r="248" spans="4:4" ht="15.75" customHeight="1">
      <c r="D248" s="203"/>
    </row>
    <row r="249" spans="4:4" ht="15.75" customHeight="1">
      <c r="D249" s="203"/>
    </row>
    <row r="250" spans="4:4" ht="15.75" customHeight="1">
      <c r="D250" s="203"/>
    </row>
    <row r="251" spans="4:4" ht="15.75" customHeight="1">
      <c r="D251" s="203"/>
    </row>
    <row r="252" spans="4:4" ht="15.75" customHeight="1">
      <c r="D252" s="203"/>
    </row>
    <row r="253" spans="4:4" ht="15.75" customHeight="1">
      <c r="D253" s="203"/>
    </row>
    <row r="254" spans="4:4" ht="15.75" customHeight="1">
      <c r="D254" s="203"/>
    </row>
    <row r="255" spans="4:4" ht="15.75" customHeight="1">
      <c r="D255" s="203"/>
    </row>
    <row r="256" spans="4:4" ht="15.75" customHeight="1">
      <c r="D256" s="203"/>
    </row>
    <row r="257" spans="4:4" ht="15.75" customHeight="1">
      <c r="D257" s="203"/>
    </row>
    <row r="258" spans="4:4" ht="15.75" customHeight="1">
      <c r="D258" s="203"/>
    </row>
    <row r="259" spans="4:4" ht="15.75" customHeight="1">
      <c r="D259" s="203"/>
    </row>
    <row r="260" spans="4:4" ht="15.75" customHeight="1">
      <c r="D260" s="203"/>
    </row>
    <row r="261" spans="4:4" ht="15.75" customHeight="1">
      <c r="D261" s="203"/>
    </row>
    <row r="262" spans="4:4" ht="15.75" customHeight="1">
      <c r="D262" s="203"/>
    </row>
    <row r="263" spans="4:4" ht="15.75" customHeight="1">
      <c r="D263" s="203"/>
    </row>
    <row r="264" spans="4:4" ht="15.75" customHeight="1">
      <c r="D264" s="203"/>
    </row>
    <row r="265" spans="4:4" ht="15.75" customHeight="1">
      <c r="D265" s="203"/>
    </row>
    <row r="266" spans="4:4" ht="15.75" customHeight="1">
      <c r="D266" s="203"/>
    </row>
    <row r="267" spans="4:4" ht="15.75" customHeight="1">
      <c r="D267" s="203"/>
    </row>
    <row r="268" spans="4:4" ht="15.75" customHeight="1">
      <c r="D268" s="203"/>
    </row>
    <row r="269" spans="4:4" ht="15.75" customHeight="1">
      <c r="D269" s="203"/>
    </row>
    <row r="270" spans="4:4" ht="15.75" customHeight="1">
      <c r="D270" s="203"/>
    </row>
    <row r="271" spans="4:4" ht="15.75" customHeight="1">
      <c r="D271" s="203"/>
    </row>
    <row r="272" spans="4:4" ht="15.75" customHeight="1">
      <c r="D272" s="203"/>
    </row>
    <row r="273" spans="4:4" ht="15.75" customHeight="1">
      <c r="D273" s="203"/>
    </row>
    <row r="274" spans="4:4" ht="15.75" customHeight="1">
      <c r="D274" s="203"/>
    </row>
    <row r="275" spans="4:4" ht="15.75" customHeight="1">
      <c r="D275" s="203"/>
    </row>
    <row r="276" spans="4:4" ht="15.75" customHeight="1">
      <c r="D276" s="203"/>
    </row>
    <row r="277" spans="4:4" ht="15.75" customHeight="1">
      <c r="D277" s="203"/>
    </row>
    <row r="278" spans="4:4" ht="15.75" customHeight="1">
      <c r="D278" s="203"/>
    </row>
    <row r="279" spans="4:4" ht="15.75" customHeight="1">
      <c r="D279" s="203"/>
    </row>
    <row r="280" spans="4:4" ht="15.75" customHeight="1">
      <c r="D280" s="203"/>
    </row>
    <row r="281" spans="4:4" ht="15.75" customHeight="1">
      <c r="D281" s="203"/>
    </row>
    <row r="282" spans="4:4" ht="15.75" customHeight="1">
      <c r="D282" s="203"/>
    </row>
    <row r="283" spans="4:4" ht="15.75" customHeight="1">
      <c r="D283" s="203"/>
    </row>
    <row r="284" spans="4:4" ht="15.75" customHeight="1">
      <c r="D284" s="203"/>
    </row>
    <row r="285" spans="4:4" ht="15.75" customHeight="1">
      <c r="D285" s="203"/>
    </row>
    <row r="286" spans="4:4" ht="15.75" customHeight="1">
      <c r="D286" s="203"/>
    </row>
    <row r="287" spans="4:4" ht="15.75" customHeight="1">
      <c r="D287" s="203"/>
    </row>
    <row r="288" spans="4:4" ht="15.75" customHeight="1">
      <c r="D288" s="203"/>
    </row>
    <row r="289" spans="4:4" ht="15.75" customHeight="1">
      <c r="D289" s="203"/>
    </row>
    <row r="290" spans="4:4" ht="15.75" customHeight="1">
      <c r="D290" s="203"/>
    </row>
    <row r="291" spans="4:4" ht="15.75" customHeight="1">
      <c r="D291" s="203"/>
    </row>
    <row r="292" spans="4:4" ht="15.75" customHeight="1">
      <c r="D292" s="203"/>
    </row>
    <row r="293" spans="4:4" ht="15.75" customHeight="1">
      <c r="D293" s="203"/>
    </row>
    <row r="294" spans="4:4" ht="15.75" customHeight="1">
      <c r="D294" s="203"/>
    </row>
    <row r="295" spans="4:4" ht="15.75" customHeight="1">
      <c r="D295" s="203"/>
    </row>
    <row r="296" spans="4:4" ht="15.75" customHeight="1">
      <c r="D296" s="203"/>
    </row>
    <row r="297" spans="4:4" ht="15.75" customHeight="1">
      <c r="D297" s="203"/>
    </row>
    <row r="298" spans="4:4" ht="15.75" customHeight="1">
      <c r="D298" s="203"/>
    </row>
    <row r="299" spans="4:4" ht="15.75" customHeight="1">
      <c r="D299" s="203"/>
    </row>
    <row r="300" spans="4:4" ht="15.75" customHeight="1">
      <c r="D300" s="203"/>
    </row>
    <row r="301" spans="4:4" ht="15.75" customHeight="1">
      <c r="D301" s="203"/>
    </row>
    <row r="302" spans="4:4" ht="15.75" customHeight="1">
      <c r="D302" s="203"/>
    </row>
    <row r="303" spans="4:4" ht="15.75" customHeight="1">
      <c r="D303" s="203"/>
    </row>
    <row r="304" spans="4:4" ht="15.75" customHeight="1">
      <c r="D304" s="203"/>
    </row>
    <row r="305" spans="4:4" ht="15.75" customHeight="1">
      <c r="D305" s="203"/>
    </row>
    <row r="306" spans="4:4" ht="15.75" customHeight="1">
      <c r="D306" s="203"/>
    </row>
    <row r="307" spans="4:4" ht="15.75" customHeight="1">
      <c r="D307" s="203"/>
    </row>
    <row r="308" spans="4:4" ht="15.75" customHeight="1">
      <c r="D308" s="203"/>
    </row>
    <row r="309" spans="4:4" ht="15.75" customHeight="1">
      <c r="D309" s="203"/>
    </row>
    <row r="310" spans="4:4" ht="15.75" customHeight="1">
      <c r="D310" s="203"/>
    </row>
    <row r="311" spans="4:4" ht="15.75" customHeight="1">
      <c r="D311" s="203"/>
    </row>
    <row r="312" spans="4:4" ht="15.75" customHeight="1">
      <c r="D312" s="203"/>
    </row>
    <row r="313" spans="4:4" ht="15.75" customHeight="1">
      <c r="D313" s="203"/>
    </row>
    <row r="314" spans="4:4" ht="15.75" customHeight="1">
      <c r="D314" s="203"/>
    </row>
    <row r="315" spans="4:4" ht="15.75" customHeight="1">
      <c r="D315" s="203"/>
    </row>
    <row r="316" spans="4:4" ht="15.75" customHeight="1">
      <c r="D316" s="203"/>
    </row>
    <row r="317" spans="4:4" ht="15.75" customHeight="1">
      <c r="D317" s="203"/>
    </row>
    <row r="318" spans="4:4" ht="15.75" customHeight="1">
      <c r="D318" s="203"/>
    </row>
    <row r="319" spans="4:4" ht="15.75" customHeight="1">
      <c r="D319" s="203"/>
    </row>
    <row r="320" spans="4:4" ht="15.75" customHeight="1">
      <c r="D320" s="203"/>
    </row>
    <row r="321" spans="4:4" ht="15.75" customHeight="1">
      <c r="D321" s="203"/>
    </row>
    <row r="322" spans="4:4" ht="15.75" customHeight="1">
      <c r="D322" s="203"/>
    </row>
    <row r="323" spans="4:4" ht="15.75" customHeight="1">
      <c r="D323" s="203"/>
    </row>
    <row r="324" spans="4:4" ht="15.75" customHeight="1">
      <c r="D324" s="203"/>
    </row>
    <row r="325" spans="4:4" ht="15.75" customHeight="1">
      <c r="D325" s="203"/>
    </row>
    <row r="326" spans="4:4" ht="15.75" customHeight="1">
      <c r="D326" s="203"/>
    </row>
    <row r="327" spans="4:4" ht="15.75" customHeight="1">
      <c r="D327" s="203"/>
    </row>
    <row r="328" spans="4:4" ht="15.75" customHeight="1">
      <c r="D328" s="203"/>
    </row>
    <row r="329" spans="4:4" ht="15.75" customHeight="1">
      <c r="D329" s="203"/>
    </row>
    <row r="330" spans="4:4" ht="15.75" customHeight="1">
      <c r="D330" s="203"/>
    </row>
    <row r="331" spans="4:4" ht="15.75" customHeight="1">
      <c r="D331" s="203"/>
    </row>
    <row r="332" spans="4:4" ht="15.75" customHeight="1">
      <c r="D332" s="203"/>
    </row>
    <row r="333" spans="4:4" ht="15.75" customHeight="1">
      <c r="D333" s="203"/>
    </row>
    <row r="334" spans="4:4" ht="15.75" customHeight="1">
      <c r="D334" s="203"/>
    </row>
    <row r="335" spans="4:4" ht="15.75" customHeight="1">
      <c r="D335" s="203"/>
    </row>
    <row r="336" spans="4: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colBreaks count="1" manualBreakCount="1">
    <brk id="2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pane xSplit="5" ySplit="3" topLeftCell="L5" activePane="bottomRight" state="frozen"/>
      <selection pane="topRight" activeCell="F1" sqref="F1"/>
      <selection pane="bottomLeft" activeCell="A4" sqref="A4"/>
      <selection pane="bottomRight" activeCell="Y23" sqref="Y23"/>
    </sheetView>
  </sheetViews>
  <sheetFormatPr baseColWidth="10" defaultColWidth="14.5" defaultRowHeight="15" customHeight="1"/>
  <cols>
    <col min="1" max="1" width="1.83203125" customWidth="1"/>
    <col min="2" max="2" width="14.1640625" customWidth="1"/>
    <col min="3" max="3" width="94.6640625" customWidth="1"/>
    <col min="4" max="4" width="9.33203125" customWidth="1"/>
    <col min="5" max="5" width="18.1640625" customWidth="1"/>
    <col min="6" max="23" width="19.83203125" customWidth="1"/>
    <col min="24" max="24" width="50.1640625" customWidth="1"/>
    <col min="25" max="26" width="12.83203125" customWidth="1"/>
    <col min="27" max="27" width="9.6640625" customWidth="1"/>
    <col min="28" max="30" width="8.6640625" customWidth="1"/>
  </cols>
  <sheetData>
    <row r="1" spans="1:30" ht="25">
      <c r="A1" s="1"/>
      <c r="B1" s="2" t="s">
        <v>1067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52"/>
      <c r="U1" s="52"/>
      <c r="V1" s="52"/>
      <c r="W1" s="52"/>
      <c r="X1" s="1"/>
      <c r="Y1" s="1"/>
      <c r="Z1" s="1"/>
      <c r="AA1" s="1"/>
      <c r="AB1" s="1"/>
      <c r="AC1" s="1"/>
      <c r="AD1" s="1"/>
    </row>
    <row r="2" spans="1:30" ht="15.75" customHeight="1">
      <c r="A2" s="1"/>
      <c r="B2" s="53"/>
      <c r="C2" s="1"/>
      <c r="D2" s="3"/>
      <c r="E2" s="3"/>
      <c r="F2" s="1"/>
      <c r="G2" s="1">
        <v>6</v>
      </c>
      <c r="H2" s="1">
        <v>7</v>
      </c>
      <c r="I2" s="1">
        <v>8</v>
      </c>
      <c r="J2" s="1">
        <v>9</v>
      </c>
      <c r="K2" s="1"/>
      <c r="L2" s="1"/>
      <c r="M2" s="1">
        <v>9</v>
      </c>
      <c r="N2" s="1"/>
      <c r="O2" s="1"/>
      <c r="P2" s="1"/>
      <c r="Q2" s="1"/>
      <c r="R2" s="1"/>
      <c r="S2" s="1"/>
      <c r="T2" s="52"/>
      <c r="U2" s="52"/>
      <c r="V2" s="52"/>
      <c r="W2" s="52"/>
      <c r="X2" s="1"/>
      <c r="Y2" s="1"/>
      <c r="Z2" s="1"/>
      <c r="AA2" s="1"/>
      <c r="AB2" s="1"/>
      <c r="AC2" s="1"/>
      <c r="AD2" s="1"/>
    </row>
    <row r="3" spans="1:30" ht="44.25" customHeight="1">
      <c r="A3" s="14"/>
      <c r="B3" s="204" t="s">
        <v>1</v>
      </c>
      <c r="C3" s="205" t="s">
        <v>1068</v>
      </c>
      <c r="D3" s="206" t="s">
        <v>3</v>
      </c>
      <c r="E3" s="207" t="s">
        <v>4</v>
      </c>
      <c r="F3" s="208" t="s">
        <v>5</v>
      </c>
      <c r="G3" s="209">
        <v>45107</v>
      </c>
      <c r="H3" s="209">
        <v>45138</v>
      </c>
      <c r="I3" s="209">
        <v>45169</v>
      </c>
      <c r="J3" s="209">
        <v>45199</v>
      </c>
      <c r="K3" s="209">
        <v>45230</v>
      </c>
      <c r="L3" s="209">
        <v>45260</v>
      </c>
      <c r="M3" s="209">
        <v>45283</v>
      </c>
      <c r="N3" s="209">
        <v>45314</v>
      </c>
      <c r="O3" s="209">
        <v>45345</v>
      </c>
      <c r="P3" s="209">
        <v>45374</v>
      </c>
      <c r="Q3" s="209">
        <v>45405</v>
      </c>
      <c r="R3" s="209">
        <v>45435</v>
      </c>
      <c r="S3" s="209">
        <v>45466</v>
      </c>
      <c r="T3" s="209">
        <v>45496</v>
      </c>
      <c r="U3" s="209">
        <v>45527</v>
      </c>
      <c r="V3" s="209">
        <v>45564</v>
      </c>
      <c r="W3" s="209">
        <v>45594</v>
      </c>
      <c r="X3" s="210" t="s">
        <v>6</v>
      </c>
      <c r="Y3" s="320" t="s">
        <v>1424</v>
      </c>
      <c r="Z3" s="14"/>
      <c r="AA3" s="14"/>
      <c r="AB3" s="14"/>
      <c r="AC3" s="14"/>
      <c r="AD3" s="14"/>
    </row>
    <row r="4" spans="1:30" ht="24.75" hidden="1" customHeight="1">
      <c r="A4" s="14"/>
      <c r="B4" s="129"/>
      <c r="C4" s="211"/>
      <c r="D4" s="17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12"/>
      <c r="U4" s="212"/>
      <c r="V4" s="212"/>
      <c r="W4" s="212"/>
      <c r="X4" s="213"/>
      <c r="Y4" s="14"/>
      <c r="Z4" s="14"/>
      <c r="AA4" s="14"/>
      <c r="AB4" s="14"/>
      <c r="AC4" s="14"/>
      <c r="AD4" s="14"/>
    </row>
    <row r="5" spans="1:30" ht="24.75" customHeight="1">
      <c r="A5" s="1"/>
      <c r="B5" s="214"/>
      <c r="C5" s="215" t="s">
        <v>1069</v>
      </c>
      <c r="D5" s="23"/>
      <c r="E5" s="216"/>
      <c r="F5" s="25"/>
      <c r="G5" s="25"/>
      <c r="H5" s="25"/>
      <c r="I5" s="25"/>
      <c r="J5" s="25"/>
      <c r="K5" s="25"/>
      <c r="L5" s="25"/>
      <c r="M5" s="25"/>
      <c r="N5" s="26"/>
      <c r="O5" s="27"/>
      <c r="P5" s="26"/>
      <c r="Q5" s="26"/>
      <c r="R5" s="26"/>
      <c r="S5" s="64"/>
      <c r="T5" s="65"/>
      <c r="U5" s="65"/>
      <c r="V5" s="65"/>
      <c r="W5" s="65"/>
      <c r="X5" s="169"/>
      <c r="Y5" s="1"/>
      <c r="Z5" s="1"/>
      <c r="AA5" s="170" t="str">
        <f>IF((D5)=0,"",(B4+1))</f>
        <v/>
      </c>
      <c r="AB5" s="1"/>
      <c r="AC5" s="1"/>
      <c r="AD5" s="1"/>
    </row>
    <row r="6" spans="1:30" ht="24.75" customHeight="1">
      <c r="A6" s="1"/>
      <c r="B6" s="21" t="s">
        <v>8</v>
      </c>
      <c r="C6" s="29" t="s">
        <v>1070</v>
      </c>
      <c r="D6" s="23">
        <v>1</v>
      </c>
      <c r="E6" s="216" t="s">
        <v>1071</v>
      </c>
      <c r="F6" s="25"/>
      <c r="G6" s="25"/>
      <c r="H6" s="25"/>
      <c r="I6" s="25"/>
      <c r="J6" s="26"/>
      <c r="K6" s="26"/>
      <c r="L6" s="26"/>
      <c r="M6" s="26"/>
      <c r="N6" s="26"/>
      <c r="O6" s="26"/>
      <c r="P6" s="26"/>
      <c r="Q6" s="26"/>
      <c r="R6" s="26"/>
      <c r="S6" s="64"/>
      <c r="T6" s="27">
        <v>4000</v>
      </c>
      <c r="U6" s="27">
        <v>4000</v>
      </c>
      <c r="V6" s="27">
        <v>4500</v>
      </c>
      <c r="W6" s="27">
        <v>4500</v>
      </c>
      <c r="X6" s="130"/>
      <c r="Y6" s="322" t="s">
        <v>1069</v>
      </c>
      <c r="Z6" s="1"/>
      <c r="AA6" s="170" t="e">
        <f>IF((D6)=0,"",(#REF!+1))</f>
        <v>#REF!</v>
      </c>
      <c r="AB6" s="1"/>
      <c r="AC6" s="1"/>
      <c r="AD6" s="1"/>
    </row>
    <row r="7" spans="1:30" ht="24.75" customHeight="1">
      <c r="A7" s="1"/>
      <c r="B7" s="21" t="s">
        <v>11</v>
      </c>
      <c r="C7" s="217" t="s">
        <v>1072</v>
      </c>
      <c r="D7" s="23">
        <v>1</v>
      </c>
      <c r="E7" s="216" t="s">
        <v>1071</v>
      </c>
      <c r="F7" s="25"/>
      <c r="G7" s="25"/>
      <c r="H7" s="25"/>
      <c r="I7" s="25"/>
      <c r="J7" s="25"/>
      <c r="K7" s="25"/>
      <c r="L7" s="25"/>
      <c r="M7" s="25"/>
      <c r="N7" s="26"/>
      <c r="O7" s="26"/>
      <c r="P7" s="26"/>
      <c r="Q7" s="26"/>
      <c r="R7" s="26"/>
      <c r="S7" s="64"/>
      <c r="T7" s="27">
        <v>4500</v>
      </c>
      <c r="U7" s="27">
        <v>4500</v>
      </c>
      <c r="V7" s="27">
        <v>5500</v>
      </c>
      <c r="W7" s="27">
        <v>5500</v>
      </c>
      <c r="X7" s="130"/>
      <c r="Y7" s="322" t="s">
        <v>1069</v>
      </c>
      <c r="Z7" s="1"/>
      <c r="AA7" s="170">
        <f t="shared" ref="AA7:AA8" si="0">IF((D7)=0,"",(B6+1))</f>
        <v>2</v>
      </c>
      <c r="AB7" s="1"/>
      <c r="AC7" s="1"/>
      <c r="AD7" s="1"/>
    </row>
    <row r="8" spans="1:30" ht="24.75" customHeight="1">
      <c r="A8" s="1"/>
      <c r="B8" s="21" t="s">
        <v>13</v>
      </c>
      <c r="C8" s="29" t="s">
        <v>1073</v>
      </c>
      <c r="D8" s="23">
        <v>1</v>
      </c>
      <c r="E8" s="216" t="s">
        <v>1071</v>
      </c>
      <c r="F8" s="31"/>
      <c r="G8" s="32"/>
      <c r="H8" s="32"/>
      <c r="I8" s="32"/>
      <c r="J8" s="32"/>
      <c r="K8" s="32"/>
      <c r="L8" s="32"/>
      <c r="M8" s="31"/>
      <c r="N8" s="32"/>
      <c r="O8" s="32"/>
      <c r="P8" s="32"/>
      <c r="Q8" s="32"/>
      <c r="R8" s="32"/>
      <c r="S8" s="64"/>
      <c r="T8" s="27">
        <v>4500</v>
      </c>
      <c r="U8" s="27">
        <v>4500</v>
      </c>
      <c r="V8" s="27">
        <v>5500</v>
      </c>
      <c r="W8" s="27">
        <v>5500</v>
      </c>
      <c r="X8" s="181"/>
      <c r="Y8" s="322" t="s">
        <v>1069</v>
      </c>
      <c r="Z8" s="112"/>
      <c r="AA8" s="170">
        <f t="shared" si="0"/>
        <v>3</v>
      </c>
      <c r="AB8" s="112"/>
      <c r="AC8" s="112"/>
      <c r="AD8" s="112"/>
    </row>
    <row r="9" spans="1:30" ht="24.75" customHeight="1">
      <c r="A9" s="1"/>
      <c r="B9" s="21" t="s">
        <v>15</v>
      </c>
      <c r="C9" s="29" t="s">
        <v>1074</v>
      </c>
      <c r="D9" s="23">
        <v>1</v>
      </c>
      <c r="E9" s="216" t="s">
        <v>1071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64"/>
      <c r="T9" s="27">
        <v>4500</v>
      </c>
      <c r="U9" s="27">
        <v>4500</v>
      </c>
      <c r="V9" s="27">
        <v>5500</v>
      </c>
      <c r="W9" s="27">
        <v>5500</v>
      </c>
      <c r="X9" s="181"/>
      <c r="Y9" s="322" t="s">
        <v>1069</v>
      </c>
      <c r="Z9" s="112"/>
      <c r="AA9" s="170" t="e">
        <f>IF((D9)=0,"",(#REF!+1))</f>
        <v>#REF!</v>
      </c>
      <c r="AB9" s="112"/>
      <c r="AC9" s="112"/>
      <c r="AD9" s="112"/>
    </row>
    <row r="10" spans="1:30" ht="24.75" customHeight="1">
      <c r="A10" s="1"/>
      <c r="B10" s="21" t="s">
        <v>18</v>
      </c>
      <c r="C10" s="29" t="s">
        <v>1075</v>
      </c>
      <c r="D10" s="23">
        <v>1</v>
      </c>
      <c r="E10" s="216" t="s">
        <v>1071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64"/>
      <c r="T10" s="27">
        <v>4000</v>
      </c>
      <c r="U10" s="27">
        <v>4000</v>
      </c>
      <c r="V10" s="27">
        <v>4500</v>
      </c>
      <c r="W10" s="27">
        <v>4500</v>
      </c>
      <c r="X10" s="181"/>
      <c r="Y10" s="322" t="s">
        <v>1069</v>
      </c>
      <c r="Z10" s="112"/>
      <c r="AA10" s="170">
        <f t="shared" ref="AA10:AA21" si="1">IF((D10)=0,"",(B9+1))</f>
        <v>5</v>
      </c>
      <c r="AB10" s="112"/>
      <c r="AC10" s="112"/>
      <c r="AD10" s="112"/>
    </row>
    <row r="11" spans="1:30" ht="24.75" customHeight="1">
      <c r="A11" s="1"/>
      <c r="B11" s="21" t="s">
        <v>20</v>
      </c>
      <c r="C11" s="29" t="s">
        <v>1076</v>
      </c>
      <c r="D11" s="23">
        <v>1</v>
      </c>
      <c r="E11" s="216" t="s">
        <v>1071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64"/>
      <c r="T11" s="27">
        <v>4500</v>
      </c>
      <c r="U11" s="27">
        <v>4500</v>
      </c>
      <c r="V11" s="27">
        <v>6000</v>
      </c>
      <c r="W11" s="27">
        <v>6000</v>
      </c>
      <c r="X11" s="181"/>
      <c r="Y11" s="322" t="s">
        <v>1069</v>
      </c>
      <c r="Z11" s="112"/>
      <c r="AA11" s="170">
        <f t="shared" si="1"/>
        <v>6</v>
      </c>
      <c r="AB11" s="112"/>
      <c r="AC11" s="112"/>
      <c r="AD11" s="112"/>
    </row>
    <row r="12" spans="1:30" ht="24.75" customHeight="1">
      <c r="A12" s="1"/>
      <c r="B12" s="21" t="s">
        <v>24</v>
      </c>
      <c r="C12" s="29" t="s">
        <v>1077</v>
      </c>
      <c r="D12" s="23">
        <v>1</v>
      </c>
      <c r="E12" s="216" t="s">
        <v>1071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64"/>
      <c r="T12" s="27">
        <v>4000</v>
      </c>
      <c r="U12" s="27">
        <v>4000</v>
      </c>
      <c r="V12" s="27">
        <v>4500</v>
      </c>
      <c r="W12" s="27">
        <v>4500</v>
      </c>
      <c r="X12" s="181"/>
      <c r="Y12" s="322" t="s">
        <v>1069</v>
      </c>
      <c r="Z12" s="112"/>
      <c r="AA12" s="170">
        <f t="shared" si="1"/>
        <v>7</v>
      </c>
      <c r="AB12" s="112"/>
      <c r="AC12" s="112"/>
      <c r="AD12" s="112"/>
    </row>
    <row r="13" spans="1:30" ht="24.75" customHeight="1">
      <c r="A13" s="1"/>
      <c r="B13" s="21" t="s">
        <v>27</v>
      </c>
      <c r="C13" s="29" t="s">
        <v>1078</v>
      </c>
      <c r="D13" s="23">
        <v>1</v>
      </c>
      <c r="E13" s="216" t="s">
        <v>1071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64"/>
      <c r="T13" s="27">
        <v>5000</v>
      </c>
      <c r="U13" s="27">
        <v>5000</v>
      </c>
      <c r="V13" s="27">
        <v>6000</v>
      </c>
      <c r="W13" s="27">
        <v>6000</v>
      </c>
      <c r="X13" s="181"/>
      <c r="Y13" s="322" t="s">
        <v>1069</v>
      </c>
      <c r="Z13" s="112"/>
      <c r="AA13" s="170">
        <f t="shared" si="1"/>
        <v>8</v>
      </c>
      <c r="AB13" s="112"/>
      <c r="AC13" s="112"/>
      <c r="AD13" s="112">
        <f>25000/2.83</f>
        <v>8833.9222614840983</v>
      </c>
    </row>
    <row r="14" spans="1:30" ht="24.75" customHeight="1">
      <c r="A14" s="1"/>
      <c r="B14" s="21" t="s">
        <v>30</v>
      </c>
      <c r="C14" s="29" t="s">
        <v>1079</v>
      </c>
      <c r="D14" s="23">
        <v>1</v>
      </c>
      <c r="E14" s="216" t="s">
        <v>1071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64"/>
      <c r="T14" s="27">
        <v>6500</v>
      </c>
      <c r="U14" s="27">
        <v>6500</v>
      </c>
      <c r="V14" s="27">
        <v>6000</v>
      </c>
      <c r="W14" s="27">
        <v>6000</v>
      </c>
      <c r="X14" s="181"/>
      <c r="Y14" s="322" t="s">
        <v>1069</v>
      </c>
      <c r="Z14" s="112"/>
      <c r="AA14" s="170">
        <f t="shared" si="1"/>
        <v>9</v>
      </c>
      <c r="AB14" s="112"/>
      <c r="AC14" s="112"/>
      <c r="AD14" s="112"/>
    </row>
    <row r="15" spans="1:30" ht="24.75" customHeight="1">
      <c r="A15" s="1"/>
      <c r="B15" s="21" t="s">
        <v>32</v>
      </c>
      <c r="C15" s="29" t="s">
        <v>1080</v>
      </c>
      <c r="D15" s="23">
        <v>1</v>
      </c>
      <c r="E15" s="216" t="s">
        <v>1071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64"/>
      <c r="T15" s="27">
        <v>5000</v>
      </c>
      <c r="U15" s="27">
        <v>5000</v>
      </c>
      <c r="V15" s="27">
        <v>6000</v>
      </c>
      <c r="W15" s="27">
        <v>6000</v>
      </c>
      <c r="X15" s="181"/>
      <c r="Y15" s="322" t="s">
        <v>1069</v>
      </c>
      <c r="Z15" s="112"/>
      <c r="AA15" s="170">
        <f t="shared" si="1"/>
        <v>10</v>
      </c>
      <c r="AB15" s="112"/>
      <c r="AC15" s="112"/>
      <c r="AD15" s="112">
        <f>19000/2.83</f>
        <v>6713.7809187279154</v>
      </c>
    </row>
    <row r="16" spans="1:30" ht="24.75" hidden="1" customHeight="1">
      <c r="A16" s="1"/>
      <c r="B16" s="21" t="s">
        <v>35</v>
      </c>
      <c r="C16" s="29"/>
      <c r="D16" s="23"/>
      <c r="E16" s="216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64"/>
      <c r="T16" s="27"/>
      <c r="U16" s="27"/>
      <c r="V16" s="27"/>
      <c r="W16" s="27"/>
      <c r="X16" s="181"/>
      <c r="Y16" s="112"/>
      <c r="Z16" s="112"/>
      <c r="AA16" s="170" t="str">
        <f t="shared" si="1"/>
        <v/>
      </c>
      <c r="AB16" s="112"/>
      <c r="AC16" s="112"/>
      <c r="AD16" s="112"/>
    </row>
    <row r="17" spans="1:30" ht="24.75" customHeight="1">
      <c r="A17" s="1"/>
      <c r="B17" s="21"/>
      <c r="C17" s="29"/>
      <c r="D17" s="23"/>
      <c r="E17" s="216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64"/>
      <c r="R17" s="64"/>
      <c r="S17" s="64"/>
      <c r="T17" s="27"/>
      <c r="U17" s="27"/>
      <c r="V17" s="27"/>
      <c r="W17" s="27"/>
      <c r="X17" s="181"/>
      <c r="Y17" s="112"/>
      <c r="Z17" s="112"/>
      <c r="AA17" s="170" t="str">
        <f t="shared" si="1"/>
        <v/>
      </c>
      <c r="AB17" s="112"/>
      <c r="AC17" s="112"/>
      <c r="AD17" s="112"/>
    </row>
    <row r="18" spans="1:30" ht="24.75" customHeight="1">
      <c r="A18" s="1"/>
      <c r="B18" s="214"/>
      <c r="C18" s="215" t="s">
        <v>1081</v>
      </c>
      <c r="D18" s="23"/>
      <c r="E18" s="216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64"/>
      <c r="T18" s="27"/>
      <c r="U18" s="27"/>
      <c r="V18" s="27"/>
      <c r="W18" s="27"/>
      <c r="X18" s="181"/>
      <c r="Y18" s="112"/>
      <c r="Z18" s="112"/>
      <c r="AA18" s="170" t="str">
        <f t="shared" si="1"/>
        <v/>
      </c>
      <c r="AB18" s="112"/>
      <c r="AC18" s="112"/>
      <c r="AD18" s="112"/>
    </row>
    <row r="19" spans="1:30" ht="24.75" customHeight="1">
      <c r="A19" s="1"/>
      <c r="B19" s="21" t="s">
        <v>8</v>
      </c>
      <c r="C19" s="29" t="s">
        <v>1082</v>
      </c>
      <c r="D19" s="23">
        <v>1</v>
      </c>
      <c r="E19" s="216" t="s">
        <v>1071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64"/>
      <c r="T19" s="27">
        <v>3500</v>
      </c>
      <c r="U19" s="27">
        <v>3500</v>
      </c>
      <c r="V19" s="27">
        <v>3500</v>
      </c>
      <c r="W19" s="27">
        <v>3500</v>
      </c>
      <c r="X19" s="181"/>
      <c r="Y19" s="215" t="s">
        <v>1081</v>
      </c>
      <c r="Z19" s="112"/>
      <c r="AA19" s="170">
        <f t="shared" si="1"/>
        <v>1</v>
      </c>
      <c r="AB19" s="112"/>
      <c r="AC19" s="112"/>
      <c r="AD19" s="112"/>
    </row>
    <row r="20" spans="1:30" ht="24.75" customHeight="1">
      <c r="A20" s="1"/>
      <c r="B20" s="21"/>
      <c r="C20" s="29"/>
      <c r="D20" s="23"/>
      <c r="E20" s="216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64"/>
      <c r="T20" s="27"/>
      <c r="U20" s="27"/>
      <c r="V20" s="27"/>
      <c r="W20" s="27"/>
      <c r="X20" s="181"/>
      <c r="Y20" s="112"/>
      <c r="Z20" s="112"/>
      <c r="AA20" s="170" t="str">
        <f t="shared" si="1"/>
        <v/>
      </c>
      <c r="AB20" s="112"/>
      <c r="AC20" s="112"/>
      <c r="AD20" s="112"/>
    </row>
    <row r="21" spans="1:30" ht="24.75" customHeight="1">
      <c r="A21" s="1"/>
      <c r="B21" s="21"/>
      <c r="C21" s="29"/>
      <c r="D21" s="23"/>
      <c r="E21" s="216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64"/>
      <c r="T21" s="27"/>
      <c r="U21" s="27"/>
      <c r="V21" s="27"/>
      <c r="W21" s="27"/>
      <c r="X21" s="181"/>
      <c r="Y21" s="112"/>
      <c r="Z21" s="112"/>
      <c r="AA21" s="170" t="str">
        <f t="shared" si="1"/>
        <v/>
      </c>
      <c r="AB21" s="112"/>
      <c r="AC21" s="112"/>
      <c r="AD21" s="112"/>
    </row>
    <row r="22" spans="1:30" ht="24.75" customHeight="1">
      <c r="A22" s="1"/>
      <c r="B22" s="214"/>
      <c r="C22" s="215" t="s">
        <v>1083</v>
      </c>
      <c r="D22" s="23"/>
      <c r="E22" s="216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64"/>
      <c r="T22" s="27"/>
      <c r="U22" s="27"/>
      <c r="V22" s="27"/>
      <c r="W22" s="27"/>
      <c r="X22" s="181"/>
      <c r="Y22" s="112"/>
      <c r="Z22" s="112"/>
      <c r="AA22" s="170"/>
      <c r="AB22" s="112"/>
      <c r="AC22" s="112"/>
      <c r="AD22" s="112"/>
    </row>
    <row r="23" spans="1:30" ht="24.75" customHeight="1">
      <c r="A23" s="1"/>
      <c r="B23" s="21" t="s">
        <v>8</v>
      </c>
      <c r="C23" s="29" t="s">
        <v>1084</v>
      </c>
      <c r="D23" s="23">
        <v>1</v>
      </c>
      <c r="E23" s="216" t="s">
        <v>1085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64"/>
      <c r="T23" s="218">
        <v>0.2</v>
      </c>
      <c r="U23" s="218">
        <v>0.2</v>
      </c>
      <c r="V23" s="218">
        <v>0.2</v>
      </c>
      <c r="W23" s="218">
        <v>0.2</v>
      </c>
      <c r="X23" s="181"/>
      <c r="Y23" s="215" t="s">
        <v>1083</v>
      </c>
      <c r="Z23" s="112"/>
      <c r="AA23" s="170"/>
      <c r="AB23" s="112"/>
      <c r="AC23" s="112"/>
      <c r="AD23" s="112"/>
    </row>
    <row r="24" spans="1:30" ht="24.75" customHeight="1">
      <c r="A24" s="1"/>
      <c r="B24" s="21"/>
      <c r="C24" s="29"/>
      <c r="D24" s="23"/>
      <c r="E24" s="216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64"/>
      <c r="T24" s="65"/>
      <c r="U24" s="65"/>
      <c r="V24" s="65"/>
      <c r="W24" s="65"/>
      <c r="X24" s="181"/>
      <c r="Y24" s="112"/>
      <c r="Z24" s="112"/>
      <c r="AA24" s="170"/>
      <c r="AB24" s="112"/>
      <c r="AC24" s="112"/>
      <c r="AD24" s="112"/>
    </row>
    <row r="25" spans="1:30" ht="24.75" customHeight="1">
      <c r="A25" s="1"/>
      <c r="B25" s="219"/>
      <c r="C25" s="112"/>
      <c r="D25" s="3"/>
      <c r="E25" s="10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05"/>
      <c r="T25" s="111"/>
      <c r="U25" s="111"/>
      <c r="V25" s="111"/>
      <c r="W25" s="111"/>
      <c r="X25" s="110"/>
      <c r="Y25" s="112"/>
      <c r="Z25" s="112"/>
      <c r="AA25" s="170" t="str">
        <f>IF((D25)=0,"",(B21+1))</f>
        <v/>
      </c>
      <c r="AB25" s="112"/>
      <c r="AC25" s="112"/>
      <c r="AD25" s="112"/>
    </row>
    <row r="26" spans="1:30" ht="24.75" customHeight="1">
      <c r="A26" s="1"/>
      <c r="B26" s="219"/>
      <c r="C26" s="112"/>
      <c r="D26" s="3"/>
      <c r="E26" s="108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05"/>
      <c r="T26" s="111"/>
      <c r="U26" s="111"/>
      <c r="V26" s="111"/>
      <c r="W26" s="111"/>
      <c r="X26" s="110"/>
      <c r="Y26" s="112"/>
      <c r="Z26" s="112"/>
      <c r="AA26" s="170"/>
      <c r="AB26" s="112"/>
      <c r="AC26" s="112"/>
      <c r="AD26" s="112"/>
    </row>
    <row r="27" spans="1:30" ht="24.75" customHeight="1">
      <c r="A27" s="1"/>
      <c r="B27" s="219"/>
      <c r="C27" s="112"/>
      <c r="D27" s="3"/>
      <c r="E27" s="108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05"/>
      <c r="T27" s="111"/>
      <c r="U27" s="111"/>
      <c r="V27" s="111"/>
      <c r="W27" s="111"/>
      <c r="X27" s="110"/>
      <c r="Y27" s="112"/>
      <c r="Z27" s="112"/>
      <c r="AA27" s="170"/>
      <c r="AB27" s="112"/>
      <c r="AC27" s="112"/>
      <c r="AD27" s="112"/>
    </row>
    <row r="28" spans="1:30" ht="24.75" customHeight="1">
      <c r="A28" s="1"/>
      <c r="B28" s="219"/>
      <c r="C28" s="112"/>
      <c r="D28" s="3"/>
      <c r="E28" s="108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05"/>
      <c r="T28" s="111"/>
      <c r="U28" s="111"/>
      <c r="V28" s="111"/>
      <c r="W28" s="111"/>
      <c r="X28" s="110"/>
      <c r="Y28" s="112"/>
      <c r="Z28" s="112"/>
      <c r="AA28" s="170"/>
      <c r="AB28" s="112"/>
      <c r="AC28" s="112"/>
      <c r="AD28" s="112"/>
    </row>
    <row r="29" spans="1:30" ht="24.75" customHeight="1">
      <c r="A29" s="1"/>
      <c r="B29" s="219"/>
      <c r="C29" s="112"/>
      <c r="D29" s="3"/>
      <c r="E29" s="108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05"/>
      <c r="T29" s="111"/>
      <c r="U29" s="111"/>
      <c r="V29" s="111"/>
      <c r="W29" s="111"/>
      <c r="X29" s="110"/>
      <c r="Y29" s="112"/>
      <c r="Z29" s="112"/>
      <c r="AA29" s="170" t="str">
        <f>IF((D29)=0,"",(B25+1))</f>
        <v/>
      </c>
      <c r="AB29" s="112"/>
      <c r="AC29" s="112"/>
      <c r="AD29" s="112"/>
    </row>
    <row r="30" spans="1:30" ht="24.75" customHeight="1">
      <c r="A30" s="1"/>
      <c r="B30" s="219"/>
      <c r="C30" s="112"/>
      <c r="D30" s="3"/>
      <c r="E30" s="108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05"/>
      <c r="T30" s="111"/>
      <c r="U30" s="111"/>
      <c r="V30" s="111"/>
      <c r="W30" s="111"/>
      <c r="X30" s="110"/>
      <c r="Y30" s="112"/>
      <c r="Z30" s="112"/>
      <c r="AA30" s="170" t="str">
        <f>IF((D30)=0,"",(#REF!+1))</f>
        <v/>
      </c>
      <c r="AB30" s="112"/>
      <c r="AC30" s="112"/>
      <c r="AD30" s="112"/>
    </row>
    <row r="31" spans="1:30" ht="24.75" customHeight="1">
      <c r="A31" s="1"/>
      <c r="B31" s="219"/>
      <c r="C31" s="112"/>
      <c r="D31" s="3"/>
      <c r="E31" s="108"/>
      <c r="F31" s="220"/>
      <c r="G31" s="110"/>
      <c r="H31" s="112"/>
      <c r="I31" s="220"/>
      <c r="J31" s="110"/>
      <c r="K31" s="220"/>
      <c r="L31" s="220"/>
      <c r="M31" s="220"/>
      <c r="N31" s="110"/>
      <c r="O31" s="110"/>
      <c r="P31" s="110"/>
      <c r="Q31" s="110"/>
      <c r="R31" s="110"/>
      <c r="S31" s="105"/>
      <c r="T31" s="111"/>
      <c r="U31" s="111"/>
      <c r="V31" s="111"/>
      <c r="W31" s="111"/>
      <c r="X31" s="110"/>
      <c r="Y31" s="112"/>
      <c r="Z31" s="112"/>
      <c r="AA31" s="170" t="str">
        <f>IF((D31)=0,"",(B30+1))</f>
        <v/>
      </c>
      <c r="AB31" s="112"/>
      <c r="AC31" s="112"/>
      <c r="AD31" s="112"/>
    </row>
    <row r="32" spans="1:30" ht="24.75" customHeight="1">
      <c r="A32" s="1"/>
      <c r="B32" s="219"/>
      <c r="C32" s="112"/>
      <c r="D32" s="3"/>
      <c r="E32" s="108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05"/>
      <c r="T32" s="111"/>
      <c r="U32" s="111"/>
      <c r="V32" s="111"/>
      <c r="W32" s="111"/>
      <c r="X32" s="110"/>
      <c r="Y32" s="112"/>
      <c r="Z32" s="112"/>
      <c r="AA32" s="170"/>
      <c r="AB32" s="112"/>
      <c r="AC32" s="112"/>
      <c r="AD32" s="112"/>
    </row>
    <row r="33" spans="1:30" ht="24.75" customHeight="1">
      <c r="A33" s="1"/>
      <c r="B33" s="219"/>
      <c r="C33" s="112"/>
      <c r="D33" s="3"/>
      <c r="E33" s="108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05"/>
      <c r="T33" s="111"/>
      <c r="U33" s="111"/>
      <c r="V33" s="111"/>
      <c r="W33" s="111"/>
      <c r="X33" s="110"/>
      <c r="Y33" s="112"/>
      <c r="Z33" s="112"/>
      <c r="AA33" s="170"/>
      <c r="AB33" s="112"/>
      <c r="AC33" s="112"/>
      <c r="AD33" s="112"/>
    </row>
    <row r="34" spans="1:30" ht="24.75" customHeight="1">
      <c r="A34" s="1"/>
      <c r="B34" s="219"/>
      <c r="C34" s="112"/>
      <c r="D34" s="3"/>
      <c r="E34" s="108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05"/>
      <c r="T34" s="111"/>
      <c r="U34" s="111"/>
      <c r="V34" s="111"/>
      <c r="W34" s="111"/>
      <c r="X34" s="110"/>
      <c r="Y34" s="112"/>
      <c r="Z34" s="112"/>
      <c r="AA34" s="170"/>
      <c r="AB34" s="112"/>
      <c r="AC34" s="112"/>
      <c r="AD34" s="112"/>
    </row>
    <row r="35" spans="1:30" ht="24.75" customHeight="1">
      <c r="A35" s="1"/>
      <c r="B35" s="219"/>
      <c r="C35" s="112"/>
      <c r="D35" s="3"/>
      <c r="E35" s="108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5"/>
      <c r="T35" s="111"/>
      <c r="U35" s="111"/>
      <c r="V35" s="111"/>
      <c r="W35" s="111"/>
      <c r="X35" s="110"/>
      <c r="Y35" s="112"/>
      <c r="Z35" s="112"/>
      <c r="AA35" s="170" t="str">
        <f>IF((D35)=0,"",(#REF!+1))</f>
        <v/>
      </c>
      <c r="AB35" s="112"/>
      <c r="AC35" s="112"/>
      <c r="AD35" s="112"/>
    </row>
    <row r="36" spans="1:30" ht="24.75" customHeight="1">
      <c r="A36" s="1"/>
      <c r="B36" s="219"/>
      <c r="C36" s="112"/>
      <c r="D36" s="3"/>
      <c r="E36" s="108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05"/>
      <c r="T36" s="111"/>
      <c r="U36" s="111"/>
      <c r="V36" s="111"/>
      <c r="W36" s="111"/>
      <c r="X36" s="110"/>
      <c r="Y36" s="112"/>
      <c r="Z36" s="112"/>
      <c r="AA36" s="170" t="str">
        <f>IF((D36)=0,"",(B35+1))</f>
        <v/>
      </c>
      <c r="AB36" s="112"/>
      <c r="AC36" s="112"/>
      <c r="AD36" s="112"/>
    </row>
    <row r="37" spans="1:30" ht="24.75" customHeight="1">
      <c r="A37" s="1"/>
      <c r="B37" s="219"/>
      <c r="C37" s="112"/>
      <c r="D37" s="3"/>
      <c r="E37" s="108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5"/>
      <c r="T37" s="111"/>
      <c r="U37" s="111"/>
      <c r="V37" s="111"/>
      <c r="W37" s="111"/>
      <c r="X37" s="110"/>
      <c r="Y37" s="112"/>
      <c r="Z37" s="112"/>
      <c r="AA37" s="170" t="str">
        <f>IF((D37)=0,"",(#REF!+1))</f>
        <v/>
      </c>
      <c r="AB37" s="112"/>
      <c r="AC37" s="112"/>
      <c r="AD37" s="112"/>
    </row>
    <row r="38" spans="1:30" ht="24.75" customHeight="1">
      <c r="A38" s="1"/>
      <c r="B38" s="219"/>
      <c r="C38" s="112"/>
      <c r="D38" s="3"/>
      <c r="E38" s="108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05"/>
      <c r="T38" s="111"/>
      <c r="U38" s="111"/>
      <c r="V38" s="111"/>
      <c r="W38" s="111"/>
      <c r="X38" s="110"/>
      <c r="Y38" s="112"/>
      <c r="Z38" s="112"/>
      <c r="AA38" s="170" t="str">
        <f t="shared" ref="AA38:AA42" si="2">IF((D38)=0,"",(B37+1))</f>
        <v/>
      </c>
      <c r="AB38" s="112"/>
      <c r="AC38" s="112"/>
      <c r="AD38" s="112"/>
    </row>
    <row r="39" spans="1:30" ht="24.75" customHeight="1">
      <c r="A39" s="1"/>
      <c r="B39" s="219"/>
      <c r="C39" s="112"/>
      <c r="D39" s="3"/>
      <c r="E39" s="108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5"/>
      <c r="T39" s="111"/>
      <c r="U39" s="111"/>
      <c r="V39" s="111"/>
      <c r="W39" s="111"/>
      <c r="X39" s="110"/>
      <c r="Y39" s="112"/>
      <c r="Z39" s="112"/>
      <c r="AA39" s="170" t="str">
        <f t="shared" si="2"/>
        <v/>
      </c>
      <c r="AB39" s="112"/>
      <c r="AC39" s="112"/>
      <c r="AD39" s="112"/>
    </row>
    <row r="40" spans="1:30" ht="24.75" customHeight="1">
      <c r="A40" s="1"/>
      <c r="B40" s="219"/>
      <c r="C40" s="112"/>
      <c r="D40" s="3"/>
      <c r="E40" s="108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05"/>
      <c r="T40" s="111"/>
      <c r="U40" s="111"/>
      <c r="V40" s="111"/>
      <c r="W40" s="111"/>
      <c r="X40" s="110"/>
      <c r="Y40" s="112"/>
      <c r="Z40" s="112"/>
      <c r="AA40" s="170" t="str">
        <f t="shared" si="2"/>
        <v/>
      </c>
      <c r="AB40" s="112"/>
      <c r="AC40" s="112"/>
      <c r="AD40" s="112"/>
    </row>
    <row r="41" spans="1:30" ht="24.75" customHeight="1">
      <c r="A41" s="1"/>
      <c r="B41" s="219"/>
      <c r="C41" s="112"/>
      <c r="D41" s="3"/>
      <c r="E41" s="108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5"/>
      <c r="T41" s="111"/>
      <c r="U41" s="111"/>
      <c r="V41" s="111"/>
      <c r="W41" s="111"/>
      <c r="X41" s="110"/>
      <c r="Y41" s="112"/>
      <c r="Z41" s="112"/>
      <c r="AA41" s="170" t="str">
        <f t="shared" si="2"/>
        <v/>
      </c>
      <c r="AB41" s="112"/>
      <c r="AC41" s="112"/>
      <c r="AD41" s="112"/>
    </row>
    <row r="42" spans="1:30" ht="24.75" customHeight="1">
      <c r="A42" s="1"/>
      <c r="B42" s="219"/>
      <c r="C42" s="112"/>
      <c r="D42" s="3"/>
      <c r="E42" s="108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05"/>
      <c r="T42" s="111"/>
      <c r="U42" s="111"/>
      <c r="V42" s="111"/>
      <c r="W42" s="111"/>
      <c r="X42" s="110"/>
      <c r="Y42" s="112"/>
      <c r="Z42" s="112"/>
      <c r="AA42" s="170" t="str">
        <f t="shared" si="2"/>
        <v/>
      </c>
      <c r="AB42" s="112"/>
      <c r="AC42" s="112"/>
      <c r="AD42" s="112"/>
    </row>
    <row r="43" spans="1:30" ht="24.75" customHeight="1">
      <c r="A43" s="1"/>
      <c r="B43" s="219"/>
      <c r="C43" s="112"/>
      <c r="D43" s="3"/>
      <c r="E43" s="108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5"/>
      <c r="T43" s="111"/>
      <c r="U43" s="111"/>
      <c r="V43" s="111"/>
      <c r="W43" s="111"/>
      <c r="X43" s="110"/>
      <c r="Y43" s="112"/>
      <c r="Z43" s="112"/>
      <c r="AA43" s="170" t="str">
        <f>IF((D43)=0,"",(#REF!+1))</f>
        <v/>
      </c>
      <c r="AB43" s="112"/>
      <c r="AC43" s="112"/>
      <c r="AD43" s="112"/>
    </row>
    <row r="44" spans="1:30" ht="24.75" customHeight="1">
      <c r="A44" s="1"/>
      <c r="B44" s="219"/>
      <c r="C44" s="112"/>
      <c r="D44" s="3"/>
      <c r="E44" s="108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05"/>
      <c r="T44" s="111"/>
      <c r="U44" s="111"/>
      <c r="V44" s="111"/>
      <c r="W44" s="111"/>
      <c r="X44" s="110"/>
      <c r="Y44" s="112"/>
      <c r="Z44" s="112"/>
      <c r="AA44" s="170" t="str">
        <f t="shared" ref="AA44:AA45" si="3">IF((D44)=0,"",(B43+1))</f>
        <v/>
      </c>
      <c r="AB44" s="112"/>
      <c r="AC44" s="112"/>
      <c r="AD44" s="112"/>
    </row>
    <row r="45" spans="1:30" ht="24.75" customHeight="1">
      <c r="A45" s="1"/>
      <c r="B45" s="219"/>
      <c r="C45" s="112"/>
      <c r="D45" s="3"/>
      <c r="E45" s="108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05"/>
      <c r="T45" s="111"/>
      <c r="U45" s="111"/>
      <c r="V45" s="111"/>
      <c r="W45" s="111"/>
      <c r="X45" s="110"/>
      <c r="Y45" s="112"/>
      <c r="Z45" s="112"/>
      <c r="AA45" s="170" t="str">
        <f t="shared" si="3"/>
        <v/>
      </c>
      <c r="AB45" s="112"/>
      <c r="AC45" s="112"/>
      <c r="AD45" s="112"/>
    </row>
    <row r="46" spans="1:30" ht="24.75" customHeight="1">
      <c r="A46" s="1"/>
      <c r="B46" s="219"/>
      <c r="C46" s="112"/>
      <c r="D46" s="221"/>
      <c r="E46" s="222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05"/>
      <c r="T46" s="111"/>
      <c r="U46" s="111"/>
      <c r="V46" s="111"/>
      <c r="W46" s="111"/>
      <c r="X46" s="110"/>
      <c r="Y46" s="112"/>
      <c r="Z46" s="112"/>
      <c r="AA46" s="170" t="str">
        <f>IF((D46)=0,"",(#REF!+1))</f>
        <v/>
      </c>
      <c r="AB46" s="112"/>
      <c r="AC46" s="112"/>
      <c r="AD46" s="112"/>
    </row>
    <row r="47" spans="1:30" ht="24.75" customHeight="1">
      <c r="A47" s="1"/>
      <c r="B47" s="219"/>
      <c r="C47" s="112"/>
      <c r="D47" s="221"/>
      <c r="E47" s="222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05"/>
      <c r="T47" s="111"/>
      <c r="U47" s="111"/>
      <c r="V47" s="111"/>
      <c r="W47" s="111"/>
      <c r="X47" s="110"/>
      <c r="Y47" s="112"/>
      <c r="Z47" s="112"/>
      <c r="AA47" s="170" t="str">
        <f t="shared" ref="AA47:AA54" si="4">IF((D47)=0,"",(B46+1))</f>
        <v/>
      </c>
      <c r="AB47" s="112"/>
      <c r="AC47" s="112"/>
      <c r="AD47" s="112"/>
    </row>
    <row r="48" spans="1:30" ht="24.75" customHeight="1">
      <c r="A48" s="1"/>
      <c r="B48" s="219"/>
      <c r="C48" s="112"/>
      <c r="D48" s="221"/>
      <c r="E48" s="222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05"/>
      <c r="T48" s="111"/>
      <c r="U48" s="111"/>
      <c r="V48" s="111"/>
      <c r="W48" s="111"/>
      <c r="X48" s="110"/>
      <c r="Y48" s="112"/>
      <c r="Z48" s="112"/>
      <c r="AA48" s="170" t="str">
        <f t="shared" si="4"/>
        <v/>
      </c>
      <c r="AB48" s="112"/>
      <c r="AC48" s="112"/>
      <c r="AD48" s="112"/>
    </row>
    <row r="49" spans="1:30" ht="24.75" customHeight="1">
      <c r="A49" s="1"/>
      <c r="B49" s="219"/>
      <c r="C49" s="112"/>
      <c r="D49" s="221"/>
      <c r="E49" s="222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05"/>
      <c r="T49" s="111"/>
      <c r="U49" s="111"/>
      <c r="V49" s="111"/>
      <c r="W49" s="111"/>
      <c r="X49" s="110"/>
      <c r="Y49" s="112"/>
      <c r="Z49" s="112"/>
      <c r="AA49" s="170" t="str">
        <f t="shared" si="4"/>
        <v/>
      </c>
      <c r="AB49" s="112"/>
      <c r="AC49" s="112"/>
      <c r="AD49" s="112"/>
    </row>
    <row r="50" spans="1:30" ht="24.75" customHeight="1">
      <c r="A50" s="1"/>
      <c r="B50" s="219"/>
      <c r="C50" s="112"/>
      <c r="D50" s="221"/>
      <c r="E50" s="222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05"/>
      <c r="T50" s="111"/>
      <c r="U50" s="111"/>
      <c r="V50" s="111"/>
      <c r="W50" s="111"/>
      <c r="X50" s="110"/>
      <c r="Y50" s="112"/>
      <c r="Z50" s="112"/>
      <c r="AA50" s="170" t="str">
        <f t="shared" si="4"/>
        <v/>
      </c>
      <c r="AB50" s="112"/>
      <c r="AC50" s="112"/>
      <c r="AD50" s="112"/>
    </row>
    <row r="51" spans="1:30" ht="24.75" customHeight="1">
      <c r="A51" s="1"/>
      <c r="B51" s="219"/>
      <c r="C51" s="112"/>
      <c r="D51" s="221"/>
      <c r="E51" s="222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05"/>
      <c r="T51" s="111"/>
      <c r="U51" s="111"/>
      <c r="V51" s="111"/>
      <c r="W51" s="111"/>
      <c r="X51" s="110"/>
      <c r="Y51" s="112"/>
      <c r="Z51" s="112"/>
      <c r="AA51" s="170" t="str">
        <f t="shared" si="4"/>
        <v/>
      </c>
      <c r="AB51" s="112"/>
      <c r="AC51" s="112"/>
      <c r="AD51" s="112"/>
    </row>
    <row r="52" spans="1:30" ht="24.75" customHeight="1">
      <c r="A52" s="1"/>
      <c r="B52" s="219"/>
      <c r="C52" s="112"/>
      <c r="D52" s="221"/>
      <c r="E52" s="222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05"/>
      <c r="T52" s="111"/>
      <c r="U52" s="111"/>
      <c r="V52" s="111"/>
      <c r="W52" s="111"/>
      <c r="X52" s="110"/>
      <c r="Y52" s="112"/>
      <c r="Z52" s="112"/>
      <c r="AA52" s="170" t="str">
        <f t="shared" si="4"/>
        <v/>
      </c>
      <c r="AB52" s="112"/>
      <c r="AC52" s="112"/>
      <c r="AD52" s="112"/>
    </row>
    <row r="53" spans="1:30" ht="24.75" customHeight="1">
      <c r="A53" s="1"/>
      <c r="B53" s="219"/>
      <c r="C53" s="112"/>
      <c r="D53" s="221"/>
      <c r="E53" s="222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05"/>
      <c r="T53" s="111"/>
      <c r="U53" s="111"/>
      <c r="V53" s="111"/>
      <c r="W53" s="111"/>
      <c r="X53" s="110"/>
      <c r="Y53" s="112"/>
      <c r="Z53" s="112"/>
      <c r="AA53" s="170" t="str">
        <f t="shared" si="4"/>
        <v/>
      </c>
      <c r="AB53" s="112"/>
      <c r="AC53" s="112"/>
      <c r="AD53" s="112"/>
    </row>
    <row r="54" spans="1:30" ht="24.75" customHeight="1">
      <c r="A54" s="1"/>
      <c r="B54" s="219"/>
      <c r="C54" s="112"/>
      <c r="D54" s="221"/>
      <c r="E54" s="222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05"/>
      <c r="T54" s="111"/>
      <c r="U54" s="111"/>
      <c r="V54" s="111"/>
      <c r="W54" s="111"/>
      <c r="X54" s="110"/>
      <c r="Y54" s="112"/>
      <c r="Z54" s="112"/>
      <c r="AA54" s="170" t="str">
        <f t="shared" si="4"/>
        <v/>
      </c>
      <c r="AB54" s="112"/>
      <c r="AC54" s="112"/>
      <c r="AD54" s="112"/>
    </row>
    <row r="55" spans="1:30" ht="21.75" customHeight="1">
      <c r="A55" s="1"/>
      <c r="B55" s="219"/>
      <c r="C55" s="112"/>
      <c r="D55" s="221"/>
      <c r="E55" s="222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05"/>
      <c r="T55" s="111"/>
      <c r="U55" s="111"/>
      <c r="V55" s="111"/>
      <c r="W55" s="111"/>
      <c r="X55" s="110"/>
      <c r="Y55" s="1"/>
      <c r="Z55" s="1"/>
      <c r="AA55" s="170"/>
      <c r="AB55" s="1"/>
      <c r="AC55" s="1"/>
      <c r="AD55" s="1"/>
    </row>
    <row r="56" spans="1:30" ht="21.75" customHeight="1">
      <c r="A56" s="1"/>
      <c r="B56" s="219"/>
      <c r="C56" s="112"/>
      <c r="D56" s="221"/>
      <c r="E56" s="222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05"/>
      <c r="T56" s="111"/>
      <c r="U56" s="111"/>
      <c r="V56" s="111"/>
      <c r="W56" s="111"/>
      <c r="X56" s="110"/>
      <c r="Y56" s="1"/>
      <c r="Z56" s="1"/>
      <c r="AA56" s="170"/>
      <c r="AB56" s="1"/>
      <c r="AC56" s="1"/>
      <c r="AD56" s="1"/>
    </row>
    <row r="57" spans="1:30" ht="21.75" customHeight="1">
      <c r="A57" s="1"/>
      <c r="B57" s="219"/>
      <c r="C57" s="112"/>
      <c r="D57" s="221"/>
      <c r="E57" s="222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05"/>
      <c r="T57" s="111"/>
      <c r="U57" s="111"/>
      <c r="V57" s="111"/>
      <c r="W57" s="111"/>
      <c r="X57" s="110"/>
      <c r="Y57" s="1"/>
      <c r="Z57" s="1"/>
      <c r="AA57" s="170"/>
      <c r="AB57" s="1"/>
      <c r="AC57" s="1"/>
      <c r="AD57" s="1"/>
    </row>
    <row r="58" spans="1:30" ht="21.75" customHeight="1">
      <c r="A58" s="1"/>
      <c r="B58" s="219"/>
      <c r="C58" s="123"/>
      <c r="D58" s="3"/>
      <c r="E58" s="222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05"/>
      <c r="T58" s="111"/>
      <c r="U58" s="111"/>
      <c r="V58" s="111"/>
      <c r="W58" s="111"/>
      <c r="X58" s="110"/>
      <c r="Y58" s="1"/>
      <c r="Z58" s="1"/>
      <c r="AA58" s="170" t="str">
        <f>IF((D58)=0,"",(B51+1))</f>
        <v/>
      </c>
      <c r="AB58" s="1"/>
      <c r="AC58" s="1"/>
      <c r="AD58" s="1"/>
    </row>
    <row r="59" spans="1:30" ht="21.75" customHeight="1">
      <c r="A59" s="1"/>
      <c r="B59" s="219"/>
      <c r="C59" s="123"/>
      <c r="D59" s="3"/>
      <c r="E59" s="222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05"/>
      <c r="T59" s="111"/>
      <c r="U59" s="111"/>
      <c r="V59" s="111"/>
      <c r="W59" s="111"/>
      <c r="X59" s="110"/>
      <c r="Y59" s="1"/>
      <c r="Z59" s="1"/>
      <c r="AA59" s="170" t="str">
        <f>IF((D59)=0,"",(B58+1))</f>
        <v/>
      </c>
      <c r="AB59" s="1"/>
      <c r="AC59" s="1"/>
      <c r="AD59" s="1"/>
    </row>
    <row r="60" spans="1:30" ht="21.75" customHeight="1">
      <c r="A60" s="1"/>
      <c r="B60" s="219"/>
      <c r="C60" s="123"/>
      <c r="D60" s="3"/>
      <c r="E60" s="222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05"/>
      <c r="T60" s="111"/>
      <c r="U60" s="111"/>
      <c r="V60" s="111"/>
      <c r="W60" s="111"/>
      <c r="X60" s="110"/>
      <c r="Y60" s="1"/>
      <c r="Z60" s="1"/>
      <c r="AA60" s="170"/>
      <c r="AB60" s="1"/>
      <c r="AC60" s="1"/>
      <c r="AD60" s="1"/>
    </row>
    <row r="61" spans="1:30" ht="21.75" customHeight="1">
      <c r="A61" s="1"/>
      <c r="B61" s="219"/>
      <c r="C61" s="123"/>
      <c r="D61" s="3"/>
      <c r="E61" s="222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05"/>
      <c r="T61" s="111"/>
      <c r="U61" s="111"/>
      <c r="V61" s="111"/>
      <c r="W61" s="111"/>
      <c r="X61" s="110"/>
      <c r="Y61" s="1"/>
      <c r="Z61" s="1"/>
      <c r="AA61" s="170"/>
      <c r="AB61" s="1"/>
      <c r="AC61" s="1"/>
      <c r="AD61" s="1"/>
    </row>
    <row r="62" spans="1:30" ht="21.75" customHeight="1">
      <c r="A62" s="1"/>
      <c r="B62" s="219"/>
      <c r="C62" s="123"/>
      <c r="D62" s="3"/>
      <c r="E62" s="222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05"/>
      <c r="T62" s="111"/>
      <c r="U62" s="111"/>
      <c r="V62" s="111"/>
      <c r="W62" s="111"/>
      <c r="X62" s="110"/>
      <c r="Y62" s="1"/>
      <c r="Z62" s="1"/>
      <c r="AA62" s="170"/>
      <c r="AB62" s="1"/>
      <c r="AC62" s="1"/>
      <c r="AD62" s="1"/>
    </row>
    <row r="63" spans="1:30" ht="21.75" customHeight="1">
      <c r="A63" s="1"/>
      <c r="B63" s="219"/>
      <c r="C63" s="123"/>
      <c r="D63" s="3"/>
      <c r="E63" s="222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05"/>
      <c r="T63" s="111"/>
      <c r="U63" s="111"/>
      <c r="V63" s="111"/>
      <c r="W63" s="111"/>
      <c r="X63" s="110"/>
      <c r="Y63" s="1"/>
      <c r="Z63" s="1"/>
      <c r="AA63" s="170"/>
      <c r="AB63" s="1"/>
      <c r="AC63" s="1"/>
      <c r="AD63" s="1"/>
    </row>
    <row r="64" spans="1:30" ht="21.75" customHeight="1">
      <c r="A64" s="1"/>
      <c r="B64" s="219"/>
      <c r="C64" s="123"/>
      <c r="D64" s="3"/>
      <c r="E64" s="222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05"/>
      <c r="T64" s="111"/>
      <c r="U64" s="111"/>
      <c r="V64" s="111"/>
      <c r="W64" s="111"/>
      <c r="X64" s="110"/>
      <c r="Y64" s="1"/>
      <c r="Z64" s="1"/>
      <c r="AA64" s="170"/>
      <c r="AB64" s="1"/>
      <c r="AC64" s="1"/>
      <c r="AD64" s="1"/>
    </row>
    <row r="65" spans="1:30" ht="21.75" customHeight="1">
      <c r="A65" s="1"/>
      <c r="B65" s="219"/>
      <c r="C65" s="123"/>
      <c r="D65" s="3"/>
      <c r="E65" s="222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05"/>
      <c r="T65" s="111"/>
      <c r="U65" s="111"/>
      <c r="V65" s="111"/>
      <c r="W65" s="111"/>
      <c r="X65" s="110"/>
      <c r="Y65" s="1"/>
      <c r="Z65" s="1"/>
      <c r="AA65" s="170"/>
      <c r="AB65" s="1"/>
      <c r="AC65" s="1"/>
      <c r="AD65" s="1"/>
    </row>
    <row r="66" spans="1:30" ht="21.75" customHeight="1">
      <c r="A66" s="1"/>
      <c r="B66" s="219"/>
      <c r="C66" s="123"/>
      <c r="D66" s="3"/>
      <c r="E66" s="222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05"/>
      <c r="T66" s="111"/>
      <c r="U66" s="111"/>
      <c r="V66" s="111"/>
      <c r="W66" s="111"/>
      <c r="X66" s="110"/>
      <c r="Y66" s="1"/>
      <c r="Z66" s="1"/>
      <c r="AA66" s="170"/>
      <c r="AB66" s="1"/>
      <c r="AC66" s="1"/>
      <c r="AD66" s="1"/>
    </row>
    <row r="67" spans="1:30" ht="21.75" customHeight="1">
      <c r="A67" s="1"/>
      <c r="B67" s="219"/>
      <c r="C67" s="123"/>
      <c r="D67" s="3"/>
      <c r="E67" s="222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05"/>
      <c r="T67" s="111"/>
      <c r="U67" s="111"/>
      <c r="V67" s="111"/>
      <c r="W67" s="111"/>
      <c r="X67" s="110"/>
      <c r="Y67" s="1"/>
      <c r="Z67" s="1"/>
      <c r="AA67" s="170"/>
      <c r="AB67" s="1"/>
      <c r="AC67" s="1"/>
      <c r="AD67" s="1"/>
    </row>
    <row r="68" spans="1:30" ht="21.75" customHeight="1">
      <c r="A68" s="1"/>
      <c r="B68" s="219"/>
      <c r="C68" s="123"/>
      <c r="D68" s="3"/>
      <c r="E68" s="222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05"/>
      <c r="T68" s="111"/>
      <c r="U68" s="111"/>
      <c r="V68" s="111"/>
      <c r="W68" s="111"/>
      <c r="X68" s="110"/>
      <c r="Y68" s="1"/>
      <c r="Z68" s="1"/>
      <c r="AA68" s="170"/>
      <c r="AB68" s="1"/>
      <c r="AC68" s="1"/>
      <c r="AD68" s="1"/>
    </row>
    <row r="69" spans="1:30" ht="21.75" customHeight="1">
      <c r="A69" s="1"/>
      <c r="B69" s="219"/>
      <c r="C69" s="123"/>
      <c r="D69" s="3"/>
      <c r="E69" s="222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05"/>
      <c r="T69" s="111"/>
      <c r="U69" s="111"/>
      <c r="V69" s="111"/>
      <c r="W69" s="111"/>
      <c r="X69" s="110"/>
      <c r="Y69" s="1"/>
      <c r="Z69" s="1"/>
      <c r="AA69" s="170"/>
      <c r="AB69" s="1"/>
      <c r="AC69" s="1"/>
      <c r="AD69" s="1"/>
    </row>
    <row r="70" spans="1:30" ht="21.75" customHeight="1">
      <c r="A70" s="1"/>
      <c r="B70" s="219"/>
      <c r="C70" s="123"/>
      <c r="D70" s="3"/>
      <c r="E70" s="222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05"/>
      <c r="T70" s="111"/>
      <c r="U70" s="111"/>
      <c r="V70" s="111"/>
      <c r="W70" s="111"/>
      <c r="X70" s="110"/>
      <c r="Y70" s="1"/>
      <c r="Z70" s="1"/>
      <c r="AA70" s="170"/>
      <c r="AB70" s="1"/>
      <c r="AC70" s="1"/>
      <c r="AD70" s="1"/>
    </row>
    <row r="71" spans="1:30" ht="21.75" customHeight="1">
      <c r="A71" s="1"/>
      <c r="B71" s="219"/>
      <c r="C71" s="123"/>
      <c r="D71" s="3"/>
      <c r="E71" s="222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05"/>
      <c r="T71" s="111"/>
      <c r="U71" s="111"/>
      <c r="V71" s="111"/>
      <c r="W71" s="111"/>
      <c r="X71" s="110"/>
      <c r="Y71" s="1"/>
      <c r="Z71" s="1"/>
      <c r="AA71" s="170"/>
      <c r="AB71" s="1"/>
      <c r="AC71" s="1"/>
      <c r="AD71" s="1"/>
    </row>
    <row r="72" spans="1:30" ht="21.75" customHeight="1">
      <c r="A72" s="1"/>
      <c r="B72" s="219"/>
      <c r="C72" s="123"/>
      <c r="D72" s="3"/>
      <c r="E72" s="222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05"/>
      <c r="T72" s="111"/>
      <c r="U72" s="111"/>
      <c r="V72" s="111"/>
      <c r="W72" s="111"/>
      <c r="X72" s="110"/>
      <c r="Y72" s="1"/>
      <c r="Z72" s="1"/>
      <c r="AA72" s="170"/>
      <c r="AB72" s="1"/>
      <c r="AC72" s="1"/>
      <c r="AD72" s="1"/>
    </row>
    <row r="73" spans="1:30" ht="21.75" customHeight="1">
      <c r="A73" s="1"/>
      <c r="B73" s="219"/>
      <c r="C73" s="123"/>
      <c r="D73" s="3"/>
      <c r="E73" s="222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05"/>
      <c r="T73" s="111"/>
      <c r="U73" s="111"/>
      <c r="V73" s="111"/>
      <c r="W73" s="111"/>
      <c r="X73" s="110"/>
      <c r="Y73" s="1"/>
      <c r="Z73" s="1"/>
      <c r="AA73" s="170"/>
      <c r="AB73" s="1"/>
      <c r="AC73" s="1"/>
      <c r="AD73" s="1"/>
    </row>
    <row r="74" spans="1:30" ht="21.75" customHeight="1">
      <c r="A74" s="1"/>
      <c r="B74" s="219"/>
      <c r="C74" s="123"/>
      <c r="D74" s="3"/>
      <c r="E74" s="222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05"/>
      <c r="T74" s="111"/>
      <c r="U74" s="111"/>
      <c r="V74" s="111"/>
      <c r="W74" s="111"/>
      <c r="X74" s="110"/>
      <c r="Y74" s="1"/>
      <c r="Z74" s="1"/>
      <c r="AA74" s="170"/>
      <c r="AB74" s="1"/>
      <c r="AC74" s="1"/>
      <c r="AD74" s="1"/>
    </row>
    <row r="75" spans="1:30" ht="21.75" customHeight="1">
      <c r="A75" s="1"/>
      <c r="B75" s="219"/>
      <c r="C75" s="123"/>
      <c r="D75" s="3"/>
      <c r="E75" s="222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05"/>
      <c r="T75" s="111"/>
      <c r="U75" s="111"/>
      <c r="V75" s="111"/>
      <c r="W75" s="111"/>
      <c r="X75" s="110"/>
      <c r="Y75" s="1"/>
      <c r="Z75" s="1"/>
      <c r="AA75" s="170"/>
      <c r="AB75" s="1"/>
      <c r="AC75" s="1"/>
      <c r="AD75" s="1"/>
    </row>
    <row r="76" spans="1:30" ht="21.75" customHeight="1">
      <c r="A76" s="1"/>
      <c r="B76" s="219"/>
      <c r="C76" s="123"/>
      <c r="D76" s="3"/>
      <c r="E76" s="222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05"/>
      <c r="T76" s="111"/>
      <c r="U76" s="111"/>
      <c r="V76" s="111"/>
      <c r="W76" s="111"/>
      <c r="X76" s="110"/>
      <c r="Y76" s="1"/>
      <c r="Z76" s="1"/>
      <c r="AA76" s="170"/>
      <c r="AB76" s="1"/>
      <c r="AC76" s="1"/>
      <c r="AD76" s="1"/>
    </row>
    <row r="77" spans="1:30" ht="21.75" customHeight="1">
      <c r="A77" s="1"/>
      <c r="B77" s="219"/>
      <c r="C77" s="123"/>
      <c r="D77" s="3"/>
      <c r="E77" s="222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05"/>
      <c r="T77" s="111"/>
      <c r="U77" s="111"/>
      <c r="V77" s="111"/>
      <c r="W77" s="111"/>
      <c r="X77" s="110"/>
      <c r="Y77" s="1"/>
      <c r="Z77" s="1"/>
      <c r="AA77" s="170"/>
      <c r="AB77" s="1"/>
      <c r="AC77" s="1"/>
      <c r="AD77" s="1"/>
    </row>
    <row r="78" spans="1:30" ht="21.75" customHeight="1">
      <c r="A78" s="1"/>
      <c r="B78" s="219"/>
      <c r="C78" s="123"/>
      <c r="D78" s="3"/>
      <c r="E78" s="222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05"/>
      <c r="T78" s="111"/>
      <c r="U78" s="111"/>
      <c r="V78" s="111"/>
      <c r="W78" s="111"/>
      <c r="X78" s="110"/>
      <c r="Y78" s="1"/>
      <c r="Z78" s="1"/>
      <c r="AA78" s="170"/>
      <c r="AB78" s="1"/>
      <c r="AC78" s="1"/>
      <c r="AD78" s="1"/>
    </row>
    <row r="79" spans="1:30" ht="21.75" customHeight="1">
      <c r="A79" s="1"/>
      <c r="B79" s="219"/>
      <c r="C79" s="123"/>
      <c r="D79" s="3"/>
      <c r="E79" s="222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05"/>
      <c r="T79" s="111"/>
      <c r="U79" s="111"/>
      <c r="V79" s="111"/>
      <c r="W79" s="111"/>
      <c r="X79" s="110"/>
      <c r="Y79" s="1"/>
      <c r="Z79" s="1"/>
      <c r="AA79" s="170"/>
      <c r="AB79" s="1"/>
      <c r="AC79" s="1"/>
      <c r="AD79" s="1"/>
    </row>
    <row r="80" spans="1:30" ht="21.75" customHeight="1">
      <c r="A80" s="1"/>
      <c r="B80" s="219"/>
      <c r="C80" s="123"/>
      <c r="D80" s="3"/>
      <c r="E80" s="222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05"/>
      <c r="T80" s="111"/>
      <c r="U80" s="111"/>
      <c r="V80" s="111"/>
      <c r="W80" s="111"/>
      <c r="X80" s="110"/>
      <c r="Y80" s="1"/>
      <c r="Z80" s="1"/>
      <c r="AA80" s="170"/>
      <c r="AB80" s="1"/>
      <c r="AC80" s="1"/>
      <c r="AD80" s="1"/>
    </row>
    <row r="81" spans="1:30" ht="21.75" customHeight="1">
      <c r="A81" s="1"/>
      <c r="B81" s="219"/>
      <c r="C81" s="123"/>
      <c r="D81" s="3"/>
      <c r="E81" s="222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05"/>
      <c r="T81" s="111"/>
      <c r="U81" s="111"/>
      <c r="V81" s="111"/>
      <c r="W81" s="111"/>
      <c r="X81" s="110"/>
      <c r="Y81" s="1"/>
      <c r="Z81" s="1"/>
      <c r="AA81" s="170"/>
      <c r="AB81" s="1"/>
      <c r="AC81" s="1"/>
      <c r="AD81" s="1"/>
    </row>
    <row r="82" spans="1:30" ht="21.75" customHeight="1">
      <c r="A82" s="1"/>
      <c r="B82" s="219"/>
      <c r="C82" s="123"/>
      <c r="D82" s="3"/>
      <c r="E82" s="222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05"/>
      <c r="T82" s="111"/>
      <c r="U82" s="111"/>
      <c r="V82" s="111"/>
      <c r="W82" s="111"/>
      <c r="X82" s="110"/>
      <c r="Y82" s="1"/>
      <c r="Z82" s="1"/>
      <c r="AA82" s="170"/>
      <c r="AB82" s="1"/>
      <c r="AC82" s="1"/>
      <c r="AD82" s="1"/>
    </row>
    <row r="83" spans="1:30" ht="21.75" customHeight="1">
      <c r="A83" s="1"/>
      <c r="B83" s="219"/>
      <c r="C83" s="123"/>
      <c r="D83" s="3"/>
      <c r="E83" s="222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05"/>
      <c r="T83" s="111"/>
      <c r="U83" s="111"/>
      <c r="V83" s="111"/>
      <c r="W83" s="111"/>
      <c r="X83" s="110"/>
      <c r="Y83" s="1"/>
      <c r="Z83" s="1"/>
      <c r="AA83" s="170"/>
      <c r="AB83" s="1"/>
      <c r="AC83" s="1"/>
      <c r="AD83" s="1"/>
    </row>
    <row r="84" spans="1:30" ht="21.75" customHeight="1">
      <c r="A84" s="1"/>
      <c r="B84" s="219"/>
      <c r="C84" s="123"/>
      <c r="D84" s="3"/>
      <c r="E84" s="222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05"/>
      <c r="T84" s="111"/>
      <c r="U84" s="111"/>
      <c r="V84" s="111"/>
      <c r="W84" s="111"/>
      <c r="X84" s="110"/>
      <c r="Y84" s="1"/>
      <c r="Z84" s="1"/>
      <c r="AA84" s="170"/>
      <c r="AB84" s="1"/>
      <c r="AC84" s="1"/>
      <c r="AD84" s="1"/>
    </row>
    <row r="85" spans="1:30" ht="21.75" customHeight="1">
      <c r="A85" s="1"/>
      <c r="B85" s="219"/>
      <c r="C85" s="123"/>
      <c r="D85" s="3"/>
      <c r="E85" s="222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05"/>
      <c r="T85" s="111"/>
      <c r="U85" s="111"/>
      <c r="V85" s="111"/>
      <c r="W85" s="111"/>
      <c r="X85" s="110"/>
      <c r="Y85" s="1"/>
      <c r="Z85" s="1"/>
      <c r="AA85" s="170"/>
      <c r="AB85" s="1"/>
      <c r="AC85" s="1"/>
      <c r="AD85" s="1"/>
    </row>
    <row r="86" spans="1:30" ht="21.75" customHeight="1">
      <c r="A86" s="1"/>
      <c r="B86" s="219"/>
      <c r="C86" s="123"/>
      <c r="D86" s="3"/>
      <c r="E86" s="222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05"/>
      <c r="T86" s="111"/>
      <c r="U86" s="111"/>
      <c r="V86" s="111"/>
      <c r="W86" s="111"/>
      <c r="X86" s="110"/>
      <c r="Y86" s="1"/>
      <c r="Z86" s="1"/>
      <c r="AA86" s="170"/>
      <c r="AB86" s="1"/>
      <c r="AC86" s="1"/>
      <c r="AD86" s="1"/>
    </row>
    <row r="87" spans="1:30" ht="21.75" customHeight="1">
      <c r="A87" s="1"/>
      <c r="B87" s="219"/>
      <c r="C87" s="123"/>
      <c r="D87" s="3"/>
      <c r="E87" s="222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05"/>
      <c r="T87" s="111"/>
      <c r="U87" s="111"/>
      <c r="V87" s="111"/>
      <c r="W87" s="111"/>
      <c r="X87" s="110"/>
      <c r="Y87" s="1"/>
      <c r="Z87" s="1"/>
      <c r="AA87" s="170"/>
      <c r="AB87" s="1"/>
      <c r="AC87" s="1"/>
      <c r="AD87" s="1"/>
    </row>
    <row r="88" spans="1:30" ht="21.75" customHeight="1">
      <c r="A88" s="1"/>
      <c r="B88" s="219"/>
      <c r="C88" s="123"/>
      <c r="D88" s="3"/>
      <c r="E88" s="222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05"/>
      <c r="T88" s="111"/>
      <c r="U88" s="111"/>
      <c r="V88" s="111"/>
      <c r="W88" s="111"/>
      <c r="X88" s="110"/>
      <c r="Y88" s="1"/>
      <c r="Z88" s="1"/>
      <c r="AA88" s="170"/>
      <c r="AB88" s="1"/>
      <c r="AC88" s="1"/>
      <c r="AD88" s="1"/>
    </row>
    <row r="89" spans="1:30" ht="21.75" customHeight="1">
      <c r="A89" s="1"/>
      <c r="B89" s="219"/>
      <c r="C89" s="123"/>
      <c r="D89" s="3"/>
      <c r="E89" s="222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05"/>
      <c r="T89" s="111"/>
      <c r="U89" s="111"/>
      <c r="V89" s="111"/>
      <c r="W89" s="111"/>
      <c r="X89" s="110"/>
      <c r="Y89" s="1"/>
      <c r="Z89" s="1"/>
      <c r="AA89" s="170"/>
      <c r="AB89" s="1"/>
      <c r="AC89" s="1"/>
      <c r="AD89" s="1"/>
    </row>
    <row r="90" spans="1:30" ht="21.75" customHeight="1">
      <c r="A90" s="1"/>
      <c r="B90" s="219"/>
      <c r="C90" s="123"/>
      <c r="D90" s="3"/>
      <c r="E90" s="222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05"/>
      <c r="T90" s="111"/>
      <c r="U90" s="111"/>
      <c r="V90" s="111"/>
      <c r="W90" s="111"/>
      <c r="X90" s="110"/>
      <c r="Y90" s="1"/>
      <c r="Z90" s="1"/>
      <c r="AA90" s="170"/>
      <c r="AB90" s="1"/>
      <c r="AC90" s="1"/>
      <c r="AD90" s="1"/>
    </row>
    <row r="91" spans="1:30" ht="21.75" customHeight="1">
      <c r="A91" s="1"/>
      <c r="B91" s="219"/>
      <c r="C91" s="123"/>
      <c r="D91" s="3"/>
      <c r="E91" s="222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05"/>
      <c r="T91" s="111"/>
      <c r="U91" s="111"/>
      <c r="V91" s="111"/>
      <c r="W91" s="111"/>
      <c r="X91" s="110"/>
      <c r="Y91" s="1"/>
      <c r="Z91" s="1"/>
      <c r="AA91" s="170"/>
      <c r="AB91" s="1"/>
      <c r="AC91" s="1"/>
      <c r="AD91" s="1"/>
    </row>
    <row r="92" spans="1:30" ht="21.75" customHeight="1">
      <c r="A92" s="1"/>
      <c r="B92" s="219"/>
      <c r="C92" s="123"/>
      <c r="D92" s="3"/>
      <c r="E92" s="222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05"/>
      <c r="T92" s="111"/>
      <c r="U92" s="111"/>
      <c r="V92" s="111"/>
      <c r="W92" s="111"/>
      <c r="X92" s="110"/>
      <c r="Y92" s="1"/>
      <c r="Z92" s="1"/>
      <c r="AA92" s="170"/>
      <c r="AB92" s="1"/>
      <c r="AC92" s="1"/>
      <c r="AD92" s="1"/>
    </row>
    <row r="93" spans="1:30" ht="21.75" customHeight="1">
      <c r="A93" s="1"/>
      <c r="B93" s="219"/>
      <c r="C93" s="123"/>
      <c r="D93" s="3"/>
      <c r="E93" s="222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05"/>
      <c r="T93" s="111"/>
      <c r="U93" s="111"/>
      <c r="V93" s="111"/>
      <c r="W93" s="111"/>
      <c r="X93" s="110"/>
      <c r="Y93" s="1"/>
      <c r="Z93" s="1"/>
      <c r="AA93" s="170"/>
      <c r="AB93" s="1"/>
      <c r="AC93" s="1"/>
      <c r="AD93" s="1"/>
    </row>
    <row r="94" spans="1:30" ht="21.75" customHeight="1">
      <c r="A94" s="1"/>
      <c r="B94" s="219"/>
      <c r="C94" s="123"/>
      <c r="D94" s="3"/>
      <c r="E94" s="222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05"/>
      <c r="T94" s="111"/>
      <c r="U94" s="111"/>
      <c r="V94" s="111"/>
      <c r="W94" s="111"/>
      <c r="X94" s="110"/>
      <c r="Y94" s="1"/>
      <c r="Z94" s="1"/>
      <c r="AA94" s="170"/>
      <c r="AB94" s="1"/>
      <c r="AC94" s="1"/>
      <c r="AD94" s="1"/>
    </row>
    <row r="95" spans="1:30" ht="21.75" customHeight="1">
      <c r="A95" s="1"/>
      <c r="B95" s="219"/>
      <c r="C95" s="123"/>
      <c r="D95" s="3"/>
      <c r="E95" s="222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05"/>
      <c r="T95" s="111"/>
      <c r="U95" s="111"/>
      <c r="V95" s="111"/>
      <c r="W95" s="111"/>
      <c r="X95" s="110"/>
      <c r="Y95" s="1"/>
      <c r="Z95" s="1"/>
      <c r="AA95" s="170"/>
      <c r="AB95" s="1"/>
      <c r="AC95" s="1"/>
      <c r="AD95" s="1"/>
    </row>
    <row r="96" spans="1:30" ht="21.75" customHeight="1">
      <c r="A96" s="1"/>
      <c r="B96" s="219"/>
      <c r="C96" s="123"/>
      <c r="D96" s="3"/>
      <c r="E96" s="222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05"/>
      <c r="T96" s="111"/>
      <c r="U96" s="111"/>
      <c r="V96" s="111"/>
      <c r="W96" s="111"/>
      <c r="X96" s="110"/>
      <c r="Y96" s="1"/>
      <c r="Z96" s="1"/>
      <c r="AA96" s="170"/>
      <c r="AB96" s="1"/>
      <c r="AC96" s="1"/>
      <c r="AD96" s="1"/>
    </row>
    <row r="97" spans="1:30" ht="21.75" customHeight="1">
      <c r="A97" s="1"/>
      <c r="B97" s="219"/>
      <c r="C97" s="123"/>
      <c r="D97" s="3"/>
      <c r="E97" s="222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05"/>
      <c r="T97" s="111"/>
      <c r="U97" s="111"/>
      <c r="V97" s="111"/>
      <c r="W97" s="111"/>
      <c r="X97" s="110"/>
      <c r="Y97" s="1"/>
      <c r="Z97" s="1"/>
      <c r="AA97" s="170"/>
      <c r="AB97" s="1"/>
      <c r="AC97" s="1"/>
      <c r="AD97" s="1"/>
    </row>
    <row r="98" spans="1:30" ht="24.75" customHeight="1">
      <c r="A98" s="1"/>
      <c r="B98" s="219"/>
      <c r="C98" s="123"/>
      <c r="D98" s="221"/>
      <c r="E98" s="222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05"/>
      <c r="T98" s="111"/>
      <c r="U98" s="111"/>
      <c r="V98" s="111"/>
      <c r="W98" s="111"/>
      <c r="X98" s="110"/>
      <c r="Y98" s="112"/>
      <c r="Z98" s="112"/>
      <c r="AA98" s="170" t="str">
        <f>IF((D98)=0,"",(B59+1))</f>
        <v/>
      </c>
      <c r="AB98" s="112"/>
      <c r="AC98" s="112"/>
      <c r="AD98" s="112"/>
    </row>
    <row r="99" spans="1:30" ht="24.75" customHeight="1">
      <c r="A99" s="1"/>
      <c r="B99" s="219"/>
      <c r="C99" s="123"/>
      <c r="D99" s="221"/>
      <c r="E99" s="222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05"/>
      <c r="T99" s="111"/>
      <c r="U99" s="111"/>
      <c r="V99" s="111"/>
      <c r="W99" s="111"/>
      <c r="X99" s="110"/>
      <c r="Y99" s="112"/>
      <c r="Z99" s="112"/>
      <c r="AA99" s="170"/>
      <c r="AB99" s="112"/>
      <c r="AC99" s="112"/>
      <c r="AD99" s="112"/>
    </row>
    <row r="100" spans="1:30" ht="24.75" customHeight="1">
      <c r="A100" s="1"/>
      <c r="B100" s="219"/>
      <c r="C100" s="112"/>
      <c r="D100" s="3"/>
      <c r="E100" s="108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05"/>
      <c r="T100" s="111"/>
      <c r="U100" s="111"/>
      <c r="V100" s="111"/>
      <c r="W100" s="111"/>
      <c r="X100" s="110"/>
      <c r="Y100" s="112"/>
      <c r="Z100" s="112"/>
      <c r="AA100" s="170" t="str">
        <f t="shared" ref="AA100:AA101" si="5">IF((D100)=0,"",(#REF!+1))</f>
        <v/>
      </c>
      <c r="AB100" s="112"/>
      <c r="AC100" s="112"/>
      <c r="AD100" s="112"/>
    </row>
    <row r="101" spans="1:30" ht="24.75" hidden="1" customHeight="1">
      <c r="A101" s="1"/>
      <c r="B101" s="219"/>
      <c r="C101" s="112"/>
      <c r="D101" s="221"/>
      <c r="E101" s="222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05"/>
      <c r="T101" s="111"/>
      <c r="U101" s="111"/>
      <c r="V101" s="111"/>
      <c r="W101" s="111"/>
      <c r="X101" s="110"/>
      <c r="Y101" s="112"/>
      <c r="Z101" s="112"/>
      <c r="AA101" s="170" t="str">
        <f t="shared" si="5"/>
        <v/>
      </c>
      <c r="AB101" s="112"/>
      <c r="AC101" s="112"/>
      <c r="AD101" s="112"/>
    </row>
    <row r="102" spans="1:30" ht="24.75" hidden="1" customHeight="1">
      <c r="A102" s="1"/>
      <c r="B102" s="219"/>
      <c r="C102" s="112"/>
      <c r="D102" s="221"/>
      <c r="E102" s="222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05"/>
      <c r="T102" s="111"/>
      <c r="U102" s="111"/>
      <c r="V102" s="111"/>
      <c r="W102" s="111"/>
      <c r="X102" s="110"/>
      <c r="Y102" s="112"/>
      <c r="Z102" s="112"/>
      <c r="AA102" s="170" t="str">
        <f t="shared" ref="AA102:AA106" si="6">IF((D102)=0,"",(B101+1))</f>
        <v/>
      </c>
      <c r="AB102" s="112"/>
      <c r="AC102" s="112"/>
      <c r="AD102" s="112"/>
    </row>
    <row r="103" spans="1:30" ht="24.75" hidden="1" customHeight="1">
      <c r="A103" s="1"/>
      <c r="B103" s="219"/>
      <c r="C103" s="112"/>
      <c r="D103" s="221"/>
      <c r="E103" s="222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05"/>
      <c r="T103" s="111"/>
      <c r="U103" s="111"/>
      <c r="V103" s="111"/>
      <c r="W103" s="111"/>
      <c r="X103" s="110"/>
      <c r="Y103" s="112"/>
      <c r="Z103" s="112"/>
      <c r="AA103" s="170" t="str">
        <f t="shared" si="6"/>
        <v/>
      </c>
      <c r="AB103" s="112"/>
      <c r="AC103" s="112"/>
      <c r="AD103" s="112"/>
    </row>
    <row r="104" spans="1:30" ht="24.75" hidden="1" customHeight="1">
      <c r="A104" s="1"/>
      <c r="B104" s="219"/>
      <c r="C104" s="112"/>
      <c r="D104" s="221"/>
      <c r="E104" s="222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05"/>
      <c r="T104" s="111"/>
      <c r="U104" s="111"/>
      <c r="V104" s="111"/>
      <c r="W104" s="111"/>
      <c r="X104" s="110"/>
      <c r="Y104" s="112"/>
      <c r="Z104" s="112"/>
      <c r="AA104" s="170" t="str">
        <f t="shared" si="6"/>
        <v/>
      </c>
      <c r="AB104" s="112"/>
      <c r="AC104" s="112"/>
      <c r="AD104" s="112"/>
    </row>
    <row r="105" spans="1:30" ht="24.75" hidden="1" customHeight="1">
      <c r="A105" s="1"/>
      <c r="B105" s="219"/>
      <c r="C105" s="112"/>
      <c r="D105" s="221"/>
      <c r="E105" s="222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05"/>
      <c r="T105" s="111"/>
      <c r="U105" s="111"/>
      <c r="V105" s="111"/>
      <c r="W105" s="111"/>
      <c r="X105" s="110"/>
      <c r="Y105" s="112"/>
      <c r="Z105" s="112"/>
      <c r="AA105" s="170" t="str">
        <f t="shared" si="6"/>
        <v/>
      </c>
      <c r="AB105" s="112"/>
      <c r="AC105" s="112"/>
      <c r="AD105" s="112"/>
    </row>
    <row r="106" spans="1:30" ht="24.75" customHeight="1">
      <c r="A106" s="1"/>
      <c r="B106" s="219"/>
      <c r="C106" s="112"/>
      <c r="D106" s="221"/>
      <c r="E106" s="222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05"/>
      <c r="T106" s="111"/>
      <c r="U106" s="111"/>
      <c r="V106" s="111"/>
      <c r="W106" s="111"/>
      <c r="X106" s="110"/>
      <c r="Y106" s="112"/>
      <c r="Z106" s="112"/>
      <c r="AA106" s="170" t="str">
        <f t="shared" si="6"/>
        <v/>
      </c>
      <c r="AB106" s="112"/>
      <c r="AC106" s="112"/>
      <c r="AD106" s="112"/>
    </row>
    <row r="107" spans="1:30" ht="26.25" hidden="1" customHeight="1">
      <c r="A107" s="1"/>
      <c r="B107" s="219"/>
      <c r="C107" s="223"/>
      <c r="D107" s="221"/>
      <c r="E107" s="108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05"/>
      <c r="T107" s="111"/>
      <c r="U107" s="111"/>
      <c r="V107" s="111"/>
      <c r="W107" s="111"/>
      <c r="X107" s="110"/>
      <c r="Y107" s="112"/>
      <c r="Z107" s="112"/>
      <c r="AA107" s="170" t="str">
        <f>IF((D107)=0,"",(#REF!+1))</f>
        <v/>
      </c>
      <c r="AB107" s="112"/>
      <c r="AC107" s="112"/>
      <c r="AD107" s="112"/>
    </row>
    <row r="108" spans="1:30" ht="11.25" hidden="1" customHeight="1">
      <c r="A108" s="1"/>
      <c r="B108" s="219"/>
      <c r="C108" s="112"/>
      <c r="D108" s="3"/>
      <c r="E108" s="108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05"/>
      <c r="T108" s="111"/>
      <c r="U108" s="111"/>
      <c r="V108" s="111"/>
      <c r="W108" s="111"/>
      <c r="X108" s="110"/>
      <c r="Y108" s="112"/>
      <c r="Z108" s="112"/>
      <c r="AA108" s="170" t="str">
        <f t="shared" ref="AA108:AA135" si="7">IF((D108)=0,"",(B107+1))</f>
        <v/>
      </c>
      <c r="AB108" s="112"/>
      <c r="AC108" s="112"/>
      <c r="AD108" s="112"/>
    </row>
    <row r="109" spans="1:30" ht="24.75" hidden="1" customHeight="1">
      <c r="A109" s="1"/>
      <c r="B109" s="219"/>
      <c r="C109" s="112"/>
      <c r="D109" s="3"/>
      <c r="E109" s="108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05"/>
      <c r="T109" s="111"/>
      <c r="U109" s="111"/>
      <c r="V109" s="111"/>
      <c r="W109" s="111"/>
      <c r="X109" s="110"/>
      <c r="Y109" s="112"/>
      <c r="Z109" s="112"/>
      <c r="AA109" s="170" t="str">
        <f t="shared" si="7"/>
        <v/>
      </c>
      <c r="AB109" s="112"/>
      <c r="AC109" s="112"/>
      <c r="AD109" s="112"/>
    </row>
    <row r="110" spans="1:30" ht="24.75" hidden="1" customHeight="1">
      <c r="A110" s="1"/>
      <c r="B110" s="219"/>
      <c r="C110" s="112"/>
      <c r="D110" s="3"/>
      <c r="E110" s="108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05"/>
      <c r="T110" s="111"/>
      <c r="U110" s="111"/>
      <c r="V110" s="111"/>
      <c r="W110" s="111"/>
      <c r="X110" s="110"/>
      <c r="Y110" s="112"/>
      <c r="Z110" s="112"/>
      <c r="AA110" s="170" t="str">
        <f t="shared" si="7"/>
        <v/>
      </c>
      <c r="AB110" s="112"/>
      <c r="AC110" s="112"/>
      <c r="AD110" s="112"/>
    </row>
    <row r="111" spans="1:30" ht="24.75" hidden="1" customHeight="1">
      <c r="A111" s="1"/>
      <c r="B111" s="219"/>
      <c r="C111" s="112"/>
      <c r="D111" s="3"/>
      <c r="E111" s="108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05"/>
      <c r="T111" s="111"/>
      <c r="U111" s="111"/>
      <c r="V111" s="111"/>
      <c r="W111" s="111"/>
      <c r="X111" s="110"/>
      <c r="Y111" s="112"/>
      <c r="Z111" s="112"/>
      <c r="AA111" s="170" t="str">
        <f t="shared" si="7"/>
        <v/>
      </c>
      <c r="AB111" s="112"/>
      <c r="AC111" s="112"/>
      <c r="AD111" s="112"/>
    </row>
    <row r="112" spans="1:30" ht="24.75" hidden="1" customHeight="1">
      <c r="A112" s="1"/>
      <c r="B112" s="219"/>
      <c r="C112" s="112"/>
      <c r="D112" s="3"/>
      <c r="E112" s="108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05"/>
      <c r="T112" s="111"/>
      <c r="U112" s="111"/>
      <c r="V112" s="111"/>
      <c r="W112" s="111"/>
      <c r="X112" s="110"/>
      <c r="Y112" s="112"/>
      <c r="Z112" s="112"/>
      <c r="AA112" s="170" t="str">
        <f t="shared" si="7"/>
        <v/>
      </c>
      <c r="AB112" s="112"/>
      <c r="AC112" s="112"/>
      <c r="AD112" s="112"/>
    </row>
    <row r="113" spans="1:30" ht="24.75" hidden="1" customHeight="1">
      <c r="A113" s="1"/>
      <c r="B113" s="219"/>
      <c r="C113" s="112"/>
      <c r="D113" s="3"/>
      <c r="E113" s="108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05"/>
      <c r="T113" s="111"/>
      <c r="U113" s="111"/>
      <c r="V113" s="111"/>
      <c r="W113" s="111"/>
      <c r="X113" s="110"/>
      <c r="Y113" s="112"/>
      <c r="Z113" s="112"/>
      <c r="AA113" s="170" t="str">
        <f t="shared" si="7"/>
        <v/>
      </c>
      <c r="AB113" s="112"/>
      <c r="AC113" s="112"/>
      <c r="AD113" s="112"/>
    </row>
    <row r="114" spans="1:30" ht="24.75" hidden="1" customHeight="1">
      <c r="A114" s="1"/>
      <c r="B114" s="219"/>
      <c r="C114" s="112"/>
      <c r="D114" s="3"/>
      <c r="E114" s="108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05"/>
      <c r="T114" s="111"/>
      <c r="U114" s="111"/>
      <c r="V114" s="111"/>
      <c r="W114" s="111"/>
      <c r="X114" s="110"/>
      <c r="Y114" s="112"/>
      <c r="Z114" s="112"/>
      <c r="AA114" s="170" t="str">
        <f t="shared" si="7"/>
        <v/>
      </c>
      <c r="AB114" s="112"/>
      <c r="AC114" s="112"/>
      <c r="AD114" s="112"/>
    </row>
    <row r="115" spans="1:30" ht="24.75" hidden="1" customHeight="1">
      <c r="A115" s="1"/>
      <c r="B115" s="219"/>
      <c r="C115" s="112"/>
      <c r="D115" s="3"/>
      <c r="E115" s="108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05"/>
      <c r="T115" s="111"/>
      <c r="U115" s="111"/>
      <c r="V115" s="111"/>
      <c r="W115" s="111"/>
      <c r="X115" s="110"/>
      <c r="Y115" s="112"/>
      <c r="Z115" s="112"/>
      <c r="AA115" s="170" t="str">
        <f t="shared" si="7"/>
        <v/>
      </c>
      <c r="AB115" s="112"/>
      <c r="AC115" s="112"/>
      <c r="AD115" s="112"/>
    </row>
    <row r="116" spans="1:30" ht="24.75" hidden="1" customHeight="1">
      <c r="A116" s="1"/>
      <c r="B116" s="219"/>
      <c r="C116" s="112"/>
      <c r="D116" s="3"/>
      <c r="E116" s="108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05"/>
      <c r="T116" s="111"/>
      <c r="U116" s="111"/>
      <c r="V116" s="111"/>
      <c r="W116" s="111"/>
      <c r="X116" s="110"/>
      <c r="Y116" s="112"/>
      <c r="Z116" s="112"/>
      <c r="AA116" s="170" t="str">
        <f t="shared" si="7"/>
        <v/>
      </c>
      <c r="AB116" s="112"/>
      <c r="AC116" s="112"/>
      <c r="AD116" s="112"/>
    </row>
    <row r="117" spans="1:30" ht="24.75" hidden="1" customHeight="1">
      <c r="A117" s="1"/>
      <c r="B117" s="219"/>
      <c r="C117" s="112"/>
      <c r="D117" s="3"/>
      <c r="E117" s="108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05"/>
      <c r="T117" s="111"/>
      <c r="U117" s="111"/>
      <c r="V117" s="111"/>
      <c r="W117" s="111"/>
      <c r="X117" s="110"/>
      <c r="Y117" s="112"/>
      <c r="Z117" s="112"/>
      <c r="AA117" s="170" t="str">
        <f t="shared" si="7"/>
        <v/>
      </c>
      <c r="AB117" s="112"/>
      <c r="AC117" s="112"/>
      <c r="AD117" s="112"/>
    </row>
    <row r="118" spans="1:30" ht="24.75" hidden="1" customHeight="1">
      <c r="A118" s="1"/>
      <c r="B118" s="219"/>
      <c r="C118" s="112"/>
      <c r="D118" s="3"/>
      <c r="E118" s="108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05"/>
      <c r="T118" s="111"/>
      <c r="U118" s="111"/>
      <c r="V118" s="111"/>
      <c r="W118" s="111"/>
      <c r="X118" s="110"/>
      <c r="Y118" s="112"/>
      <c r="Z118" s="112"/>
      <c r="AA118" s="170" t="str">
        <f t="shared" si="7"/>
        <v/>
      </c>
      <c r="AB118" s="112"/>
      <c r="AC118" s="112"/>
      <c r="AD118" s="112"/>
    </row>
    <row r="119" spans="1:30" ht="24.75" hidden="1" customHeight="1">
      <c r="A119" s="1"/>
      <c r="B119" s="219"/>
      <c r="C119" s="112"/>
      <c r="D119" s="3"/>
      <c r="E119" s="108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05"/>
      <c r="T119" s="111"/>
      <c r="U119" s="111"/>
      <c r="V119" s="111"/>
      <c r="W119" s="111"/>
      <c r="X119" s="110"/>
      <c r="Y119" s="112"/>
      <c r="Z119" s="112"/>
      <c r="AA119" s="170" t="str">
        <f t="shared" si="7"/>
        <v/>
      </c>
      <c r="AB119" s="112"/>
      <c r="AC119" s="112"/>
      <c r="AD119" s="112"/>
    </row>
    <row r="120" spans="1:30" ht="24.75" hidden="1" customHeight="1">
      <c r="A120" s="1"/>
      <c r="B120" s="219"/>
      <c r="C120" s="112"/>
      <c r="D120" s="3"/>
      <c r="E120" s="108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05"/>
      <c r="T120" s="111"/>
      <c r="U120" s="111"/>
      <c r="V120" s="111"/>
      <c r="W120" s="111"/>
      <c r="X120" s="110"/>
      <c r="Y120" s="112"/>
      <c r="Z120" s="112"/>
      <c r="AA120" s="170" t="str">
        <f t="shared" si="7"/>
        <v/>
      </c>
      <c r="AB120" s="112"/>
      <c r="AC120" s="112"/>
      <c r="AD120" s="112"/>
    </row>
    <row r="121" spans="1:30" ht="24.75" hidden="1" customHeight="1">
      <c r="A121" s="1"/>
      <c r="B121" s="219"/>
      <c r="C121" s="112"/>
      <c r="D121" s="3"/>
      <c r="E121" s="108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05"/>
      <c r="T121" s="111"/>
      <c r="U121" s="111"/>
      <c r="V121" s="111"/>
      <c r="W121" s="111"/>
      <c r="X121" s="110"/>
      <c r="Y121" s="112"/>
      <c r="Z121" s="112"/>
      <c r="AA121" s="170" t="str">
        <f t="shared" si="7"/>
        <v/>
      </c>
      <c r="AB121" s="112"/>
      <c r="AC121" s="112"/>
      <c r="AD121" s="112"/>
    </row>
    <row r="122" spans="1:30" ht="24.75" hidden="1" customHeight="1">
      <c r="A122" s="1"/>
      <c r="B122" s="219"/>
      <c r="C122" s="112"/>
      <c r="D122" s="3"/>
      <c r="E122" s="108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05"/>
      <c r="T122" s="111"/>
      <c r="U122" s="111"/>
      <c r="V122" s="111"/>
      <c r="W122" s="111"/>
      <c r="X122" s="110"/>
      <c r="Y122" s="112"/>
      <c r="Z122" s="112"/>
      <c r="AA122" s="170" t="str">
        <f t="shared" si="7"/>
        <v/>
      </c>
      <c r="AB122" s="112"/>
      <c r="AC122" s="112"/>
      <c r="AD122" s="112"/>
    </row>
    <row r="123" spans="1:30" ht="24.75" hidden="1" customHeight="1">
      <c r="A123" s="1"/>
      <c r="B123" s="219"/>
      <c r="C123" s="112"/>
      <c r="D123" s="3"/>
      <c r="E123" s="108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05"/>
      <c r="T123" s="111"/>
      <c r="U123" s="111"/>
      <c r="V123" s="111"/>
      <c r="W123" s="111"/>
      <c r="X123" s="110"/>
      <c r="Y123" s="112"/>
      <c r="Z123" s="112"/>
      <c r="AA123" s="170" t="str">
        <f t="shared" si="7"/>
        <v/>
      </c>
      <c r="AB123" s="112"/>
      <c r="AC123" s="112"/>
      <c r="AD123" s="112"/>
    </row>
    <row r="124" spans="1:30" ht="24.75" hidden="1" customHeight="1">
      <c r="A124" s="1"/>
      <c r="B124" s="219"/>
      <c r="C124" s="112"/>
      <c r="D124" s="3"/>
      <c r="E124" s="108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05"/>
      <c r="T124" s="111"/>
      <c r="U124" s="111"/>
      <c r="V124" s="111"/>
      <c r="W124" s="111"/>
      <c r="X124" s="110"/>
      <c r="Y124" s="112"/>
      <c r="Z124" s="112"/>
      <c r="AA124" s="170" t="str">
        <f t="shared" si="7"/>
        <v/>
      </c>
      <c r="AB124" s="112"/>
      <c r="AC124" s="112"/>
      <c r="AD124" s="112"/>
    </row>
    <row r="125" spans="1:30" ht="24.75" hidden="1" customHeight="1">
      <c r="A125" s="1"/>
      <c r="B125" s="219"/>
      <c r="C125" s="112"/>
      <c r="D125" s="3"/>
      <c r="E125" s="108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05"/>
      <c r="T125" s="111"/>
      <c r="U125" s="111"/>
      <c r="V125" s="111"/>
      <c r="W125" s="111"/>
      <c r="X125" s="110"/>
      <c r="Y125" s="112"/>
      <c r="Z125" s="112"/>
      <c r="AA125" s="170" t="str">
        <f t="shared" si="7"/>
        <v/>
      </c>
      <c r="AB125" s="112"/>
      <c r="AC125" s="112"/>
      <c r="AD125" s="112"/>
    </row>
    <row r="126" spans="1:30" ht="24.75" hidden="1" customHeight="1">
      <c r="A126" s="1"/>
      <c r="B126" s="219"/>
      <c r="C126" s="112"/>
      <c r="D126" s="3"/>
      <c r="E126" s="108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05"/>
      <c r="T126" s="111"/>
      <c r="U126" s="111"/>
      <c r="V126" s="111"/>
      <c r="W126" s="111"/>
      <c r="X126" s="110"/>
      <c r="Y126" s="112"/>
      <c r="Z126" s="112"/>
      <c r="AA126" s="170" t="str">
        <f t="shared" si="7"/>
        <v/>
      </c>
      <c r="AB126" s="112"/>
      <c r="AC126" s="112"/>
      <c r="AD126" s="112"/>
    </row>
    <row r="127" spans="1:30" ht="24.75" hidden="1" customHeight="1">
      <c r="A127" s="1"/>
      <c r="B127" s="219"/>
      <c r="C127" s="112"/>
      <c r="D127" s="3"/>
      <c r="E127" s="108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05"/>
      <c r="T127" s="111"/>
      <c r="U127" s="111"/>
      <c r="V127" s="111"/>
      <c r="W127" s="111"/>
      <c r="X127" s="110"/>
      <c r="Y127" s="112"/>
      <c r="Z127" s="112"/>
      <c r="AA127" s="170" t="str">
        <f t="shared" si="7"/>
        <v/>
      </c>
      <c r="AB127" s="112"/>
      <c r="AC127" s="112"/>
      <c r="AD127" s="112"/>
    </row>
    <row r="128" spans="1:30" ht="24.75" hidden="1" customHeight="1">
      <c r="A128" s="1"/>
      <c r="B128" s="219"/>
      <c r="C128" s="112"/>
      <c r="D128" s="3"/>
      <c r="E128" s="108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05"/>
      <c r="T128" s="111"/>
      <c r="U128" s="111"/>
      <c r="V128" s="111"/>
      <c r="W128" s="111"/>
      <c r="X128" s="110"/>
      <c r="Y128" s="112"/>
      <c r="Z128" s="112"/>
      <c r="AA128" s="170" t="str">
        <f t="shared" si="7"/>
        <v/>
      </c>
      <c r="AB128" s="112"/>
      <c r="AC128" s="112"/>
      <c r="AD128" s="112"/>
    </row>
    <row r="129" spans="1:30" ht="24.75" hidden="1" customHeight="1">
      <c r="A129" s="1"/>
      <c r="B129" s="219"/>
      <c r="C129" s="112"/>
      <c r="D129" s="3"/>
      <c r="E129" s="108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05"/>
      <c r="T129" s="111"/>
      <c r="U129" s="111"/>
      <c r="V129" s="111"/>
      <c r="W129" s="111"/>
      <c r="X129" s="110"/>
      <c r="Y129" s="112"/>
      <c r="Z129" s="112"/>
      <c r="AA129" s="170" t="str">
        <f t="shared" si="7"/>
        <v/>
      </c>
      <c r="AB129" s="112"/>
      <c r="AC129" s="112"/>
      <c r="AD129" s="112"/>
    </row>
    <row r="130" spans="1:30" ht="24.75" customHeight="1">
      <c r="A130" s="1"/>
      <c r="B130" s="219"/>
      <c r="C130" s="112"/>
      <c r="D130" s="3"/>
      <c r="E130" s="108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05"/>
      <c r="T130" s="111"/>
      <c r="U130" s="111"/>
      <c r="V130" s="111"/>
      <c r="W130" s="111"/>
      <c r="X130" s="110"/>
      <c r="Y130" s="112"/>
      <c r="Z130" s="112"/>
      <c r="AA130" s="170" t="str">
        <f t="shared" si="7"/>
        <v/>
      </c>
      <c r="AB130" s="112"/>
      <c r="AC130" s="112"/>
      <c r="AD130" s="112"/>
    </row>
    <row r="131" spans="1:30" ht="24.75" customHeight="1">
      <c r="A131" s="1"/>
      <c r="B131" s="219"/>
      <c r="C131" s="112"/>
      <c r="D131" s="3"/>
      <c r="E131" s="108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05"/>
      <c r="T131" s="111"/>
      <c r="U131" s="111"/>
      <c r="V131" s="111"/>
      <c r="W131" s="111"/>
      <c r="X131" s="110"/>
      <c r="Y131" s="112"/>
      <c r="Z131" s="112"/>
      <c r="AA131" s="170" t="str">
        <f t="shared" si="7"/>
        <v/>
      </c>
      <c r="AB131" s="112"/>
      <c r="AC131" s="112"/>
      <c r="AD131" s="112"/>
    </row>
    <row r="132" spans="1:30" ht="24.75" customHeight="1">
      <c r="A132" s="1"/>
      <c r="B132" s="219"/>
      <c r="C132" s="112"/>
      <c r="D132" s="3"/>
      <c r="E132" s="108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05"/>
      <c r="T132" s="111"/>
      <c r="U132" s="111"/>
      <c r="V132" s="111"/>
      <c r="W132" s="111"/>
      <c r="X132" s="110"/>
      <c r="Y132" s="112"/>
      <c r="Z132" s="112"/>
      <c r="AA132" s="170" t="str">
        <f t="shared" si="7"/>
        <v/>
      </c>
      <c r="AB132" s="112"/>
      <c r="AC132" s="112"/>
      <c r="AD132" s="112"/>
    </row>
    <row r="133" spans="1:30" ht="24.75" customHeight="1">
      <c r="A133" s="1"/>
      <c r="B133" s="219"/>
      <c r="C133" s="112"/>
      <c r="D133" s="3"/>
      <c r="E133" s="108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05"/>
      <c r="T133" s="111"/>
      <c r="U133" s="111"/>
      <c r="V133" s="111"/>
      <c r="W133" s="111"/>
      <c r="X133" s="110"/>
      <c r="Y133" s="112"/>
      <c r="Z133" s="112"/>
      <c r="AA133" s="170" t="str">
        <f t="shared" si="7"/>
        <v/>
      </c>
      <c r="AB133" s="112"/>
      <c r="AC133" s="112"/>
      <c r="AD133" s="112"/>
    </row>
    <row r="134" spans="1:30" ht="24.75" customHeight="1">
      <c r="A134" s="1"/>
      <c r="B134" s="219"/>
      <c r="C134" s="112"/>
      <c r="D134" s="3"/>
      <c r="E134" s="108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05"/>
      <c r="T134" s="111"/>
      <c r="U134" s="111"/>
      <c r="V134" s="111"/>
      <c r="W134" s="111"/>
      <c r="X134" s="110"/>
      <c r="Y134" s="112"/>
      <c r="Z134" s="112"/>
      <c r="AA134" s="170" t="str">
        <f t="shared" si="7"/>
        <v/>
      </c>
      <c r="AB134" s="112"/>
      <c r="AC134" s="112"/>
      <c r="AD134" s="112"/>
    </row>
    <row r="135" spans="1:30" ht="24.75" customHeight="1">
      <c r="A135" s="1"/>
      <c r="B135" s="219"/>
      <c r="C135" s="112"/>
      <c r="D135" s="3"/>
      <c r="E135" s="108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05"/>
      <c r="T135" s="111"/>
      <c r="U135" s="111"/>
      <c r="V135" s="111"/>
      <c r="W135" s="111"/>
      <c r="X135" s="110"/>
      <c r="Y135" s="112"/>
      <c r="Z135" s="112"/>
      <c r="AA135" s="170" t="str">
        <f t="shared" si="7"/>
        <v/>
      </c>
      <c r="AB135" s="112"/>
      <c r="AC135" s="112"/>
      <c r="AD135" s="112"/>
    </row>
    <row r="136" spans="1:30" ht="24.75" customHeight="1">
      <c r="A136" s="1"/>
      <c r="B136" s="219"/>
      <c r="C136" s="112"/>
      <c r="D136" s="3"/>
      <c r="E136" s="108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05"/>
      <c r="T136" s="111"/>
      <c r="U136" s="111"/>
      <c r="V136" s="111"/>
      <c r="W136" s="111"/>
      <c r="X136" s="110"/>
      <c r="Y136" s="112"/>
      <c r="Z136" s="112"/>
      <c r="AA136" s="170"/>
      <c r="AB136" s="112"/>
      <c r="AC136" s="112"/>
      <c r="AD136" s="112"/>
    </row>
    <row r="137" spans="1:30" ht="24.75" customHeight="1">
      <c r="A137" s="1"/>
      <c r="B137" s="219"/>
      <c r="C137" s="112"/>
      <c r="D137" s="3"/>
      <c r="E137" s="108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05"/>
      <c r="T137" s="111"/>
      <c r="U137" s="111"/>
      <c r="V137" s="111"/>
      <c r="W137" s="111"/>
      <c r="X137" s="110"/>
      <c r="Y137" s="112"/>
      <c r="Z137" s="112"/>
      <c r="AA137" s="170" t="str">
        <f>IF((D137)=0,"",(B135+1))</f>
        <v/>
      </c>
      <c r="AB137" s="112"/>
      <c r="AC137" s="112"/>
      <c r="AD137" s="112"/>
    </row>
    <row r="138" spans="1:30" ht="24.75" customHeight="1">
      <c r="A138" s="1"/>
      <c r="B138" s="219"/>
      <c r="C138" s="112"/>
      <c r="D138" s="3"/>
      <c r="E138" s="108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05"/>
      <c r="T138" s="111"/>
      <c r="U138" s="111"/>
      <c r="V138" s="111"/>
      <c r="W138" s="111"/>
      <c r="X138" s="110"/>
      <c r="Y138" s="112"/>
      <c r="Z138" s="112"/>
      <c r="AA138" s="170" t="str">
        <f t="shared" ref="AA138:AA142" si="8">IF((D138)=0,"",(B137+1))</f>
        <v/>
      </c>
      <c r="AB138" s="112"/>
      <c r="AC138" s="112"/>
      <c r="AD138" s="112"/>
    </row>
    <row r="139" spans="1:30" ht="24.75" customHeight="1">
      <c r="A139" s="1"/>
      <c r="B139" s="219"/>
      <c r="C139" s="112"/>
      <c r="D139" s="3"/>
      <c r="E139" s="108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05"/>
      <c r="T139" s="111"/>
      <c r="U139" s="111"/>
      <c r="V139" s="111"/>
      <c r="W139" s="111"/>
      <c r="X139" s="110"/>
      <c r="Y139" s="112"/>
      <c r="Z139" s="112"/>
      <c r="AA139" s="170" t="str">
        <f t="shared" si="8"/>
        <v/>
      </c>
      <c r="AB139" s="112"/>
      <c r="AC139" s="112"/>
      <c r="AD139" s="112"/>
    </row>
    <row r="140" spans="1:30" ht="24.75" customHeight="1">
      <c r="A140" s="1"/>
      <c r="B140" s="219"/>
      <c r="C140" s="112"/>
      <c r="D140" s="3"/>
      <c r="E140" s="108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05"/>
      <c r="T140" s="111"/>
      <c r="U140" s="111"/>
      <c r="V140" s="111"/>
      <c r="W140" s="111"/>
      <c r="X140" s="110"/>
      <c r="Y140" s="112"/>
      <c r="Z140" s="112"/>
      <c r="AA140" s="170" t="str">
        <f t="shared" si="8"/>
        <v/>
      </c>
      <c r="AB140" s="112"/>
      <c r="AC140" s="112"/>
      <c r="AD140" s="112"/>
    </row>
    <row r="141" spans="1:30" ht="24.75" customHeight="1">
      <c r="A141" s="1"/>
      <c r="B141" s="219"/>
      <c r="C141" s="112"/>
      <c r="D141" s="3"/>
      <c r="E141" s="108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05"/>
      <c r="T141" s="111"/>
      <c r="U141" s="111"/>
      <c r="V141" s="111"/>
      <c r="W141" s="111"/>
      <c r="X141" s="110"/>
      <c r="Y141" s="112"/>
      <c r="Z141" s="112"/>
      <c r="AA141" s="170" t="str">
        <f t="shared" si="8"/>
        <v/>
      </c>
      <c r="AB141" s="112"/>
      <c r="AC141" s="112"/>
      <c r="AD141" s="112"/>
    </row>
    <row r="142" spans="1:30" ht="24.75" customHeight="1">
      <c r="A142" s="1"/>
      <c r="B142" s="219"/>
      <c r="C142" s="112"/>
      <c r="D142" s="3"/>
      <c r="E142" s="108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05"/>
      <c r="T142" s="111"/>
      <c r="U142" s="111"/>
      <c r="V142" s="111"/>
      <c r="W142" s="111"/>
      <c r="X142" s="110"/>
      <c r="Y142" s="112"/>
      <c r="Z142" s="112"/>
      <c r="AA142" s="170" t="str">
        <f t="shared" si="8"/>
        <v/>
      </c>
      <c r="AB142" s="112"/>
      <c r="AC142" s="112"/>
      <c r="AD142" s="112"/>
    </row>
    <row r="143" spans="1:30" ht="24.75" customHeight="1">
      <c r="A143" s="1"/>
      <c r="B143" s="219"/>
      <c r="C143" s="112"/>
      <c r="D143" s="3"/>
      <c r="E143" s="108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05"/>
      <c r="T143" s="111"/>
      <c r="U143" s="111"/>
      <c r="V143" s="111"/>
      <c r="W143" s="111"/>
      <c r="X143" s="110"/>
      <c r="Y143" s="112"/>
      <c r="Z143" s="112"/>
      <c r="AA143" s="170" t="str">
        <f>IF((D143)=0,"",(B141+1))</f>
        <v/>
      </c>
      <c r="AB143" s="112"/>
      <c r="AC143" s="112"/>
      <c r="AD143" s="112"/>
    </row>
    <row r="144" spans="1:30" ht="24.75" customHeight="1">
      <c r="A144" s="1"/>
      <c r="B144" s="219"/>
      <c r="C144" s="112"/>
      <c r="D144" s="3"/>
      <c r="E144" s="108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05"/>
      <c r="T144" s="111"/>
      <c r="U144" s="111"/>
      <c r="V144" s="111"/>
      <c r="W144" s="111"/>
      <c r="X144" s="110"/>
      <c r="Y144" s="112"/>
      <c r="Z144" s="112"/>
      <c r="AA144" s="170" t="str">
        <f t="shared" ref="AA144:AA146" si="9">IF((D144)=0,"",(B143+1))</f>
        <v/>
      </c>
      <c r="AB144" s="112"/>
      <c r="AC144" s="112"/>
      <c r="AD144" s="112"/>
    </row>
    <row r="145" spans="1:30" ht="24.75" customHeight="1">
      <c r="A145" s="1"/>
      <c r="B145" s="219"/>
      <c r="C145" s="112"/>
      <c r="D145" s="3"/>
      <c r="E145" s="108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05"/>
      <c r="T145" s="111"/>
      <c r="U145" s="111"/>
      <c r="V145" s="111"/>
      <c r="W145" s="111"/>
      <c r="X145" s="110"/>
      <c r="Y145" s="112"/>
      <c r="Z145" s="112"/>
      <c r="AA145" s="170" t="str">
        <f t="shared" si="9"/>
        <v/>
      </c>
      <c r="AB145" s="112"/>
      <c r="AC145" s="112"/>
      <c r="AD145" s="112"/>
    </row>
    <row r="146" spans="1:30" ht="39.75" customHeight="1">
      <c r="A146" s="1"/>
      <c r="B146" s="106"/>
      <c r="C146" s="224"/>
      <c r="D146" s="112"/>
      <c r="E146" s="112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05"/>
      <c r="T146" s="111"/>
      <c r="U146" s="111"/>
      <c r="V146" s="111"/>
      <c r="W146" s="111"/>
      <c r="X146" s="110"/>
      <c r="Y146" s="112"/>
      <c r="Z146" s="112"/>
      <c r="AA146" s="170" t="str">
        <f t="shared" si="9"/>
        <v/>
      </c>
      <c r="AB146" s="112"/>
      <c r="AC146" s="112"/>
      <c r="AD146" s="112"/>
    </row>
    <row r="147" spans="1:30" ht="24.75" customHeight="1">
      <c r="A147" s="1"/>
      <c r="B147" s="219"/>
      <c r="C147" s="112"/>
      <c r="D147" s="3"/>
      <c r="E147" s="108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05"/>
      <c r="T147" s="111"/>
      <c r="U147" s="111"/>
      <c r="V147" s="111"/>
      <c r="W147" s="111"/>
      <c r="X147" s="110"/>
      <c r="Y147" s="112"/>
      <c r="Z147" s="112"/>
      <c r="AA147" s="170" t="str">
        <f>IF((D147)=0,"",(B145+1))</f>
        <v/>
      </c>
      <c r="AB147" s="112"/>
      <c r="AC147" s="112"/>
      <c r="AD147" s="112"/>
    </row>
    <row r="148" spans="1:30" ht="24.75" customHeight="1">
      <c r="A148" s="1"/>
      <c r="B148" s="219"/>
      <c r="C148" s="112"/>
      <c r="D148" s="3"/>
      <c r="E148" s="108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05"/>
      <c r="T148" s="111"/>
      <c r="U148" s="111"/>
      <c r="V148" s="111"/>
      <c r="W148" s="111"/>
      <c r="X148" s="110"/>
      <c r="Y148" s="112"/>
      <c r="Z148" s="112"/>
      <c r="AA148" s="170" t="str">
        <f>IF((D148)=0,"",(#REF!+1))</f>
        <v/>
      </c>
      <c r="AB148" s="112"/>
      <c r="AC148" s="112"/>
      <c r="AD148" s="112"/>
    </row>
    <row r="149" spans="1:30" ht="24.75" customHeight="1">
      <c r="A149" s="1"/>
      <c r="B149" s="219"/>
      <c r="C149" s="112"/>
      <c r="D149" s="3"/>
      <c r="E149" s="108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05"/>
      <c r="T149" s="111"/>
      <c r="U149" s="111"/>
      <c r="V149" s="111"/>
      <c r="W149" s="111"/>
      <c r="X149" s="110"/>
      <c r="Y149" s="112"/>
      <c r="Z149" s="112"/>
      <c r="AA149" s="170" t="str">
        <f t="shared" ref="AA149:AA159" si="10">IF((D149)=0,"",(B148+1))</f>
        <v/>
      </c>
      <c r="AB149" s="112"/>
      <c r="AC149" s="112"/>
      <c r="AD149" s="112"/>
    </row>
    <row r="150" spans="1:30" ht="24.75" customHeight="1">
      <c r="A150" s="1"/>
      <c r="B150" s="219"/>
      <c r="C150" s="112"/>
      <c r="D150" s="3"/>
      <c r="E150" s="108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05"/>
      <c r="T150" s="111"/>
      <c r="U150" s="111"/>
      <c r="V150" s="111"/>
      <c r="W150" s="111"/>
      <c r="X150" s="110"/>
      <c r="Y150" s="112"/>
      <c r="Z150" s="112"/>
      <c r="AA150" s="170" t="str">
        <f t="shared" si="10"/>
        <v/>
      </c>
      <c r="AB150" s="112"/>
      <c r="AC150" s="112"/>
      <c r="AD150" s="112"/>
    </row>
    <row r="151" spans="1:30" ht="24.75" customHeight="1">
      <c r="A151" s="1"/>
      <c r="B151" s="219"/>
      <c r="C151" s="112"/>
      <c r="D151" s="3"/>
      <c r="E151" s="108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05"/>
      <c r="T151" s="111"/>
      <c r="U151" s="111"/>
      <c r="V151" s="111"/>
      <c r="W151" s="111"/>
      <c r="X151" s="110"/>
      <c r="Y151" s="112"/>
      <c r="Z151" s="112"/>
      <c r="AA151" s="170" t="str">
        <f t="shared" si="10"/>
        <v/>
      </c>
      <c r="AB151" s="112"/>
      <c r="AC151" s="112"/>
      <c r="AD151" s="112"/>
    </row>
    <row r="152" spans="1:30" ht="24.75" customHeight="1">
      <c r="A152" s="1"/>
      <c r="B152" s="219"/>
      <c r="C152" s="112"/>
      <c r="D152" s="3"/>
      <c r="E152" s="108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05"/>
      <c r="T152" s="111"/>
      <c r="U152" s="111"/>
      <c r="V152" s="111"/>
      <c r="W152" s="111"/>
      <c r="X152" s="110"/>
      <c r="Y152" s="112"/>
      <c r="Z152" s="112"/>
      <c r="AA152" s="170" t="str">
        <f t="shared" si="10"/>
        <v/>
      </c>
      <c r="AB152" s="112"/>
      <c r="AC152" s="112"/>
      <c r="AD152" s="112"/>
    </row>
    <row r="153" spans="1:30" ht="24.75" customHeight="1">
      <c r="A153" s="1"/>
      <c r="B153" s="219"/>
      <c r="C153" s="112"/>
      <c r="D153" s="3"/>
      <c r="E153" s="108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05"/>
      <c r="T153" s="111"/>
      <c r="U153" s="111"/>
      <c r="V153" s="111"/>
      <c r="W153" s="111"/>
      <c r="X153" s="110"/>
      <c r="Y153" s="112"/>
      <c r="Z153" s="112"/>
      <c r="AA153" s="170" t="str">
        <f t="shared" si="10"/>
        <v/>
      </c>
      <c r="AB153" s="112"/>
      <c r="AC153" s="112"/>
      <c r="AD153" s="112"/>
    </row>
    <row r="154" spans="1:30" ht="24.75" customHeight="1">
      <c r="A154" s="1"/>
      <c r="B154" s="219"/>
      <c r="C154" s="112"/>
      <c r="D154" s="3"/>
      <c r="E154" s="108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05"/>
      <c r="T154" s="111"/>
      <c r="U154" s="111"/>
      <c r="V154" s="111"/>
      <c r="W154" s="111"/>
      <c r="X154" s="110"/>
      <c r="Y154" s="112"/>
      <c r="Z154" s="112"/>
      <c r="AA154" s="170" t="str">
        <f t="shared" si="10"/>
        <v/>
      </c>
      <c r="AB154" s="112"/>
      <c r="AC154" s="112"/>
      <c r="AD154" s="112"/>
    </row>
    <row r="155" spans="1:30" ht="24.75" customHeight="1">
      <c r="A155" s="1"/>
      <c r="B155" s="219"/>
      <c r="C155" s="112"/>
      <c r="D155" s="3"/>
      <c r="E155" s="108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05"/>
      <c r="T155" s="111"/>
      <c r="U155" s="111"/>
      <c r="V155" s="111"/>
      <c r="W155" s="111"/>
      <c r="X155" s="110"/>
      <c r="Y155" s="112"/>
      <c r="Z155" s="112"/>
      <c r="AA155" s="170" t="str">
        <f t="shared" si="10"/>
        <v/>
      </c>
      <c r="AB155" s="112"/>
      <c r="AC155" s="112"/>
      <c r="AD155" s="112"/>
    </row>
    <row r="156" spans="1:30" ht="24.75" customHeight="1">
      <c r="A156" s="1"/>
      <c r="B156" s="219"/>
      <c r="C156" s="112"/>
      <c r="D156" s="3"/>
      <c r="E156" s="108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05"/>
      <c r="T156" s="111"/>
      <c r="U156" s="111"/>
      <c r="V156" s="111"/>
      <c r="W156" s="111"/>
      <c r="X156" s="110"/>
      <c r="Y156" s="112"/>
      <c r="Z156" s="112"/>
      <c r="AA156" s="170" t="str">
        <f t="shared" si="10"/>
        <v/>
      </c>
      <c r="AB156" s="112"/>
      <c r="AC156" s="112"/>
      <c r="AD156" s="112"/>
    </row>
    <row r="157" spans="1:30" ht="24.75" customHeight="1">
      <c r="A157" s="1"/>
      <c r="B157" s="219"/>
      <c r="C157" s="112"/>
      <c r="D157" s="3"/>
      <c r="E157" s="108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05"/>
      <c r="T157" s="111"/>
      <c r="U157" s="111"/>
      <c r="V157" s="111"/>
      <c r="W157" s="111"/>
      <c r="X157" s="110"/>
      <c r="Y157" s="112"/>
      <c r="Z157" s="112"/>
      <c r="AA157" s="170" t="str">
        <f t="shared" si="10"/>
        <v/>
      </c>
      <c r="AB157" s="112"/>
      <c r="AC157" s="112"/>
      <c r="AD157" s="112"/>
    </row>
    <row r="158" spans="1:30" ht="24.75" customHeight="1">
      <c r="A158" s="1"/>
      <c r="B158" s="219"/>
      <c r="C158" s="112"/>
      <c r="D158" s="3"/>
      <c r="E158" s="108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05"/>
      <c r="T158" s="111"/>
      <c r="U158" s="111"/>
      <c r="V158" s="111"/>
      <c r="W158" s="111"/>
      <c r="X158" s="110"/>
      <c r="Y158" s="112"/>
      <c r="Z158" s="112"/>
      <c r="AA158" s="170" t="str">
        <f t="shared" si="10"/>
        <v/>
      </c>
      <c r="AB158" s="112"/>
      <c r="AC158" s="112"/>
      <c r="AD158" s="112"/>
    </row>
    <row r="159" spans="1:30" ht="24.75" customHeight="1">
      <c r="A159" s="1"/>
      <c r="B159" s="219"/>
      <c r="C159" s="112"/>
      <c r="D159" s="3"/>
      <c r="E159" s="108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05"/>
      <c r="T159" s="111"/>
      <c r="U159" s="111"/>
      <c r="V159" s="111"/>
      <c r="W159" s="111"/>
      <c r="X159" s="110"/>
      <c r="Y159" s="112"/>
      <c r="Z159" s="112"/>
      <c r="AA159" s="170" t="str">
        <f t="shared" si="10"/>
        <v/>
      </c>
      <c r="AB159" s="112"/>
      <c r="AC159" s="112"/>
      <c r="AD159" s="112"/>
    </row>
    <row r="160" spans="1:30" ht="24.75" customHeight="1">
      <c r="A160" s="1"/>
      <c r="B160" s="106"/>
      <c r="C160" s="224"/>
      <c r="D160" s="3"/>
      <c r="E160" s="108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05"/>
      <c r="T160" s="111"/>
      <c r="U160" s="111"/>
      <c r="V160" s="111"/>
      <c r="W160" s="111"/>
      <c r="X160" s="110"/>
      <c r="Y160" s="112"/>
      <c r="Z160" s="112"/>
      <c r="AA160" s="170" t="str">
        <f>IF((D160)=0,"",(B148+1))</f>
        <v/>
      </c>
      <c r="AB160" s="112"/>
      <c r="AC160" s="112"/>
      <c r="AD160" s="112"/>
    </row>
    <row r="161" spans="1:30" ht="24.75" customHeight="1">
      <c r="A161" s="1"/>
      <c r="B161" s="219"/>
      <c r="C161" s="112"/>
      <c r="D161" s="3"/>
      <c r="E161" s="108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05"/>
      <c r="T161" s="111"/>
      <c r="U161" s="111"/>
      <c r="V161" s="111"/>
      <c r="W161" s="111"/>
      <c r="X161" s="110"/>
      <c r="Y161" s="112"/>
      <c r="Z161" s="112"/>
      <c r="AA161" s="170" t="str">
        <f>IF((D161)=0,"",(B159+1))</f>
        <v/>
      </c>
      <c r="AB161" s="112"/>
      <c r="AC161" s="112"/>
      <c r="AD161" s="112"/>
    </row>
    <row r="162" spans="1:30" ht="24.75" customHeight="1">
      <c r="A162" s="1"/>
      <c r="B162" s="219"/>
      <c r="C162" s="112"/>
      <c r="D162" s="3"/>
      <c r="E162" s="108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05"/>
      <c r="T162" s="111"/>
      <c r="U162" s="111"/>
      <c r="V162" s="111"/>
      <c r="W162" s="111"/>
      <c r="X162" s="110"/>
      <c r="Y162" s="112"/>
      <c r="Z162" s="112"/>
      <c r="AA162" s="170" t="str">
        <f t="shared" ref="AA162:AA166" si="11">IF((D162)=0,"",(B161+1))</f>
        <v/>
      </c>
      <c r="AB162" s="112"/>
      <c r="AC162" s="112"/>
      <c r="AD162" s="112"/>
    </row>
    <row r="163" spans="1:30" ht="24.75" customHeight="1">
      <c r="A163" s="1"/>
      <c r="B163" s="219"/>
      <c r="C163" s="112"/>
      <c r="D163" s="3"/>
      <c r="E163" s="108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05"/>
      <c r="T163" s="111"/>
      <c r="U163" s="111"/>
      <c r="V163" s="111"/>
      <c r="W163" s="111"/>
      <c r="X163" s="110"/>
      <c r="Y163" s="112"/>
      <c r="Z163" s="112"/>
      <c r="AA163" s="170" t="str">
        <f t="shared" si="11"/>
        <v/>
      </c>
      <c r="AB163" s="112"/>
      <c r="AC163" s="112"/>
      <c r="AD163" s="112"/>
    </row>
    <row r="164" spans="1:30" ht="24.75" customHeight="1">
      <c r="A164" s="1"/>
      <c r="B164" s="219"/>
      <c r="C164" s="112"/>
      <c r="D164" s="3"/>
      <c r="E164" s="108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05"/>
      <c r="T164" s="111"/>
      <c r="U164" s="111"/>
      <c r="V164" s="111"/>
      <c r="W164" s="111"/>
      <c r="X164" s="110"/>
      <c r="Y164" s="112"/>
      <c r="Z164" s="112"/>
      <c r="AA164" s="170" t="str">
        <f t="shared" si="11"/>
        <v/>
      </c>
      <c r="AB164" s="112"/>
      <c r="AC164" s="112"/>
      <c r="AD164" s="112"/>
    </row>
    <row r="165" spans="1:30" ht="31.5" customHeight="1">
      <c r="A165" s="1"/>
      <c r="B165" s="219"/>
      <c r="C165" s="223"/>
      <c r="D165" s="3"/>
      <c r="E165" s="108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05"/>
      <c r="T165" s="111"/>
      <c r="U165" s="111"/>
      <c r="V165" s="111"/>
      <c r="W165" s="111"/>
      <c r="X165" s="110"/>
      <c r="Y165" s="112"/>
      <c r="Z165" s="112"/>
      <c r="AA165" s="170" t="str">
        <f t="shared" si="11"/>
        <v/>
      </c>
      <c r="AB165" s="112"/>
      <c r="AC165" s="112"/>
      <c r="AD165" s="112"/>
    </row>
    <row r="166" spans="1:30" ht="24.75" customHeight="1">
      <c r="A166" s="1"/>
      <c r="B166" s="219"/>
      <c r="C166" s="112"/>
      <c r="D166" s="3"/>
      <c r="E166" s="108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05"/>
      <c r="T166" s="111"/>
      <c r="U166" s="111"/>
      <c r="V166" s="111"/>
      <c r="W166" s="111"/>
      <c r="X166" s="110"/>
      <c r="Y166" s="112"/>
      <c r="Z166" s="112"/>
      <c r="AA166" s="170" t="str">
        <f t="shared" si="11"/>
        <v/>
      </c>
      <c r="AB166" s="112"/>
      <c r="AC166" s="112"/>
      <c r="AD166" s="112"/>
    </row>
    <row r="167" spans="1:30" ht="24.75" customHeight="1">
      <c r="A167" s="1"/>
      <c r="B167" s="106"/>
      <c r="C167" s="225"/>
      <c r="D167" s="3"/>
      <c r="E167" s="108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05"/>
      <c r="T167" s="111"/>
      <c r="U167" s="111"/>
      <c r="V167" s="111"/>
      <c r="W167" s="111"/>
      <c r="X167" s="110"/>
      <c r="Y167" s="112"/>
      <c r="Z167" s="112"/>
      <c r="AA167" s="170"/>
      <c r="AB167" s="112"/>
      <c r="AC167" s="112"/>
      <c r="AD167" s="112"/>
    </row>
    <row r="168" spans="1:30" ht="24.75" customHeight="1">
      <c r="A168" s="1"/>
      <c r="B168" s="219"/>
      <c r="C168" s="112"/>
      <c r="D168" s="3"/>
      <c r="E168" s="108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05"/>
      <c r="T168" s="111"/>
      <c r="U168" s="111"/>
      <c r="V168" s="111"/>
      <c r="W168" s="111"/>
      <c r="X168" s="110"/>
      <c r="Y168" s="112"/>
      <c r="Z168" s="112"/>
      <c r="AA168" s="170" t="str">
        <f>IF((D168)=0,"",(B166+1))</f>
        <v/>
      </c>
      <c r="AB168" s="112"/>
      <c r="AC168" s="112"/>
      <c r="AD168" s="112"/>
    </row>
    <row r="169" spans="1:30" ht="24.75" customHeight="1">
      <c r="A169" s="1"/>
      <c r="B169" s="219"/>
      <c r="C169" s="112"/>
      <c r="D169" s="3"/>
      <c r="E169" s="108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05"/>
      <c r="T169" s="111"/>
      <c r="U169" s="111"/>
      <c r="V169" s="111"/>
      <c r="W169" s="111"/>
      <c r="X169" s="110"/>
      <c r="Y169" s="112"/>
      <c r="Z169" s="112"/>
      <c r="AA169" s="170" t="str">
        <f>IF((D169)=0,"",(B164+1))</f>
        <v/>
      </c>
      <c r="AB169" s="112"/>
      <c r="AC169" s="112"/>
      <c r="AD169" s="112"/>
    </row>
    <row r="170" spans="1:30" ht="24.75" customHeight="1">
      <c r="A170" s="1"/>
      <c r="B170" s="219"/>
      <c r="C170" s="112"/>
      <c r="D170" s="3"/>
      <c r="E170" s="108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05"/>
      <c r="T170" s="111"/>
      <c r="U170" s="111"/>
      <c r="V170" s="111"/>
      <c r="W170" s="111"/>
      <c r="X170" s="110"/>
      <c r="Y170" s="112"/>
      <c r="Z170" s="112"/>
      <c r="AA170" s="170" t="str">
        <f>IF((D170)=0,"",(B168+1))</f>
        <v/>
      </c>
      <c r="AB170" s="112"/>
      <c r="AC170" s="112"/>
      <c r="AD170" s="112"/>
    </row>
    <row r="171" spans="1:30" ht="24.75" customHeight="1">
      <c r="A171" s="1"/>
      <c r="B171" s="3"/>
      <c r="C171" s="225"/>
      <c r="D171" s="3"/>
      <c r="E171" s="108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05"/>
      <c r="T171" s="111"/>
      <c r="U171" s="111"/>
      <c r="V171" s="111"/>
      <c r="W171" s="111"/>
      <c r="X171" s="110"/>
      <c r="Y171" s="112"/>
      <c r="Z171" s="112"/>
      <c r="AA171" s="170"/>
      <c r="AB171" s="112"/>
      <c r="AC171" s="112"/>
      <c r="AD171" s="112"/>
    </row>
    <row r="172" spans="1:30" ht="24.75" customHeight="1">
      <c r="A172" s="1"/>
      <c r="B172" s="219"/>
      <c r="C172" s="112"/>
      <c r="D172" s="3"/>
      <c r="E172" s="108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05"/>
      <c r="T172" s="111"/>
      <c r="U172" s="111"/>
      <c r="V172" s="111"/>
      <c r="W172" s="111"/>
      <c r="X172" s="110"/>
      <c r="Y172" s="112"/>
      <c r="Z172" s="112"/>
      <c r="AA172" s="170" t="str">
        <f>IF((D172)=0,"",(B169+1))</f>
        <v/>
      </c>
      <c r="AB172" s="112"/>
      <c r="AC172" s="112"/>
      <c r="AD172" s="112"/>
    </row>
    <row r="173" spans="1:30" ht="24.75" customHeight="1">
      <c r="A173" s="1"/>
      <c r="B173" s="219"/>
      <c r="C173" s="112"/>
      <c r="D173" s="3"/>
      <c r="E173" s="108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05"/>
      <c r="T173" s="111"/>
      <c r="U173" s="111"/>
      <c r="V173" s="111"/>
      <c r="W173" s="111"/>
      <c r="X173" s="110"/>
      <c r="Y173" s="112"/>
      <c r="Z173" s="112"/>
      <c r="AA173" s="170" t="str">
        <f t="shared" ref="AA173:AA200" si="12">IF((D173)=0,"",(B172+1))</f>
        <v/>
      </c>
      <c r="AB173" s="112"/>
      <c r="AC173" s="112"/>
      <c r="AD173" s="112"/>
    </row>
    <row r="174" spans="1:30" ht="24.75" customHeight="1">
      <c r="A174" s="1"/>
      <c r="B174" s="219"/>
      <c r="C174" s="112"/>
      <c r="D174" s="3"/>
      <c r="E174" s="108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05"/>
      <c r="T174" s="111"/>
      <c r="U174" s="111"/>
      <c r="V174" s="111"/>
      <c r="W174" s="111"/>
      <c r="X174" s="110"/>
      <c r="Y174" s="112"/>
      <c r="Z174" s="112"/>
      <c r="AA174" s="170" t="str">
        <f t="shared" si="12"/>
        <v/>
      </c>
      <c r="AB174" s="112"/>
      <c r="AC174" s="112"/>
      <c r="AD174" s="112"/>
    </row>
    <row r="175" spans="1:30" ht="24.75" customHeight="1">
      <c r="A175" s="1"/>
      <c r="B175" s="219"/>
      <c r="C175" s="112"/>
      <c r="D175" s="3"/>
      <c r="E175" s="108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05"/>
      <c r="T175" s="111"/>
      <c r="U175" s="111"/>
      <c r="V175" s="111"/>
      <c r="W175" s="111"/>
      <c r="X175" s="110"/>
      <c r="Y175" s="112"/>
      <c r="Z175" s="112"/>
      <c r="AA175" s="170" t="str">
        <f t="shared" si="12"/>
        <v/>
      </c>
      <c r="AB175" s="112"/>
      <c r="AC175" s="112"/>
      <c r="AD175" s="112"/>
    </row>
    <row r="176" spans="1:30" ht="24.75" customHeight="1">
      <c r="A176" s="1"/>
      <c r="B176" s="219"/>
      <c r="C176" s="112"/>
      <c r="D176" s="3"/>
      <c r="E176" s="108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05"/>
      <c r="T176" s="111"/>
      <c r="U176" s="111"/>
      <c r="V176" s="111"/>
      <c r="W176" s="111"/>
      <c r="X176" s="110"/>
      <c r="Y176" s="112"/>
      <c r="Z176" s="112"/>
      <c r="AA176" s="170" t="str">
        <f t="shared" si="12"/>
        <v/>
      </c>
      <c r="AB176" s="112"/>
      <c r="AC176" s="112"/>
      <c r="AD176" s="112"/>
    </row>
    <row r="177" spans="1:30" ht="24.75" customHeight="1">
      <c r="A177" s="1"/>
      <c r="B177" s="219"/>
      <c r="C177" s="112"/>
      <c r="D177" s="3"/>
      <c r="E177" s="108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05"/>
      <c r="T177" s="111"/>
      <c r="U177" s="111"/>
      <c r="V177" s="111"/>
      <c r="W177" s="111"/>
      <c r="X177" s="110"/>
      <c r="Y177" s="112"/>
      <c r="Z177" s="112"/>
      <c r="AA177" s="170" t="str">
        <f t="shared" si="12"/>
        <v/>
      </c>
      <c r="AB177" s="112"/>
      <c r="AC177" s="112"/>
      <c r="AD177" s="112"/>
    </row>
    <row r="178" spans="1:30" ht="24.75" customHeight="1">
      <c r="A178" s="1"/>
      <c r="B178" s="219"/>
      <c r="C178" s="112"/>
      <c r="D178" s="3"/>
      <c r="E178" s="108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05"/>
      <c r="T178" s="111"/>
      <c r="U178" s="111"/>
      <c r="V178" s="111"/>
      <c r="W178" s="111"/>
      <c r="X178" s="110"/>
      <c r="Y178" s="112"/>
      <c r="Z178" s="112"/>
      <c r="AA178" s="170" t="str">
        <f t="shared" si="12"/>
        <v/>
      </c>
      <c r="AB178" s="112"/>
      <c r="AC178" s="112"/>
      <c r="AD178" s="112"/>
    </row>
    <row r="179" spans="1:30" ht="24.75" customHeight="1">
      <c r="A179" s="1"/>
      <c r="B179" s="219"/>
      <c r="C179" s="112"/>
      <c r="D179" s="3"/>
      <c r="E179" s="108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05"/>
      <c r="T179" s="111"/>
      <c r="U179" s="111"/>
      <c r="V179" s="111"/>
      <c r="W179" s="111"/>
      <c r="X179" s="110"/>
      <c r="Y179" s="112"/>
      <c r="Z179" s="112"/>
      <c r="AA179" s="170" t="str">
        <f t="shared" si="12"/>
        <v/>
      </c>
      <c r="AB179" s="112"/>
      <c r="AC179" s="112"/>
      <c r="AD179" s="112"/>
    </row>
    <row r="180" spans="1:30" ht="24.75" customHeight="1">
      <c r="A180" s="1"/>
      <c r="B180" s="219"/>
      <c r="C180" s="112"/>
      <c r="D180" s="221"/>
      <c r="E180" s="222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05"/>
      <c r="T180" s="111"/>
      <c r="U180" s="111"/>
      <c r="V180" s="111"/>
      <c r="W180" s="111"/>
      <c r="X180" s="110"/>
      <c r="Y180" s="112"/>
      <c r="Z180" s="112"/>
      <c r="AA180" s="170" t="str">
        <f t="shared" si="12"/>
        <v/>
      </c>
      <c r="AB180" s="112"/>
      <c r="AC180" s="112"/>
      <c r="AD180" s="112"/>
    </row>
    <row r="181" spans="1:30" ht="24.75" customHeight="1">
      <c r="A181" s="1"/>
      <c r="B181" s="219"/>
      <c r="C181" s="112"/>
      <c r="D181" s="221"/>
      <c r="E181" s="222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05"/>
      <c r="T181" s="111"/>
      <c r="U181" s="111"/>
      <c r="V181" s="111"/>
      <c r="W181" s="111"/>
      <c r="X181" s="110"/>
      <c r="Y181" s="112"/>
      <c r="Z181" s="112"/>
      <c r="AA181" s="170" t="str">
        <f t="shared" si="12"/>
        <v/>
      </c>
      <c r="AB181" s="112"/>
      <c r="AC181" s="112"/>
      <c r="AD181" s="112"/>
    </row>
    <row r="182" spans="1:30" ht="24.75" customHeight="1">
      <c r="A182" s="1"/>
      <c r="B182" s="219"/>
      <c r="C182" s="112"/>
      <c r="D182" s="221"/>
      <c r="E182" s="222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05"/>
      <c r="T182" s="111"/>
      <c r="U182" s="111"/>
      <c r="V182" s="111"/>
      <c r="W182" s="111"/>
      <c r="X182" s="110"/>
      <c r="Y182" s="112"/>
      <c r="Z182" s="112"/>
      <c r="AA182" s="170" t="str">
        <f t="shared" si="12"/>
        <v/>
      </c>
      <c r="AB182" s="112"/>
      <c r="AC182" s="112"/>
      <c r="AD182" s="112"/>
    </row>
    <row r="183" spans="1:30" ht="24.75" customHeight="1">
      <c r="A183" s="1"/>
      <c r="B183" s="219"/>
      <c r="C183" s="112"/>
      <c r="D183" s="221"/>
      <c r="E183" s="222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05"/>
      <c r="T183" s="111"/>
      <c r="U183" s="111"/>
      <c r="V183" s="111"/>
      <c r="W183" s="111"/>
      <c r="X183" s="110"/>
      <c r="Y183" s="112"/>
      <c r="Z183" s="112"/>
      <c r="AA183" s="170" t="str">
        <f t="shared" si="12"/>
        <v/>
      </c>
      <c r="AB183" s="112"/>
      <c r="AC183" s="112"/>
      <c r="AD183" s="112"/>
    </row>
    <row r="184" spans="1:30" ht="24.75" customHeight="1">
      <c r="A184" s="1"/>
      <c r="B184" s="219"/>
      <c r="C184" s="112"/>
      <c r="D184" s="221"/>
      <c r="E184" s="222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05"/>
      <c r="T184" s="111"/>
      <c r="U184" s="111"/>
      <c r="V184" s="111"/>
      <c r="W184" s="111"/>
      <c r="X184" s="110"/>
      <c r="Y184" s="112"/>
      <c r="Z184" s="112"/>
      <c r="AA184" s="170" t="str">
        <f t="shared" si="12"/>
        <v/>
      </c>
      <c r="AB184" s="112"/>
      <c r="AC184" s="112"/>
      <c r="AD184" s="112"/>
    </row>
    <row r="185" spans="1:30" ht="24.75" customHeight="1">
      <c r="A185" s="1"/>
      <c r="B185" s="219"/>
      <c r="C185" s="112"/>
      <c r="D185" s="221"/>
      <c r="E185" s="222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05"/>
      <c r="T185" s="111"/>
      <c r="U185" s="111"/>
      <c r="V185" s="111"/>
      <c r="W185" s="111"/>
      <c r="X185" s="110"/>
      <c r="Y185" s="112"/>
      <c r="Z185" s="112"/>
      <c r="AA185" s="170" t="str">
        <f t="shared" si="12"/>
        <v/>
      </c>
      <c r="AB185" s="112"/>
      <c r="AC185" s="112"/>
      <c r="AD185" s="112"/>
    </row>
    <row r="186" spans="1:30" ht="24.75" customHeight="1">
      <c r="A186" s="1"/>
      <c r="B186" s="219"/>
      <c r="C186" s="112"/>
      <c r="D186" s="221"/>
      <c r="E186" s="222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05"/>
      <c r="T186" s="111"/>
      <c r="U186" s="111"/>
      <c r="V186" s="111"/>
      <c r="W186" s="111"/>
      <c r="X186" s="110"/>
      <c r="Y186" s="112"/>
      <c r="Z186" s="112"/>
      <c r="AA186" s="170" t="str">
        <f t="shared" si="12"/>
        <v/>
      </c>
      <c r="AB186" s="112"/>
      <c r="AC186" s="112"/>
      <c r="AD186" s="112"/>
    </row>
    <row r="187" spans="1:30" ht="24.75" customHeight="1">
      <c r="A187" s="1"/>
      <c r="B187" s="219"/>
      <c r="C187" s="112"/>
      <c r="D187" s="221"/>
      <c r="E187" s="222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05"/>
      <c r="T187" s="111"/>
      <c r="U187" s="111"/>
      <c r="V187" s="111"/>
      <c r="W187" s="111"/>
      <c r="X187" s="110"/>
      <c r="Y187" s="112"/>
      <c r="Z187" s="112"/>
      <c r="AA187" s="170" t="str">
        <f t="shared" si="12"/>
        <v/>
      </c>
      <c r="AB187" s="112"/>
      <c r="AC187" s="112"/>
      <c r="AD187" s="112"/>
    </row>
    <row r="188" spans="1:30" ht="24.75" customHeight="1">
      <c r="A188" s="1"/>
      <c r="B188" s="219"/>
      <c r="C188" s="112"/>
      <c r="D188" s="221"/>
      <c r="E188" s="222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05"/>
      <c r="T188" s="111"/>
      <c r="U188" s="111"/>
      <c r="V188" s="111"/>
      <c r="W188" s="111"/>
      <c r="X188" s="110"/>
      <c r="Y188" s="112"/>
      <c r="Z188" s="112"/>
      <c r="AA188" s="170" t="str">
        <f t="shared" si="12"/>
        <v/>
      </c>
      <c r="AB188" s="112"/>
      <c r="AC188" s="112"/>
      <c r="AD188" s="112"/>
    </row>
    <row r="189" spans="1:30" ht="24.75" customHeight="1">
      <c r="A189" s="1"/>
      <c r="B189" s="219"/>
      <c r="C189" s="112"/>
      <c r="D189" s="221"/>
      <c r="E189" s="222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05"/>
      <c r="T189" s="111"/>
      <c r="U189" s="111"/>
      <c r="V189" s="111"/>
      <c r="W189" s="111"/>
      <c r="X189" s="110"/>
      <c r="Y189" s="112"/>
      <c r="Z189" s="112"/>
      <c r="AA189" s="170" t="str">
        <f t="shared" si="12"/>
        <v/>
      </c>
      <c r="AB189" s="112"/>
      <c r="AC189" s="112"/>
      <c r="AD189" s="112"/>
    </row>
    <row r="190" spans="1:30" ht="24.75" customHeight="1">
      <c r="A190" s="1"/>
      <c r="B190" s="219"/>
      <c r="C190" s="112"/>
      <c r="D190" s="221"/>
      <c r="E190" s="222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05"/>
      <c r="T190" s="111"/>
      <c r="U190" s="111"/>
      <c r="V190" s="111"/>
      <c r="W190" s="111"/>
      <c r="X190" s="110"/>
      <c r="Y190" s="112"/>
      <c r="Z190" s="112"/>
      <c r="AA190" s="170" t="str">
        <f t="shared" si="12"/>
        <v/>
      </c>
      <c r="AB190" s="112"/>
      <c r="AC190" s="112"/>
      <c r="AD190" s="112"/>
    </row>
    <row r="191" spans="1:30" ht="24.75" customHeight="1">
      <c r="A191" s="1"/>
      <c r="B191" s="219"/>
      <c r="C191" s="112"/>
      <c r="D191" s="221"/>
      <c r="E191" s="222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05"/>
      <c r="T191" s="111"/>
      <c r="U191" s="111"/>
      <c r="V191" s="111"/>
      <c r="W191" s="111"/>
      <c r="X191" s="110"/>
      <c r="Y191" s="112"/>
      <c r="Z191" s="112"/>
      <c r="AA191" s="170" t="str">
        <f t="shared" si="12"/>
        <v/>
      </c>
      <c r="AB191" s="112"/>
      <c r="AC191" s="112"/>
      <c r="AD191" s="112"/>
    </row>
    <row r="192" spans="1:30" ht="24.75" customHeight="1">
      <c r="A192" s="1"/>
      <c r="B192" s="219"/>
      <c r="C192" s="112"/>
      <c r="D192" s="221"/>
      <c r="E192" s="222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05"/>
      <c r="T192" s="111"/>
      <c r="U192" s="111"/>
      <c r="V192" s="111"/>
      <c r="W192" s="111"/>
      <c r="X192" s="110"/>
      <c r="Y192" s="112"/>
      <c r="Z192" s="112"/>
      <c r="AA192" s="170" t="str">
        <f t="shared" si="12"/>
        <v/>
      </c>
      <c r="AB192" s="112"/>
      <c r="AC192" s="112"/>
      <c r="AD192" s="112"/>
    </row>
    <row r="193" spans="1:30" ht="24.75" customHeight="1">
      <c r="A193" s="1"/>
      <c r="B193" s="219"/>
      <c r="C193" s="112"/>
      <c r="D193" s="3"/>
      <c r="E193" s="108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05"/>
      <c r="T193" s="111"/>
      <c r="U193" s="111"/>
      <c r="V193" s="111"/>
      <c r="W193" s="111"/>
      <c r="X193" s="110"/>
      <c r="Y193" s="112"/>
      <c r="Z193" s="112"/>
      <c r="AA193" s="170" t="str">
        <f t="shared" si="12"/>
        <v/>
      </c>
      <c r="AB193" s="112"/>
      <c r="AC193" s="112"/>
      <c r="AD193" s="112"/>
    </row>
    <row r="194" spans="1:30" ht="34.5" customHeight="1">
      <c r="A194" s="1"/>
      <c r="B194" s="219"/>
      <c r="C194" s="223"/>
      <c r="D194" s="3"/>
      <c r="E194" s="108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05"/>
      <c r="T194" s="111"/>
      <c r="U194" s="111"/>
      <c r="V194" s="111"/>
      <c r="W194" s="111"/>
      <c r="X194" s="110"/>
      <c r="Y194" s="112"/>
      <c r="Z194" s="112"/>
      <c r="AA194" s="170" t="str">
        <f t="shared" si="12"/>
        <v/>
      </c>
      <c r="AB194" s="112"/>
      <c r="AC194" s="112"/>
      <c r="AD194" s="112"/>
    </row>
    <row r="195" spans="1:30" ht="24.75" customHeight="1">
      <c r="A195" s="1"/>
      <c r="B195" s="219"/>
      <c r="C195" s="112"/>
      <c r="D195" s="3"/>
      <c r="E195" s="108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05"/>
      <c r="T195" s="111"/>
      <c r="U195" s="111"/>
      <c r="V195" s="111"/>
      <c r="W195" s="111"/>
      <c r="X195" s="110"/>
      <c r="Y195" s="112"/>
      <c r="Z195" s="112"/>
      <c r="AA195" s="170" t="str">
        <f t="shared" si="12"/>
        <v/>
      </c>
      <c r="AB195" s="112"/>
      <c r="AC195" s="112"/>
      <c r="AD195" s="112"/>
    </row>
    <row r="196" spans="1:30" ht="24.75" customHeight="1">
      <c r="A196" s="1"/>
      <c r="B196" s="219"/>
      <c r="C196" s="112"/>
      <c r="D196" s="3"/>
      <c r="E196" s="108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05"/>
      <c r="T196" s="111"/>
      <c r="U196" s="111"/>
      <c r="V196" s="111"/>
      <c r="W196" s="111"/>
      <c r="X196" s="110"/>
      <c r="Y196" s="112"/>
      <c r="Z196" s="112"/>
      <c r="AA196" s="170" t="str">
        <f t="shared" si="12"/>
        <v/>
      </c>
      <c r="AB196" s="112"/>
      <c r="AC196" s="112"/>
      <c r="AD196" s="112"/>
    </row>
    <row r="197" spans="1:30" ht="24.75" customHeight="1">
      <c r="A197" s="1"/>
      <c r="B197" s="219"/>
      <c r="C197" s="112"/>
      <c r="D197" s="3"/>
      <c r="E197" s="108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05"/>
      <c r="T197" s="111"/>
      <c r="U197" s="111"/>
      <c r="V197" s="111"/>
      <c r="W197" s="111"/>
      <c r="X197" s="110"/>
      <c r="Y197" s="112"/>
      <c r="Z197" s="112"/>
      <c r="AA197" s="170" t="str">
        <f t="shared" si="12"/>
        <v/>
      </c>
      <c r="AB197" s="112"/>
      <c r="AC197" s="112"/>
      <c r="AD197" s="112"/>
    </row>
    <row r="198" spans="1:30" ht="24.75" customHeight="1">
      <c r="A198" s="1"/>
      <c r="B198" s="219"/>
      <c r="C198" s="112"/>
      <c r="D198" s="3"/>
      <c r="E198" s="108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05"/>
      <c r="T198" s="111"/>
      <c r="U198" s="111"/>
      <c r="V198" s="111"/>
      <c r="W198" s="111"/>
      <c r="X198" s="110"/>
      <c r="Y198" s="112"/>
      <c r="Z198" s="112"/>
      <c r="AA198" s="170" t="str">
        <f t="shared" si="12"/>
        <v/>
      </c>
      <c r="AB198" s="112"/>
      <c r="AC198" s="112"/>
      <c r="AD198" s="112"/>
    </row>
    <row r="199" spans="1:30" ht="24.75" customHeight="1">
      <c r="A199" s="1"/>
      <c r="B199" s="219"/>
      <c r="C199" s="112"/>
      <c r="D199" s="3"/>
      <c r="E199" s="108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05"/>
      <c r="T199" s="111"/>
      <c r="U199" s="111"/>
      <c r="V199" s="111"/>
      <c r="W199" s="111"/>
      <c r="X199" s="110"/>
      <c r="Y199" s="112"/>
      <c r="Z199" s="112"/>
      <c r="AA199" s="170" t="str">
        <f t="shared" si="12"/>
        <v/>
      </c>
      <c r="AB199" s="112"/>
      <c r="AC199" s="112"/>
      <c r="AD199" s="112"/>
    </row>
    <row r="200" spans="1:30" ht="24.75" customHeight="1">
      <c r="A200" s="1"/>
      <c r="B200" s="219"/>
      <c r="C200" s="112"/>
      <c r="D200" s="3"/>
      <c r="E200" s="108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05"/>
      <c r="T200" s="111"/>
      <c r="U200" s="111"/>
      <c r="V200" s="111"/>
      <c r="W200" s="111"/>
      <c r="X200" s="110"/>
      <c r="Y200" s="112"/>
      <c r="Z200" s="112"/>
      <c r="AA200" s="170" t="str">
        <f t="shared" si="12"/>
        <v/>
      </c>
      <c r="AB200" s="112"/>
      <c r="AC200" s="112"/>
      <c r="AD200" s="112"/>
    </row>
    <row r="201" spans="1:30" ht="24.75" customHeight="1">
      <c r="A201" s="1"/>
      <c r="B201" s="219"/>
      <c r="C201" s="112"/>
      <c r="D201" s="3"/>
      <c r="E201" s="108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05"/>
      <c r="T201" s="111"/>
      <c r="U201" s="111"/>
      <c r="V201" s="111"/>
      <c r="W201" s="111"/>
      <c r="X201" s="110"/>
      <c r="Y201" s="112"/>
      <c r="Z201" s="112"/>
      <c r="AA201" s="170" t="str">
        <f>IF((D201)=0,"",(#REF!+1))</f>
        <v/>
      </c>
      <c r="AB201" s="112"/>
      <c r="AC201" s="112"/>
      <c r="AD201" s="112"/>
    </row>
    <row r="202" spans="1:30" ht="24.75" customHeight="1">
      <c r="A202" s="1"/>
      <c r="B202" s="219"/>
      <c r="C202" s="112"/>
      <c r="D202" s="3"/>
      <c r="E202" s="108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05"/>
      <c r="T202" s="111"/>
      <c r="U202" s="111"/>
      <c r="V202" s="111"/>
      <c r="W202" s="111"/>
      <c r="X202" s="110"/>
      <c r="Y202" s="112"/>
      <c r="Z202" s="112"/>
      <c r="AA202" s="170" t="str">
        <f t="shared" ref="AA202:AA203" si="13">IF((D202)=0,"",(B201+1))</f>
        <v/>
      </c>
      <c r="AB202" s="112"/>
      <c r="AC202" s="112"/>
      <c r="AD202" s="112"/>
    </row>
    <row r="203" spans="1:30" ht="24.75" customHeight="1">
      <c r="A203" s="1"/>
      <c r="B203" s="219"/>
      <c r="C203" s="112"/>
      <c r="D203" s="3"/>
      <c r="E203" s="108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05"/>
      <c r="T203" s="111"/>
      <c r="U203" s="111"/>
      <c r="V203" s="111"/>
      <c r="W203" s="111"/>
      <c r="X203" s="110"/>
      <c r="Y203" s="112"/>
      <c r="Z203" s="112"/>
      <c r="AA203" s="170" t="str">
        <f t="shared" si="13"/>
        <v/>
      </c>
      <c r="AB203" s="112"/>
      <c r="AC203" s="112"/>
      <c r="AD203" s="112"/>
    </row>
    <row r="204" spans="1:30" ht="24.75" customHeight="1">
      <c r="A204" s="1"/>
      <c r="B204" s="219"/>
      <c r="C204" s="112"/>
      <c r="D204" s="3"/>
      <c r="E204" s="108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05"/>
      <c r="T204" s="111"/>
      <c r="U204" s="111"/>
      <c r="V204" s="111"/>
      <c r="W204" s="111"/>
      <c r="X204" s="110"/>
      <c r="Y204" s="112"/>
      <c r="Z204" s="112"/>
      <c r="AA204" s="170" t="str">
        <f>IF((D204)=0,"",(#REF!+1))</f>
        <v/>
      </c>
      <c r="AB204" s="112"/>
      <c r="AC204" s="112"/>
      <c r="AD204" s="112"/>
    </row>
    <row r="205" spans="1:30" ht="24.75" customHeight="1">
      <c r="A205" s="1"/>
      <c r="B205" s="219"/>
      <c r="C205" s="112"/>
      <c r="D205" s="3"/>
      <c r="E205" s="108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05"/>
      <c r="T205" s="111"/>
      <c r="U205" s="111"/>
      <c r="V205" s="111"/>
      <c r="W205" s="111"/>
      <c r="X205" s="110"/>
      <c r="Y205" s="112"/>
      <c r="Z205" s="112"/>
      <c r="AA205" s="170" t="str">
        <f t="shared" ref="AA205:AA211" si="14">IF((D205)=0,"",(B204+1))</f>
        <v/>
      </c>
      <c r="AB205" s="112"/>
      <c r="AC205" s="112"/>
      <c r="AD205" s="112"/>
    </row>
    <row r="206" spans="1:30" ht="24.75" customHeight="1">
      <c r="A206" s="1"/>
      <c r="B206" s="219"/>
      <c r="C206" s="112"/>
      <c r="D206" s="3"/>
      <c r="E206" s="108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05"/>
      <c r="T206" s="111"/>
      <c r="U206" s="111"/>
      <c r="V206" s="111"/>
      <c r="W206" s="111"/>
      <c r="X206" s="110"/>
      <c r="Y206" s="112"/>
      <c r="Z206" s="112"/>
      <c r="AA206" s="170" t="str">
        <f t="shared" si="14"/>
        <v/>
      </c>
      <c r="AB206" s="112"/>
      <c r="AC206" s="112"/>
      <c r="AD206" s="112"/>
    </row>
    <row r="207" spans="1:30" ht="24.75" customHeight="1">
      <c r="A207" s="1"/>
      <c r="B207" s="219"/>
      <c r="C207" s="112"/>
      <c r="D207" s="3"/>
      <c r="E207" s="108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05"/>
      <c r="T207" s="111"/>
      <c r="U207" s="111"/>
      <c r="V207" s="111"/>
      <c r="W207" s="111"/>
      <c r="X207" s="110"/>
      <c r="Y207" s="112"/>
      <c r="Z207" s="112"/>
      <c r="AA207" s="170" t="str">
        <f t="shared" si="14"/>
        <v/>
      </c>
      <c r="AB207" s="112"/>
      <c r="AC207" s="112"/>
      <c r="AD207" s="112"/>
    </row>
    <row r="208" spans="1:30" ht="24.75" customHeight="1">
      <c r="A208" s="1"/>
      <c r="B208" s="219"/>
      <c r="C208" s="112"/>
      <c r="D208" s="3"/>
      <c r="E208" s="108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05"/>
      <c r="T208" s="111"/>
      <c r="U208" s="111"/>
      <c r="V208" s="111"/>
      <c r="W208" s="111"/>
      <c r="X208" s="110"/>
      <c r="Y208" s="112"/>
      <c r="Z208" s="112"/>
      <c r="AA208" s="170" t="str">
        <f t="shared" si="14"/>
        <v/>
      </c>
      <c r="AB208" s="112"/>
      <c r="AC208" s="112"/>
      <c r="AD208" s="112"/>
    </row>
    <row r="209" spans="1:30" ht="24.75" customHeight="1">
      <c r="A209" s="1"/>
      <c r="B209" s="219"/>
      <c r="C209" s="112"/>
      <c r="D209" s="3"/>
      <c r="E209" s="108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05"/>
      <c r="T209" s="111"/>
      <c r="U209" s="111"/>
      <c r="V209" s="111"/>
      <c r="W209" s="111"/>
      <c r="X209" s="110"/>
      <c r="Y209" s="112"/>
      <c r="Z209" s="112"/>
      <c r="AA209" s="170" t="str">
        <f t="shared" si="14"/>
        <v/>
      </c>
      <c r="AB209" s="112"/>
      <c r="AC209" s="112"/>
      <c r="AD209" s="112"/>
    </row>
    <row r="210" spans="1:30" ht="24.75" customHeight="1">
      <c r="A210" s="1"/>
      <c r="B210" s="219"/>
      <c r="C210" s="112"/>
      <c r="D210" s="3"/>
      <c r="E210" s="108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05"/>
      <c r="T210" s="111"/>
      <c r="U210" s="111"/>
      <c r="V210" s="111"/>
      <c r="W210" s="111"/>
      <c r="X210" s="110"/>
      <c r="Y210" s="112"/>
      <c r="Z210" s="112"/>
      <c r="AA210" s="170" t="str">
        <f t="shared" si="14"/>
        <v/>
      </c>
      <c r="AB210" s="112"/>
      <c r="AC210" s="112"/>
      <c r="AD210" s="112"/>
    </row>
    <row r="211" spans="1:30" ht="24.75" customHeight="1">
      <c r="A211" s="1"/>
      <c r="B211" s="219"/>
      <c r="C211" s="112"/>
      <c r="D211" s="3"/>
      <c r="E211" s="108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05"/>
      <c r="T211" s="111"/>
      <c r="U211" s="111"/>
      <c r="V211" s="111"/>
      <c r="W211" s="111"/>
      <c r="X211" s="110"/>
      <c r="Y211" s="112"/>
      <c r="Z211" s="112"/>
      <c r="AA211" s="170" t="str">
        <f t="shared" si="14"/>
        <v/>
      </c>
      <c r="AB211" s="112"/>
      <c r="AC211" s="112"/>
      <c r="AD211" s="112"/>
    </row>
    <row r="212" spans="1:30" ht="24.75" customHeight="1">
      <c r="A212" s="1"/>
      <c r="B212" s="219"/>
      <c r="C212" s="112"/>
      <c r="D212" s="3"/>
      <c r="E212" s="108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05"/>
      <c r="T212" s="111"/>
      <c r="U212" s="111"/>
      <c r="V212" s="111"/>
      <c r="W212" s="111"/>
      <c r="X212" s="110"/>
      <c r="Y212" s="112"/>
      <c r="Z212" s="112"/>
      <c r="AA212" s="170" t="str">
        <f>IF((D212)=0,"",(#REF!+1))</f>
        <v/>
      </c>
      <c r="AB212" s="112"/>
      <c r="AC212" s="112"/>
      <c r="AD212" s="112"/>
    </row>
    <row r="213" spans="1:30" ht="24.75" customHeight="1">
      <c r="A213" s="1"/>
      <c r="B213" s="219"/>
      <c r="C213" s="112"/>
      <c r="D213" s="3"/>
      <c r="E213" s="108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05"/>
      <c r="T213" s="111"/>
      <c r="U213" s="111"/>
      <c r="V213" s="111"/>
      <c r="W213" s="111"/>
      <c r="X213" s="110"/>
      <c r="Y213" s="112"/>
      <c r="Z213" s="112"/>
      <c r="AA213" s="170" t="str">
        <f t="shared" ref="AA213:AA224" si="15">IF((D213)=0,"",(B212+1))</f>
        <v/>
      </c>
      <c r="AB213" s="112"/>
      <c r="AC213" s="112"/>
      <c r="AD213" s="112"/>
    </row>
    <row r="214" spans="1:30" ht="24.75" customHeight="1">
      <c r="A214" s="1"/>
      <c r="B214" s="219"/>
      <c r="C214" s="112"/>
      <c r="D214" s="3"/>
      <c r="E214" s="108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05"/>
      <c r="T214" s="111"/>
      <c r="U214" s="111"/>
      <c r="V214" s="111"/>
      <c r="W214" s="111"/>
      <c r="X214" s="110"/>
      <c r="Y214" s="112"/>
      <c r="Z214" s="112"/>
      <c r="AA214" s="170" t="str">
        <f t="shared" si="15"/>
        <v/>
      </c>
      <c r="AB214" s="112"/>
      <c r="AC214" s="112"/>
      <c r="AD214" s="112"/>
    </row>
    <row r="215" spans="1:30" ht="24.75" customHeight="1">
      <c r="A215" s="1"/>
      <c r="B215" s="219"/>
      <c r="C215" s="112"/>
      <c r="D215" s="3"/>
      <c r="E215" s="108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05"/>
      <c r="T215" s="111"/>
      <c r="U215" s="111"/>
      <c r="V215" s="111"/>
      <c r="W215" s="111"/>
      <c r="X215" s="110"/>
      <c r="Y215" s="112"/>
      <c r="Z215" s="112"/>
      <c r="AA215" s="170" t="str">
        <f t="shared" si="15"/>
        <v/>
      </c>
      <c r="AB215" s="112"/>
      <c r="AC215" s="112"/>
      <c r="AD215" s="112"/>
    </row>
    <row r="216" spans="1:30" ht="24.75" customHeight="1">
      <c r="A216" s="1"/>
      <c r="B216" s="219"/>
      <c r="C216" s="112"/>
      <c r="D216" s="3"/>
      <c r="E216" s="108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05"/>
      <c r="T216" s="111"/>
      <c r="U216" s="111"/>
      <c r="V216" s="111"/>
      <c r="W216" s="111"/>
      <c r="X216" s="110"/>
      <c r="Y216" s="112"/>
      <c r="Z216" s="112"/>
      <c r="AA216" s="170" t="str">
        <f t="shared" si="15"/>
        <v/>
      </c>
      <c r="AB216" s="112"/>
      <c r="AC216" s="112"/>
      <c r="AD216" s="112"/>
    </row>
    <row r="217" spans="1:30" ht="24.75" customHeight="1">
      <c r="A217" s="1"/>
      <c r="B217" s="219"/>
      <c r="C217" s="112"/>
      <c r="D217" s="3"/>
      <c r="E217" s="108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05"/>
      <c r="T217" s="111"/>
      <c r="U217" s="111"/>
      <c r="V217" s="111"/>
      <c r="W217" s="111"/>
      <c r="X217" s="110"/>
      <c r="Y217" s="112"/>
      <c r="Z217" s="112"/>
      <c r="AA217" s="170" t="str">
        <f t="shared" si="15"/>
        <v/>
      </c>
      <c r="AB217" s="112"/>
      <c r="AC217" s="112"/>
      <c r="AD217" s="112"/>
    </row>
    <row r="218" spans="1:30" ht="24.75" customHeight="1">
      <c r="A218" s="1"/>
      <c r="B218" s="219"/>
      <c r="C218" s="112"/>
      <c r="D218" s="3"/>
      <c r="E218" s="108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05"/>
      <c r="T218" s="111"/>
      <c r="U218" s="111"/>
      <c r="V218" s="111"/>
      <c r="W218" s="111"/>
      <c r="X218" s="110"/>
      <c r="Y218" s="112"/>
      <c r="Z218" s="112"/>
      <c r="AA218" s="170" t="str">
        <f t="shared" si="15"/>
        <v/>
      </c>
      <c r="AB218" s="112"/>
      <c r="AC218" s="112"/>
      <c r="AD218" s="112"/>
    </row>
    <row r="219" spans="1:30" ht="24.75" customHeight="1">
      <c r="A219" s="1"/>
      <c r="B219" s="219"/>
      <c r="C219" s="112"/>
      <c r="D219" s="3"/>
      <c r="E219" s="108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05"/>
      <c r="T219" s="111"/>
      <c r="U219" s="111"/>
      <c r="V219" s="111"/>
      <c r="W219" s="111"/>
      <c r="X219" s="110"/>
      <c r="Y219" s="112"/>
      <c r="Z219" s="112"/>
      <c r="AA219" s="170" t="str">
        <f t="shared" si="15"/>
        <v/>
      </c>
      <c r="AB219" s="112"/>
      <c r="AC219" s="112"/>
      <c r="AD219" s="112"/>
    </row>
    <row r="220" spans="1:30" ht="24.75" customHeight="1">
      <c r="A220" s="1"/>
      <c r="B220" s="219"/>
      <c r="C220" s="112"/>
      <c r="D220" s="3"/>
      <c r="E220" s="108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05"/>
      <c r="T220" s="111"/>
      <c r="U220" s="111"/>
      <c r="V220" s="111"/>
      <c r="W220" s="111"/>
      <c r="X220" s="110"/>
      <c r="Y220" s="112"/>
      <c r="Z220" s="112"/>
      <c r="AA220" s="170" t="str">
        <f t="shared" si="15"/>
        <v/>
      </c>
      <c r="AB220" s="112"/>
      <c r="AC220" s="112"/>
      <c r="AD220" s="112"/>
    </row>
    <row r="221" spans="1:30" ht="24.75" customHeight="1">
      <c r="A221" s="1"/>
      <c r="B221" s="219"/>
      <c r="C221" s="112"/>
      <c r="D221" s="3"/>
      <c r="E221" s="108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05"/>
      <c r="T221" s="111"/>
      <c r="U221" s="111"/>
      <c r="V221" s="111"/>
      <c r="W221" s="111"/>
      <c r="X221" s="110"/>
      <c r="Y221" s="112"/>
      <c r="Z221" s="112"/>
      <c r="AA221" s="170" t="str">
        <f t="shared" si="15"/>
        <v/>
      </c>
      <c r="AB221" s="112"/>
      <c r="AC221" s="112"/>
      <c r="AD221" s="112"/>
    </row>
    <row r="222" spans="1:30" ht="24.75" customHeight="1">
      <c r="A222" s="1"/>
      <c r="B222" s="219"/>
      <c r="C222" s="112"/>
      <c r="D222" s="3"/>
      <c r="E222" s="108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05"/>
      <c r="T222" s="111"/>
      <c r="U222" s="111"/>
      <c r="V222" s="111"/>
      <c r="W222" s="111"/>
      <c r="X222" s="110"/>
      <c r="Y222" s="112"/>
      <c r="Z222" s="112"/>
      <c r="AA222" s="170" t="str">
        <f t="shared" si="15"/>
        <v/>
      </c>
      <c r="AB222" s="112"/>
      <c r="AC222" s="112"/>
      <c r="AD222" s="112"/>
    </row>
    <row r="223" spans="1:30" ht="24.75" customHeight="1">
      <c r="A223" s="1"/>
      <c r="B223" s="219"/>
      <c r="C223" s="112"/>
      <c r="D223" s="3"/>
      <c r="E223" s="108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05"/>
      <c r="T223" s="111"/>
      <c r="U223" s="111"/>
      <c r="V223" s="111"/>
      <c r="W223" s="111"/>
      <c r="X223" s="110"/>
      <c r="Y223" s="112"/>
      <c r="Z223" s="112"/>
      <c r="AA223" s="170" t="str">
        <f t="shared" si="15"/>
        <v/>
      </c>
      <c r="AB223" s="112"/>
      <c r="AC223" s="112"/>
      <c r="AD223" s="112"/>
    </row>
    <row r="224" spans="1:30" ht="24.75" customHeight="1">
      <c r="A224" s="1"/>
      <c r="B224" s="219"/>
      <c r="C224" s="112"/>
      <c r="D224" s="3"/>
      <c r="E224" s="108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05"/>
      <c r="T224" s="111"/>
      <c r="U224" s="111"/>
      <c r="V224" s="111"/>
      <c r="W224" s="111"/>
      <c r="X224" s="110"/>
      <c r="Y224" s="112"/>
      <c r="Z224" s="112"/>
      <c r="AA224" s="170" t="str">
        <f t="shared" si="15"/>
        <v/>
      </c>
      <c r="AB224" s="112"/>
      <c r="AC224" s="112"/>
      <c r="AD224" s="112"/>
    </row>
    <row r="225" spans="1:30" ht="24.75" customHeight="1">
      <c r="A225" s="1"/>
      <c r="B225" s="219"/>
      <c r="C225" s="112"/>
      <c r="D225" s="3"/>
      <c r="E225" s="108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05"/>
      <c r="T225" s="111"/>
      <c r="U225" s="111"/>
      <c r="V225" s="111"/>
      <c r="W225" s="111"/>
      <c r="X225" s="110"/>
      <c r="Y225" s="112"/>
      <c r="Z225" s="112"/>
      <c r="AA225" s="170"/>
      <c r="AB225" s="112"/>
      <c r="AC225" s="112"/>
      <c r="AD225" s="112"/>
    </row>
    <row r="226" spans="1:30" ht="24.75" customHeight="1">
      <c r="A226" s="1"/>
      <c r="B226" s="219"/>
      <c r="C226" s="224"/>
      <c r="D226" s="3"/>
      <c r="E226" s="108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05"/>
      <c r="T226" s="111"/>
      <c r="U226" s="111"/>
      <c r="V226" s="111"/>
      <c r="W226" s="111"/>
      <c r="X226" s="110"/>
      <c r="Y226" s="112"/>
      <c r="Z226" s="112"/>
      <c r="AA226" s="170"/>
      <c r="AB226" s="112"/>
      <c r="AC226" s="112"/>
      <c r="AD226" s="112"/>
    </row>
    <row r="227" spans="1:30" ht="24.75" customHeight="1">
      <c r="A227" s="1"/>
      <c r="B227" s="219"/>
      <c r="C227" s="112"/>
      <c r="D227" s="3"/>
      <c r="E227" s="108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05"/>
      <c r="T227" s="111"/>
      <c r="U227" s="111"/>
      <c r="V227" s="111"/>
      <c r="W227" s="111"/>
      <c r="X227" s="110"/>
      <c r="Y227" s="112"/>
      <c r="Z227" s="112"/>
      <c r="AA227" s="170"/>
      <c r="AB227" s="112"/>
      <c r="AC227" s="112"/>
      <c r="AD227" s="112"/>
    </row>
    <row r="228" spans="1:30" ht="24.75" customHeight="1">
      <c r="A228" s="1"/>
      <c r="B228" s="219"/>
      <c r="C228" s="112"/>
      <c r="D228" s="3"/>
      <c r="E228" s="108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05"/>
      <c r="T228" s="111"/>
      <c r="U228" s="111"/>
      <c r="V228" s="111"/>
      <c r="W228" s="111"/>
      <c r="X228" s="110"/>
      <c r="Y228" s="112"/>
      <c r="Z228" s="112"/>
      <c r="AA228" s="170"/>
      <c r="AB228" s="112"/>
      <c r="AC228" s="112"/>
      <c r="AD228" s="112"/>
    </row>
    <row r="229" spans="1:30" ht="24.75" customHeight="1">
      <c r="A229" s="1"/>
      <c r="B229" s="219"/>
      <c r="C229" s="112"/>
      <c r="D229" s="3"/>
      <c r="E229" s="108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05"/>
      <c r="T229" s="111"/>
      <c r="U229" s="111"/>
      <c r="V229" s="111"/>
      <c r="W229" s="111"/>
      <c r="X229" s="110"/>
      <c r="Y229" s="112"/>
      <c r="Z229" s="112"/>
      <c r="AA229" s="170"/>
      <c r="AB229" s="112"/>
      <c r="AC229" s="112"/>
      <c r="AD229" s="112"/>
    </row>
    <row r="230" spans="1:30" ht="27" customHeight="1">
      <c r="A230" s="1"/>
      <c r="B230" s="219"/>
      <c r="C230" s="112"/>
      <c r="D230" s="3"/>
      <c r="E230" s="108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05"/>
      <c r="T230" s="111"/>
      <c r="U230" s="111"/>
      <c r="V230" s="111"/>
      <c r="W230" s="111"/>
      <c r="X230" s="110"/>
      <c r="Y230" s="112"/>
      <c r="Z230" s="112"/>
      <c r="AA230" s="170" t="str">
        <f>IF((D230)=0,"",(#REF!+1))</f>
        <v/>
      </c>
      <c r="AB230" s="1"/>
      <c r="AC230" s="1"/>
      <c r="AD230" s="1"/>
    </row>
    <row r="231" spans="1:30" ht="27" customHeight="1">
      <c r="A231" s="1"/>
      <c r="B231" s="219"/>
      <c r="C231" s="112"/>
      <c r="D231" s="3"/>
      <c r="E231" s="108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05"/>
      <c r="T231" s="111"/>
      <c r="U231" s="111"/>
      <c r="V231" s="111"/>
      <c r="W231" s="111"/>
      <c r="X231" s="110"/>
      <c r="Y231" s="112"/>
      <c r="Z231" s="112"/>
      <c r="AA231" s="170"/>
      <c r="AB231" s="1"/>
      <c r="AC231" s="1"/>
      <c r="AD231" s="1"/>
    </row>
    <row r="232" spans="1:30" ht="27" customHeight="1">
      <c r="A232" s="1"/>
      <c r="B232" s="219"/>
      <c r="C232" s="112"/>
      <c r="D232" s="3"/>
      <c r="E232" s="108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05"/>
      <c r="T232" s="111"/>
      <c r="U232" s="111"/>
      <c r="V232" s="111"/>
      <c r="W232" s="111"/>
      <c r="X232" s="110"/>
      <c r="Y232" s="112"/>
      <c r="Z232" s="112"/>
      <c r="AA232" s="170"/>
      <c r="AB232" s="1"/>
      <c r="AC232" s="1"/>
      <c r="AD232" s="1"/>
    </row>
    <row r="233" spans="1:30" ht="27" customHeight="1">
      <c r="A233" s="1"/>
      <c r="B233" s="219"/>
      <c r="C233" s="112"/>
      <c r="D233" s="3"/>
      <c r="E233" s="108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05"/>
      <c r="T233" s="111"/>
      <c r="U233" s="111"/>
      <c r="V233" s="111"/>
      <c r="W233" s="111"/>
      <c r="X233" s="110"/>
      <c r="Y233" s="112"/>
      <c r="Z233" s="112"/>
      <c r="AA233" s="170"/>
      <c r="AB233" s="1"/>
      <c r="AC233" s="1"/>
      <c r="AD233" s="1"/>
    </row>
    <row r="234" spans="1:30" ht="27" customHeight="1">
      <c r="A234" s="1"/>
      <c r="B234" s="219"/>
      <c r="C234" s="112"/>
      <c r="D234" s="3"/>
      <c r="E234" s="108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05"/>
      <c r="T234" s="111"/>
      <c r="U234" s="111"/>
      <c r="V234" s="111"/>
      <c r="W234" s="111"/>
      <c r="X234" s="110"/>
      <c r="Y234" s="112"/>
      <c r="Z234" s="112"/>
      <c r="AA234" s="170"/>
      <c r="AB234" s="1"/>
      <c r="AC234" s="1"/>
      <c r="AD234" s="1"/>
    </row>
    <row r="235" spans="1:30" ht="27" customHeight="1">
      <c r="A235" s="1"/>
      <c r="B235" s="219"/>
      <c r="C235" s="112"/>
      <c r="D235" s="3"/>
      <c r="E235" s="108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05"/>
      <c r="T235" s="111"/>
      <c r="U235" s="111"/>
      <c r="V235" s="111"/>
      <c r="W235" s="111"/>
      <c r="X235" s="110"/>
      <c r="Y235" s="112"/>
      <c r="Z235" s="112"/>
      <c r="AA235" s="170"/>
      <c r="AB235" s="1"/>
      <c r="AC235" s="1"/>
      <c r="AD235" s="1"/>
    </row>
    <row r="236" spans="1:30" ht="27" customHeight="1">
      <c r="A236" s="1"/>
      <c r="B236" s="219"/>
      <c r="C236" s="112"/>
      <c r="D236" s="3"/>
      <c r="E236" s="108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05"/>
      <c r="T236" s="111"/>
      <c r="U236" s="111"/>
      <c r="V236" s="111"/>
      <c r="W236" s="111"/>
      <c r="X236" s="110"/>
      <c r="Y236" s="112"/>
      <c r="Z236" s="112"/>
      <c r="AA236" s="170"/>
      <c r="AB236" s="1"/>
      <c r="AC236" s="1"/>
      <c r="AD236" s="1"/>
    </row>
    <row r="237" spans="1:30" ht="27" customHeight="1">
      <c r="A237" s="1"/>
      <c r="B237" s="219"/>
      <c r="C237" s="112"/>
      <c r="D237" s="3"/>
      <c r="E237" s="108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05"/>
      <c r="T237" s="111"/>
      <c r="U237" s="111"/>
      <c r="V237" s="111"/>
      <c r="W237" s="111"/>
      <c r="X237" s="110"/>
      <c r="Y237" s="112"/>
      <c r="Z237" s="112"/>
      <c r="AA237" s="170"/>
      <c r="AB237" s="1"/>
      <c r="AC237" s="1"/>
      <c r="AD237" s="1"/>
    </row>
    <row r="238" spans="1:30" ht="27" customHeight="1">
      <c r="A238" s="1"/>
      <c r="B238" s="219"/>
      <c r="C238" s="112"/>
      <c r="D238" s="3"/>
      <c r="E238" s="108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05"/>
      <c r="T238" s="111"/>
      <c r="U238" s="111"/>
      <c r="V238" s="111"/>
      <c r="W238" s="111"/>
      <c r="X238" s="110"/>
      <c r="Y238" s="112"/>
      <c r="Z238" s="112"/>
      <c r="AA238" s="170"/>
      <c r="AB238" s="1"/>
      <c r="AC238" s="1"/>
      <c r="AD238" s="1"/>
    </row>
    <row r="239" spans="1:30" ht="27" customHeight="1">
      <c r="A239" s="1"/>
      <c r="B239" s="219"/>
      <c r="C239" s="224"/>
      <c r="D239" s="3"/>
      <c r="E239" s="108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05"/>
      <c r="T239" s="111"/>
      <c r="U239" s="111"/>
      <c r="V239" s="111"/>
      <c r="W239" s="111"/>
      <c r="X239" s="110"/>
      <c r="Y239" s="112"/>
      <c r="Z239" s="112"/>
      <c r="AA239" s="170"/>
      <c r="AB239" s="1"/>
      <c r="AC239" s="1"/>
      <c r="AD239" s="1"/>
    </row>
    <row r="240" spans="1:30" ht="27" customHeight="1">
      <c r="A240" s="1"/>
      <c r="B240" s="219"/>
      <c r="C240" s="112"/>
      <c r="D240" s="3"/>
      <c r="E240" s="108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05"/>
      <c r="T240" s="111"/>
      <c r="U240" s="111"/>
      <c r="V240" s="111"/>
      <c r="W240" s="111"/>
      <c r="X240" s="110"/>
      <c r="Y240" s="112"/>
      <c r="Z240" s="112"/>
      <c r="AA240" s="170"/>
      <c r="AB240" s="1"/>
      <c r="AC240" s="1"/>
      <c r="AD240" s="1"/>
    </row>
    <row r="241" spans="1:30" ht="27" customHeight="1">
      <c r="A241" s="1"/>
      <c r="B241" s="219"/>
      <c r="C241" s="112"/>
      <c r="D241" s="3"/>
      <c r="E241" s="108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05"/>
      <c r="T241" s="111"/>
      <c r="U241" s="111"/>
      <c r="V241" s="111"/>
      <c r="W241" s="111"/>
      <c r="X241" s="110"/>
      <c r="Y241" s="112"/>
      <c r="Z241" s="112"/>
      <c r="AA241" s="170"/>
      <c r="AB241" s="1"/>
      <c r="AC241" s="1"/>
      <c r="AD241" s="1"/>
    </row>
    <row r="242" spans="1:30" ht="27" customHeight="1">
      <c r="A242" s="1"/>
      <c r="B242" s="219"/>
      <c r="C242" s="112"/>
      <c r="D242" s="3"/>
      <c r="E242" s="108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05"/>
      <c r="T242" s="111"/>
      <c r="U242" s="111"/>
      <c r="V242" s="111"/>
      <c r="W242" s="111"/>
      <c r="X242" s="110"/>
      <c r="Y242" s="112"/>
      <c r="Z242" s="112"/>
      <c r="AA242" s="170"/>
      <c r="AB242" s="1"/>
      <c r="AC242" s="1"/>
      <c r="AD242" s="1"/>
    </row>
    <row r="243" spans="1:30" ht="27" customHeight="1">
      <c r="A243" s="1"/>
      <c r="B243" s="219"/>
      <c r="C243" s="112"/>
      <c r="D243" s="3"/>
      <c r="E243" s="108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05"/>
      <c r="T243" s="111"/>
      <c r="U243" s="111"/>
      <c r="V243" s="111"/>
      <c r="W243" s="111"/>
      <c r="X243" s="110"/>
      <c r="Y243" s="112"/>
      <c r="Z243" s="112"/>
      <c r="AA243" s="170"/>
      <c r="AB243" s="1"/>
      <c r="AC243" s="1"/>
      <c r="AD243" s="1"/>
    </row>
    <row r="244" spans="1:30" ht="27" customHeight="1">
      <c r="A244" s="1"/>
      <c r="B244" s="219"/>
      <c r="C244" s="112"/>
      <c r="D244" s="3"/>
      <c r="E244" s="108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05"/>
      <c r="T244" s="111"/>
      <c r="U244" s="111"/>
      <c r="V244" s="111"/>
      <c r="W244" s="111"/>
      <c r="X244" s="110"/>
      <c r="Y244" s="112"/>
      <c r="Z244" s="112"/>
      <c r="AA244" s="170"/>
      <c r="AB244" s="1"/>
      <c r="AC244" s="1"/>
      <c r="AD244" s="1"/>
    </row>
    <row r="245" spans="1:30" ht="27" customHeight="1">
      <c r="A245" s="1"/>
      <c r="B245" s="219"/>
      <c r="C245" s="112"/>
      <c r="D245" s="3"/>
      <c r="E245" s="108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05"/>
      <c r="T245" s="111"/>
      <c r="U245" s="111"/>
      <c r="V245" s="111"/>
      <c r="W245" s="111"/>
      <c r="X245" s="110"/>
      <c r="Y245" s="112"/>
      <c r="Z245" s="112"/>
      <c r="AA245" s="170"/>
      <c r="AB245" s="1"/>
      <c r="AC245" s="1"/>
      <c r="AD245" s="1"/>
    </row>
    <row r="246" spans="1:30" ht="27" customHeight="1">
      <c r="A246" s="1"/>
      <c r="B246" s="219"/>
      <c r="C246" s="112"/>
      <c r="D246" s="3"/>
      <c r="E246" s="108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05"/>
      <c r="T246" s="111"/>
      <c r="U246" s="111"/>
      <c r="V246" s="111"/>
      <c r="W246" s="111"/>
      <c r="X246" s="110"/>
      <c r="Y246" s="112"/>
      <c r="Z246" s="112"/>
      <c r="AA246" s="170"/>
      <c r="AB246" s="1"/>
      <c r="AC246" s="1"/>
      <c r="AD246" s="1"/>
    </row>
    <row r="247" spans="1:30" ht="27" customHeight="1">
      <c r="A247" s="1"/>
      <c r="B247" s="219"/>
      <c r="C247" s="112"/>
      <c r="D247" s="3"/>
      <c r="E247" s="108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05"/>
      <c r="T247" s="111"/>
      <c r="U247" s="111"/>
      <c r="V247" s="111"/>
      <c r="W247" s="111"/>
      <c r="X247" s="110"/>
      <c r="Y247" s="112"/>
      <c r="Z247" s="112"/>
      <c r="AA247" s="170"/>
      <c r="AB247" s="1"/>
      <c r="AC247" s="1"/>
      <c r="AD247" s="1"/>
    </row>
    <row r="248" spans="1:30" ht="27" customHeight="1">
      <c r="A248" s="1"/>
      <c r="B248" s="219"/>
      <c r="C248" s="112"/>
      <c r="D248" s="3"/>
      <c r="E248" s="108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05"/>
      <c r="T248" s="111"/>
      <c r="U248" s="111"/>
      <c r="V248" s="111"/>
      <c r="W248" s="111"/>
      <c r="X248" s="110"/>
      <c r="Y248" s="112"/>
      <c r="Z248" s="112"/>
      <c r="AA248" s="170"/>
      <c r="AB248" s="1"/>
      <c r="AC248" s="1"/>
      <c r="AD248" s="1"/>
    </row>
    <row r="249" spans="1:30" ht="27" customHeight="1">
      <c r="A249" s="1"/>
      <c r="B249" s="219"/>
      <c r="C249" s="112"/>
      <c r="D249" s="3"/>
      <c r="E249" s="108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05"/>
      <c r="T249" s="111"/>
      <c r="U249" s="111"/>
      <c r="V249" s="111"/>
      <c r="W249" s="111"/>
      <c r="X249" s="110"/>
      <c r="Y249" s="112"/>
      <c r="Z249" s="112"/>
      <c r="AA249" s="170"/>
      <c r="AB249" s="1"/>
      <c r="AC249" s="1"/>
      <c r="AD249" s="1"/>
    </row>
    <row r="250" spans="1:30" ht="27" customHeight="1">
      <c r="A250" s="1"/>
      <c r="B250" s="219"/>
      <c r="C250" s="112"/>
      <c r="D250" s="3"/>
      <c r="E250" s="108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05"/>
      <c r="T250" s="111"/>
      <c r="U250" s="111"/>
      <c r="V250" s="111"/>
      <c r="W250" s="111"/>
      <c r="X250" s="110"/>
      <c r="Y250" s="112"/>
      <c r="Z250" s="112"/>
      <c r="AA250" s="170"/>
      <c r="AB250" s="1"/>
      <c r="AC250" s="1"/>
      <c r="AD250" s="1"/>
    </row>
    <row r="251" spans="1:30" ht="27" customHeight="1">
      <c r="A251" s="1"/>
      <c r="B251" s="219"/>
      <c r="C251" s="112"/>
      <c r="D251" s="3"/>
      <c r="E251" s="108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05"/>
      <c r="T251" s="111"/>
      <c r="U251" s="111"/>
      <c r="V251" s="111"/>
      <c r="W251" s="111"/>
      <c r="X251" s="110"/>
      <c r="Y251" s="112"/>
      <c r="Z251" s="112"/>
      <c r="AA251" s="170"/>
      <c r="AB251" s="1"/>
      <c r="AC251" s="1"/>
      <c r="AD251" s="1"/>
    </row>
    <row r="252" spans="1:30" ht="27" customHeight="1">
      <c r="A252" s="1"/>
      <c r="B252" s="219"/>
      <c r="C252" s="112"/>
      <c r="D252" s="3"/>
      <c r="E252" s="108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05"/>
      <c r="T252" s="111"/>
      <c r="U252" s="111"/>
      <c r="V252" s="111"/>
      <c r="W252" s="111"/>
      <c r="X252" s="110"/>
      <c r="Y252" s="112"/>
      <c r="Z252" s="112"/>
      <c r="AA252" s="170"/>
      <c r="AB252" s="1"/>
      <c r="AC252" s="1"/>
      <c r="AD252" s="1"/>
    </row>
    <row r="253" spans="1:30" ht="27" customHeight="1">
      <c r="A253" s="1"/>
      <c r="B253" s="219"/>
      <c r="C253" s="112"/>
      <c r="D253" s="3"/>
      <c r="E253" s="108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2"/>
      <c r="Z253" s="112"/>
      <c r="AA253" s="170"/>
      <c r="AB253" s="1"/>
      <c r="AC253" s="1"/>
      <c r="AD253" s="1"/>
    </row>
    <row r="254" spans="1:30" ht="27" customHeight="1">
      <c r="A254" s="1"/>
      <c r="B254" s="106"/>
      <c r="C254" s="224"/>
      <c r="D254" s="3"/>
      <c r="E254" s="108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2"/>
      <c r="Z254" s="112"/>
      <c r="AA254" s="170"/>
      <c r="AB254" s="1"/>
      <c r="AC254" s="1"/>
      <c r="AD254" s="1"/>
    </row>
    <row r="255" spans="1:30" ht="27" customHeight="1">
      <c r="A255" s="1"/>
      <c r="B255" s="219"/>
      <c r="C255" s="112"/>
      <c r="D255" s="3"/>
      <c r="E255" s="108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2"/>
      <c r="Z255" s="112"/>
      <c r="AA255" s="170"/>
      <c r="AB255" s="1"/>
      <c r="AC255" s="1"/>
      <c r="AD255" s="1"/>
    </row>
    <row r="256" spans="1:30" ht="27" customHeight="1">
      <c r="A256" s="1"/>
      <c r="B256" s="219"/>
      <c r="C256" s="112"/>
      <c r="D256" s="3"/>
      <c r="E256" s="108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2"/>
      <c r="Z256" s="112"/>
      <c r="AA256" s="170"/>
      <c r="AB256" s="1"/>
      <c r="AC256" s="1"/>
      <c r="AD256" s="1"/>
    </row>
    <row r="257" spans="1:30" ht="27" customHeight="1">
      <c r="A257" s="1"/>
      <c r="B257" s="219"/>
      <c r="C257" s="112"/>
      <c r="D257" s="3"/>
      <c r="E257" s="108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2"/>
      <c r="Z257" s="112"/>
      <c r="AA257" s="170"/>
      <c r="AB257" s="1"/>
      <c r="AC257" s="1"/>
      <c r="AD257" s="1"/>
    </row>
    <row r="258" spans="1:30" ht="27" customHeight="1">
      <c r="A258" s="1"/>
      <c r="B258" s="219"/>
      <c r="C258" s="112"/>
      <c r="D258" s="3"/>
      <c r="E258" s="108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2"/>
      <c r="Z258" s="112"/>
      <c r="AA258" s="170"/>
      <c r="AB258" s="1"/>
      <c r="AC258" s="1"/>
      <c r="AD258" s="1"/>
    </row>
    <row r="259" spans="1:30" ht="27" customHeight="1">
      <c r="A259" s="1"/>
      <c r="B259" s="219"/>
      <c r="C259" s="112"/>
      <c r="D259" s="3"/>
      <c r="E259" s="108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2"/>
      <c r="Z259" s="112"/>
      <c r="AA259" s="170"/>
      <c r="AB259" s="1"/>
      <c r="AC259" s="1"/>
      <c r="AD259" s="1"/>
    </row>
    <row r="260" spans="1:30" ht="27" customHeight="1">
      <c r="A260" s="1"/>
      <c r="B260" s="219"/>
      <c r="C260" s="112"/>
      <c r="D260" s="3"/>
      <c r="E260" s="108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2"/>
      <c r="Z260" s="112"/>
      <c r="AA260" s="170"/>
      <c r="AB260" s="1"/>
      <c r="AC260" s="1"/>
      <c r="AD260" s="1"/>
    </row>
    <row r="261" spans="1:30" ht="27" customHeight="1">
      <c r="A261" s="1"/>
      <c r="B261" s="219"/>
      <c r="C261" s="112"/>
      <c r="D261" s="3"/>
      <c r="E261" s="108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2"/>
      <c r="Z261" s="112"/>
      <c r="AA261" s="170"/>
      <c r="AB261" s="1"/>
      <c r="AC261" s="1"/>
      <c r="AD261" s="1"/>
    </row>
    <row r="262" spans="1:30" ht="27" customHeight="1">
      <c r="A262" s="1"/>
      <c r="B262" s="219"/>
      <c r="C262" s="112"/>
      <c r="D262" s="3"/>
      <c r="E262" s="108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2"/>
      <c r="Z262" s="112"/>
      <c r="AA262" s="170"/>
      <c r="AB262" s="1"/>
      <c r="AC262" s="1"/>
      <c r="AD262" s="1"/>
    </row>
    <row r="263" spans="1:30" ht="27" customHeight="1">
      <c r="A263" s="1"/>
      <c r="B263" s="219"/>
      <c r="C263" s="112"/>
      <c r="D263" s="3"/>
      <c r="E263" s="108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2"/>
      <c r="Z263" s="112"/>
      <c r="AA263" s="170"/>
      <c r="AB263" s="1"/>
      <c r="AC263" s="1"/>
      <c r="AD263" s="1"/>
    </row>
    <row r="264" spans="1:30" ht="27" customHeight="1">
      <c r="A264" s="1"/>
      <c r="B264" s="219"/>
      <c r="C264" s="112"/>
      <c r="D264" s="3"/>
      <c r="E264" s="108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2"/>
      <c r="Z264" s="112"/>
      <c r="AA264" s="170"/>
      <c r="AB264" s="1"/>
      <c r="AC264" s="1"/>
      <c r="AD264" s="1"/>
    </row>
    <row r="265" spans="1:30" ht="27" customHeight="1">
      <c r="A265" s="1"/>
      <c r="B265" s="219"/>
      <c r="C265" s="112"/>
      <c r="D265" s="3"/>
      <c r="E265" s="108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2"/>
      <c r="Z265" s="112"/>
      <c r="AA265" s="170"/>
      <c r="AB265" s="1"/>
      <c r="AC265" s="1"/>
      <c r="AD265" s="1"/>
    </row>
    <row r="266" spans="1:30" ht="27" customHeight="1">
      <c r="A266" s="1"/>
      <c r="B266" s="219"/>
      <c r="C266" s="112"/>
      <c r="D266" s="3"/>
      <c r="E266" s="108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2"/>
      <c r="Z266" s="112"/>
      <c r="AA266" s="170"/>
      <c r="AB266" s="1"/>
      <c r="AC266" s="1"/>
      <c r="AD266" s="1"/>
    </row>
    <row r="267" spans="1:30" ht="27" customHeight="1">
      <c r="A267" s="1"/>
      <c r="B267" s="219"/>
      <c r="C267" s="112"/>
      <c r="D267" s="3"/>
      <c r="E267" s="108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2"/>
      <c r="Z267" s="112"/>
      <c r="AA267" s="170"/>
      <c r="AB267" s="1"/>
      <c r="AC267" s="1"/>
      <c r="AD267" s="1"/>
    </row>
    <row r="268" spans="1:30" ht="27" customHeight="1">
      <c r="A268" s="1"/>
      <c r="B268" s="219"/>
      <c r="C268" s="112"/>
      <c r="D268" s="3"/>
      <c r="E268" s="108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2"/>
      <c r="Z268" s="112"/>
      <c r="AA268" s="170"/>
      <c r="AB268" s="1"/>
      <c r="AC268" s="1"/>
      <c r="AD268" s="1"/>
    </row>
    <row r="269" spans="1:30" ht="27" customHeight="1">
      <c r="A269" s="1"/>
      <c r="B269" s="219"/>
      <c r="C269" s="112"/>
      <c r="D269" s="3"/>
      <c r="E269" s="108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2"/>
      <c r="Z269" s="112"/>
      <c r="AA269" s="170"/>
      <c r="AB269" s="1"/>
      <c r="AC269" s="1"/>
      <c r="AD269" s="1"/>
    </row>
    <row r="270" spans="1:30" ht="27" customHeight="1">
      <c r="A270" s="1"/>
      <c r="B270" s="219"/>
      <c r="C270" s="112"/>
      <c r="D270" s="3"/>
      <c r="E270" s="108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2"/>
      <c r="Z270" s="112"/>
      <c r="AA270" s="170"/>
      <c r="AB270" s="1"/>
      <c r="AC270" s="1"/>
      <c r="AD270" s="1"/>
    </row>
    <row r="271" spans="1:30" ht="27" customHeight="1">
      <c r="A271" s="1"/>
      <c r="B271" s="219"/>
      <c r="C271" s="112"/>
      <c r="D271" s="3"/>
      <c r="E271" s="108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2"/>
      <c r="Z271" s="112"/>
      <c r="AA271" s="170"/>
      <c r="AB271" s="1"/>
      <c r="AC271" s="1"/>
      <c r="AD271" s="1"/>
    </row>
    <row r="272" spans="1:30" ht="27" customHeight="1">
      <c r="A272" s="1"/>
      <c r="B272" s="219"/>
      <c r="C272" s="112"/>
      <c r="D272" s="3"/>
      <c r="E272" s="108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2"/>
      <c r="Z272" s="112"/>
      <c r="AA272" s="170"/>
      <c r="AB272" s="1"/>
      <c r="AC272" s="1"/>
      <c r="AD272" s="1"/>
    </row>
    <row r="273" spans="1:30" ht="27" customHeight="1">
      <c r="A273" s="1"/>
      <c r="B273" s="219"/>
      <c r="C273" s="112"/>
      <c r="D273" s="3"/>
      <c r="E273" s="108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2"/>
      <c r="Z273" s="112"/>
      <c r="AA273" s="170"/>
      <c r="AB273" s="1"/>
      <c r="AC273" s="1"/>
      <c r="AD273" s="1"/>
    </row>
    <row r="274" spans="1:30" ht="27" customHeight="1">
      <c r="A274" s="1"/>
      <c r="B274" s="219"/>
      <c r="C274" s="112"/>
      <c r="D274" s="3"/>
      <c r="E274" s="108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2"/>
      <c r="Z274" s="112"/>
      <c r="AA274" s="170"/>
      <c r="AB274" s="1"/>
      <c r="AC274" s="1"/>
      <c r="AD274" s="1"/>
    </row>
    <row r="275" spans="1:30" ht="27" customHeight="1">
      <c r="A275" s="1"/>
      <c r="B275" s="219"/>
      <c r="C275" s="112"/>
      <c r="D275" s="3"/>
      <c r="E275" s="108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2"/>
      <c r="Z275" s="112"/>
      <c r="AA275" s="170"/>
      <c r="AB275" s="1"/>
      <c r="AC275" s="1"/>
      <c r="AD275" s="1"/>
    </row>
    <row r="276" spans="1:30" ht="27" customHeight="1">
      <c r="A276" s="1"/>
      <c r="B276" s="219"/>
      <c r="C276" s="112"/>
      <c r="D276" s="3"/>
      <c r="E276" s="108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2"/>
      <c r="Z276" s="112"/>
      <c r="AA276" s="170"/>
      <c r="AB276" s="1"/>
      <c r="AC276" s="1"/>
      <c r="AD276" s="1"/>
    </row>
    <row r="277" spans="1:30" ht="27" customHeight="1">
      <c r="A277" s="1"/>
      <c r="B277" s="219"/>
      <c r="C277" s="112"/>
      <c r="D277" s="3"/>
      <c r="E277" s="108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2"/>
      <c r="Z277" s="112"/>
      <c r="AA277" s="170"/>
      <c r="AB277" s="1"/>
      <c r="AC277" s="1"/>
      <c r="AD277" s="1"/>
    </row>
    <row r="278" spans="1:30" ht="27" customHeight="1">
      <c r="A278" s="1"/>
      <c r="B278" s="219"/>
      <c r="C278" s="112"/>
      <c r="D278" s="3"/>
      <c r="E278" s="108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2"/>
      <c r="Z278" s="112"/>
      <c r="AA278" s="170"/>
      <c r="AB278" s="1"/>
      <c r="AC278" s="1"/>
      <c r="AD278" s="1"/>
    </row>
    <row r="279" spans="1:30" ht="27" customHeight="1">
      <c r="A279" s="1"/>
      <c r="B279" s="219"/>
      <c r="C279" s="112"/>
      <c r="D279" s="3"/>
      <c r="E279" s="108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2"/>
      <c r="Z279" s="112"/>
      <c r="AA279" s="170"/>
      <c r="AB279" s="1"/>
      <c r="AC279" s="1"/>
      <c r="AD279" s="1"/>
    </row>
    <row r="280" spans="1:30" ht="27" customHeight="1">
      <c r="A280" s="1"/>
      <c r="B280" s="219"/>
      <c r="C280" s="112"/>
      <c r="D280" s="3"/>
      <c r="E280" s="108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2"/>
      <c r="Z280" s="112"/>
      <c r="AA280" s="170"/>
      <c r="AB280" s="1"/>
      <c r="AC280" s="1"/>
      <c r="AD280" s="1"/>
    </row>
    <row r="281" spans="1:30" ht="27" customHeight="1">
      <c r="A281" s="1"/>
      <c r="B281" s="219"/>
      <c r="C281" s="112"/>
      <c r="D281" s="3"/>
      <c r="E281" s="108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2"/>
      <c r="Z281" s="112"/>
      <c r="AA281" s="170"/>
      <c r="AB281" s="1"/>
      <c r="AC281" s="1"/>
      <c r="AD281" s="1"/>
    </row>
    <row r="282" spans="1:30" ht="27" customHeight="1">
      <c r="A282" s="1"/>
      <c r="B282" s="219"/>
      <c r="C282" s="112"/>
      <c r="D282" s="3"/>
      <c r="E282" s="108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2"/>
      <c r="Z282" s="112"/>
      <c r="AA282" s="170"/>
      <c r="AB282" s="1"/>
      <c r="AC282" s="1"/>
      <c r="AD282" s="1"/>
    </row>
    <row r="283" spans="1:30" ht="27" customHeight="1">
      <c r="A283" s="1"/>
      <c r="B283" s="219"/>
      <c r="C283" s="112"/>
      <c r="D283" s="3"/>
      <c r="E283" s="108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2"/>
      <c r="Z283" s="112"/>
      <c r="AA283" s="170"/>
      <c r="AB283" s="1"/>
      <c r="AC283" s="1"/>
      <c r="AD283" s="1"/>
    </row>
    <row r="284" spans="1:30" ht="27" customHeight="1">
      <c r="A284" s="1"/>
      <c r="B284" s="219"/>
      <c r="C284" s="112"/>
      <c r="D284" s="3"/>
      <c r="E284" s="108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2"/>
      <c r="Z284" s="112"/>
      <c r="AA284" s="170"/>
      <c r="AB284" s="1"/>
      <c r="AC284" s="1"/>
      <c r="AD284" s="1"/>
    </row>
    <row r="285" spans="1:30" ht="27" customHeight="1">
      <c r="A285" s="1"/>
      <c r="B285" s="106"/>
      <c r="C285" s="112"/>
      <c r="D285" s="3"/>
      <c r="E285" s="108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2"/>
      <c r="Z285" s="112"/>
      <c r="AA285" s="170"/>
      <c r="AB285" s="1"/>
      <c r="AC285" s="1"/>
      <c r="AD285" s="1"/>
    </row>
    <row r="286" spans="1:30" ht="27" customHeight="1">
      <c r="A286" s="1"/>
      <c r="B286" s="106"/>
      <c r="C286" s="112"/>
      <c r="D286" s="3"/>
      <c r="E286" s="108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2"/>
      <c r="Z286" s="112"/>
      <c r="AA286" s="170"/>
      <c r="AB286" s="1"/>
      <c r="AC286" s="1"/>
      <c r="AD286" s="1"/>
    </row>
    <row r="287" spans="1:30" ht="27" customHeight="1">
      <c r="A287" s="1"/>
      <c r="B287" s="106"/>
      <c r="C287" s="112"/>
      <c r="D287" s="3"/>
      <c r="E287" s="108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2"/>
      <c r="Z287" s="112"/>
      <c r="AA287" s="170"/>
      <c r="AB287" s="1"/>
      <c r="AC287" s="1"/>
      <c r="AD287" s="1"/>
    </row>
    <row r="288" spans="1:30" ht="27" customHeight="1">
      <c r="A288" s="1"/>
      <c r="B288" s="106"/>
      <c r="C288" s="112"/>
      <c r="D288" s="3"/>
      <c r="E288" s="108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2"/>
      <c r="Z288" s="112"/>
      <c r="AA288" s="170"/>
      <c r="AB288" s="1"/>
      <c r="AC288" s="1"/>
      <c r="AD288" s="1"/>
    </row>
    <row r="289" spans="1:30" ht="27" customHeight="1">
      <c r="A289" s="1"/>
      <c r="B289" s="106"/>
      <c r="C289" s="112"/>
      <c r="D289" s="3"/>
      <c r="E289" s="108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2"/>
      <c r="Z289" s="112"/>
      <c r="AA289" s="170"/>
      <c r="AB289" s="1"/>
      <c r="AC289" s="1"/>
      <c r="AD289" s="1"/>
    </row>
    <row r="290" spans="1:30" ht="27" customHeight="1">
      <c r="A290" s="1"/>
      <c r="B290" s="106"/>
      <c r="C290" s="112"/>
      <c r="D290" s="3"/>
      <c r="E290" s="108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2"/>
      <c r="Z290" s="112"/>
      <c r="AA290" s="170"/>
      <c r="AB290" s="1"/>
      <c r="AC290" s="1"/>
      <c r="AD290" s="1"/>
    </row>
    <row r="291" spans="1:30" ht="27" customHeight="1">
      <c r="A291" s="1"/>
      <c r="B291" s="106"/>
      <c r="C291" s="112"/>
      <c r="D291" s="3"/>
      <c r="E291" s="108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2"/>
      <c r="Z291" s="112"/>
      <c r="AA291" s="170"/>
      <c r="AB291" s="1"/>
      <c r="AC291" s="1"/>
      <c r="AD291" s="1"/>
    </row>
    <row r="292" spans="1:30" ht="27" customHeight="1">
      <c r="A292" s="1"/>
      <c r="B292" s="106"/>
      <c r="C292" s="112"/>
      <c r="D292" s="3"/>
      <c r="E292" s="108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2"/>
      <c r="Z292" s="112"/>
      <c r="AA292" s="170"/>
      <c r="AB292" s="1"/>
      <c r="AC292" s="1"/>
      <c r="AD292" s="1"/>
    </row>
    <row r="293" spans="1:30" ht="27" customHeight="1">
      <c r="A293" s="1"/>
      <c r="B293" s="106"/>
      <c r="C293" s="112"/>
      <c r="D293" s="3"/>
      <c r="E293" s="108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2"/>
      <c r="Z293" s="112"/>
      <c r="AA293" s="170"/>
      <c r="AB293" s="1"/>
      <c r="AC293" s="1"/>
      <c r="AD293" s="1"/>
    </row>
    <row r="294" spans="1:30" ht="27" customHeight="1">
      <c r="A294" s="1"/>
      <c r="B294" s="106"/>
      <c r="C294" s="112"/>
      <c r="D294" s="3"/>
      <c r="E294" s="108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2"/>
      <c r="Z294" s="112"/>
      <c r="AA294" s="170"/>
      <c r="AB294" s="1"/>
      <c r="AC294" s="1"/>
      <c r="AD294" s="1"/>
    </row>
    <row r="295" spans="1:30" ht="27" customHeight="1">
      <c r="A295" s="1"/>
      <c r="B295" s="106"/>
      <c r="C295" s="112"/>
      <c r="D295" s="3"/>
      <c r="E295" s="108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2"/>
      <c r="Z295" s="112"/>
      <c r="AA295" s="170"/>
      <c r="AB295" s="1"/>
      <c r="AC295" s="1"/>
      <c r="AD295" s="1"/>
    </row>
    <row r="296" spans="1:30" ht="27" customHeight="1">
      <c r="A296" s="1"/>
      <c r="B296" s="106"/>
      <c r="C296" s="112"/>
      <c r="D296" s="3"/>
      <c r="E296" s="108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2"/>
      <c r="Z296" s="112"/>
      <c r="AA296" s="170"/>
      <c r="AB296" s="1"/>
      <c r="AC296" s="1"/>
      <c r="AD296" s="1"/>
    </row>
    <row r="297" spans="1:30" ht="27" customHeight="1">
      <c r="A297" s="1"/>
      <c r="B297" s="106"/>
      <c r="C297" s="112"/>
      <c r="D297" s="3"/>
      <c r="E297" s="108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2"/>
      <c r="Z297" s="112"/>
      <c r="AA297" s="170"/>
      <c r="AB297" s="1"/>
      <c r="AC297" s="1"/>
      <c r="AD297" s="1"/>
    </row>
    <row r="298" spans="1:30" ht="27" customHeight="1">
      <c r="A298" s="1"/>
      <c r="B298" s="106"/>
      <c r="C298" s="112"/>
      <c r="D298" s="3"/>
      <c r="E298" s="108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2"/>
      <c r="Z298" s="112"/>
      <c r="AA298" s="170"/>
      <c r="AB298" s="1"/>
      <c r="AC298" s="1"/>
      <c r="AD298" s="1"/>
    </row>
    <row r="299" spans="1:30" ht="27" customHeight="1">
      <c r="A299" s="1"/>
      <c r="B299" s="106"/>
      <c r="C299" s="112"/>
      <c r="D299" s="3"/>
      <c r="E299" s="108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2"/>
      <c r="Z299" s="112"/>
      <c r="AA299" s="170"/>
      <c r="AB299" s="1"/>
      <c r="AC299" s="1"/>
      <c r="AD299" s="1"/>
    </row>
    <row r="300" spans="1:30" ht="27" customHeight="1">
      <c r="A300" s="1"/>
      <c r="B300" s="106"/>
      <c r="C300" s="112"/>
      <c r="D300" s="3"/>
      <c r="E300" s="108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2"/>
      <c r="Z300" s="112"/>
      <c r="AA300" s="170"/>
      <c r="AB300" s="1"/>
      <c r="AC300" s="1"/>
      <c r="AD300" s="1"/>
    </row>
    <row r="301" spans="1:30" ht="27" customHeight="1">
      <c r="A301" s="1"/>
      <c r="B301" s="106"/>
      <c r="C301" s="112"/>
      <c r="D301" s="3"/>
      <c r="E301" s="108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2"/>
      <c r="Z301" s="112"/>
      <c r="AA301" s="170"/>
      <c r="AB301" s="1"/>
      <c r="AC301" s="1"/>
      <c r="AD301" s="1"/>
    </row>
    <row r="302" spans="1:30" ht="27" customHeight="1">
      <c r="A302" s="1"/>
      <c r="B302" s="106"/>
      <c r="C302" s="112"/>
      <c r="D302" s="3"/>
      <c r="E302" s="108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2"/>
      <c r="Z302" s="112"/>
      <c r="AA302" s="170"/>
      <c r="AB302" s="1"/>
      <c r="AC302" s="1"/>
      <c r="AD302" s="1"/>
    </row>
    <row r="303" spans="1:30" ht="27" customHeight="1">
      <c r="A303" s="1"/>
      <c r="B303" s="106"/>
      <c r="C303" s="112"/>
      <c r="D303" s="3"/>
      <c r="E303" s="108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2"/>
      <c r="Z303" s="112"/>
      <c r="AA303" s="170"/>
      <c r="AB303" s="1"/>
      <c r="AC303" s="1"/>
      <c r="AD303" s="1"/>
    </row>
    <row r="304" spans="1:30" ht="27" customHeight="1">
      <c r="A304" s="1"/>
      <c r="B304" s="106"/>
      <c r="C304" s="112"/>
      <c r="D304" s="3"/>
      <c r="E304" s="108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2"/>
      <c r="Z304" s="112"/>
      <c r="AA304" s="170"/>
      <c r="AB304" s="1"/>
      <c r="AC304" s="1"/>
      <c r="AD304" s="1"/>
    </row>
    <row r="305" spans="1:30" ht="27" customHeight="1">
      <c r="A305" s="1"/>
      <c r="B305" s="106"/>
      <c r="C305" s="112"/>
      <c r="D305" s="3"/>
      <c r="E305" s="108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2"/>
      <c r="Z305" s="112"/>
      <c r="AA305" s="170"/>
      <c r="AB305" s="1"/>
      <c r="AC305" s="1"/>
      <c r="AD305" s="1"/>
    </row>
    <row r="306" spans="1:30" ht="27" customHeight="1">
      <c r="A306" s="1"/>
      <c r="B306" s="106"/>
      <c r="C306" s="112"/>
      <c r="D306" s="3"/>
      <c r="E306" s="108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2"/>
      <c r="Z306" s="112"/>
      <c r="AA306" s="170"/>
      <c r="AB306" s="1"/>
      <c r="AC306" s="1"/>
      <c r="AD306" s="1"/>
    </row>
    <row r="307" spans="1:30" ht="27" customHeight="1">
      <c r="A307" s="1"/>
      <c r="B307" s="106"/>
      <c r="C307" s="112"/>
      <c r="D307" s="3"/>
      <c r="E307" s="108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2"/>
      <c r="Z307" s="112"/>
      <c r="AA307" s="170"/>
      <c r="AB307" s="1"/>
      <c r="AC307" s="1"/>
      <c r="AD307" s="1"/>
    </row>
    <row r="308" spans="1:30" ht="27" customHeight="1">
      <c r="A308" s="1"/>
      <c r="B308" s="106"/>
      <c r="C308" s="112"/>
      <c r="D308" s="3"/>
      <c r="E308" s="108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2"/>
      <c r="Z308" s="112"/>
      <c r="AA308" s="170"/>
      <c r="AB308" s="1"/>
      <c r="AC308" s="1"/>
      <c r="AD308" s="1"/>
    </row>
    <row r="309" spans="1:30" ht="27" customHeight="1">
      <c r="A309" s="1"/>
      <c r="B309" s="106"/>
      <c r="C309" s="112"/>
      <c r="D309" s="3"/>
      <c r="E309" s="108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2"/>
      <c r="Z309" s="112"/>
      <c r="AA309" s="170"/>
      <c r="AB309" s="1"/>
      <c r="AC309" s="1"/>
      <c r="AD309" s="1"/>
    </row>
    <row r="310" spans="1:30" ht="27" customHeight="1">
      <c r="A310" s="1"/>
      <c r="B310" s="106"/>
      <c r="C310" s="112"/>
      <c r="D310" s="3"/>
      <c r="E310" s="108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2"/>
      <c r="Z310" s="112"/>
      <c r="AA310" s="170"/>
      <c r="AB310" s="1"/>
      <c r="AC310" s="1"/>
      <c r="AD310" s="1"/>
    </row>
    <row r="311" spans="1:30" ht="15.75" customHeight="1"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11"/>
      <c r="U311" s="111"/>
      <c r="V311" s="111"/>
      <c r="W311" s="111"/>
      <c r="X311" s="105"/>
    </row>
    <row r="312" spans="1:30" ht="15.75" customHeight="1"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11"/>
      <c r="U312" s="111"/>
      <c r="V312" s="111"/>
      <c r="W312" s="111"/>
      <c r="X312" s="105"/>
    </row>
    <row r="313" spans="1:30" ht="15.75" customHeight="1"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11"/>
      <c r="U313" s="111"/>
      <c r="V313" s="111"/>
      <c r="W313" s="111"/>
      <c r="X313" s="105"/>
    </row>
    <row r="314" spans="1:30" ht="15.75" customHeight="1"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11"/>
      <c r="U314" s="111"/>
      <c r="V314" s="111"/>
      <c r="W314" s="111"/>
      <c r="X314" s="105"/>
    </row>
    <row r="315" spans="1:30" ht="15.75" customHeight="1"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11"/>
      <c r="U315" s="111"/>
      <c r="V315" s="111"/>
      <c r="W315" s="111"/>
      <c r="X315" s="105"/>
    </row>
    <row r="316" spans="1:30" ht="15.75" customHeight="1"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11"/>
      <c r="U316" s="111"/>
      <c r="V316" s="111"/>
      <c r="W316" s="111"/>
      <c r="X316" s="105"/>
    </row>
    <row r="317" spans="1:30" ht="15.75" customHeight="1"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11"/>
      <c r="U317" s="111"/>
      <c r="V317" s="111"/>
      <c r="W317" s="111"/>
      <c r="X317" s="105"/>
    </row>
    <row r="318" spans="1:30" ht="15.75" customHeight="1"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11"/>
      <c r="U318" s="111"/>
      <c r="V318" s="111"/>
      <c r="W318" s="111"/>
      <c r="X318" s="105"/>
    </row>
    <row r="319" spans="1:30" ht="15.75" customHeight="1"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11"/>
      <c r="U319" s="111"/>
      <c r="V319" s="111"/>
      <c r="W319" s="111"/>
      <c r="X319" s="105"/>
    </row>
    <row r="320" spans="1:30" ht="15.75" customHeight="1"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11"/>
      <c r="U320" s="111"/>
      <c r="V320" s="111"/>
      <c r="W320" s="111"/>
      <c r="X320" s="105"/>
    </row>
    <row r="321" spans="2:24" ht="15.75" customHeight="1"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11"/>
      <c r="U321" s="111"/>
      <c r="V321" s="111"/>
      <c r="W321" s="111"/>
      <c r="X321" s="105"/>
    </row>
    <row r="322" spans="2:24" ht="15.75" customHeight="1"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11"/>
      <c r="U322" s="111"/>
      <c r="V322" s="111"/>
      <c r="W322" s="111"/>
      <c r="X322" s="105"/>
    </row>
    <row r="323" spans="2:24" ht="15.75" customHeight="1"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11"/>
      <c r="U323" s="111"/>
      <c r="V323" s="111"/>
      <c r="W323" s="111"/>
      <c r="X323" s="105"/>
    </row>
    <row r="324" spans="2:24" ht="15.75" customHeight="1"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11"/>
      <c r="U324" s="111"/>
      <c r="V324" s="111"/>
      <c r="W324" s="111"/>
      <c r="X324" s="105"/>
    </row>
    <row r="325" spans="2:24" ht="15.75" customHeight="1"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11"/>
      <c r="U325" s="111"/>
      <c r="V325" s="111"/>
      <c r="W325" s="111"/>
      <c r="X325" s="105"/>
    </row>
    <row r="326" spans="2:24" ht="15.75" customHeight="1"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11"/>
      <c r="U326" s="111"/>
      <c r="V326" s="111"/>
      <c r="W326" s="111"/>
      <c r="X326" s="105"/>
    </row>
    <row r="327" spans="2:24" ht="15.75" customHeight="1"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11"/>
      <c r="U327" s="111"/>
      <c r="V327" s="111"/>
      <c r="W327" s="111"/>
      <c r="X327" s="105"/>
    </row>
    <row r="328" spans="2:24" ht="15.75" customHeight="1"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11"/>
      <c r="U328" s="111"/>
      <c r="V328" s="111"/>
      <c r="W328" s="111"/>
      <c r="X328" s="105"/>
    </row>
    <row r="329" spans="2:24" ht="15.75" customHeight="1"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11"/>
      <c r="U329" s="111"/>
      <c r="V329" s="111"/>
      <c r="W329" s="111"/>
      <c r="X329" s="105"/>
    </row>
    <row r="330" spans="2:24" ht="15.75" customHeight="1"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11"/>
      <c r="U330" s="111"/>
      <c r="V330" s="111"/>
      <c r="W330" s="111"/>
      <c r="X330" s="105"/>
    </row>
    <row r="331" spans="2:24" ht="15.75" customHeight="1"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11"/>
      <c r="U331" s="111"/>
      <c r="V331" s="111"/>
      <c r="W331" s="111"/>
      <c r="X331" s="105"/>
    </row>
    <row r="332" spans="2:24" ht="15.75" customHeight="1"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11"/>
      <c r="U332" s="111"/>
      <c r="V332" s="111"/>
      <c r="W332" s="111"/>
      <c r="X332" s="105"/>
    </row>
    <row r="333" spans="2:24" ht="15.75" customHeight="1"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11"/>
      <c r="U333" s="111"/>
      <c r="V333" s="111"/>
      <c r="W333" s="111"/>
      <c r="X333" s="105"/>
    </row>
    <row r="334" spans="2:24" ht="15.75" customHeight="1"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11"/>
      <c r="U334" s="111"/>
      <c r="V334" s="111"/>
      <c r="W334" s="111"/>
      <c r="X334" s="105"/>
    </row>
    <row r="335" spans="2:24" ht="15.75" customHeight="1"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11"/>
      <c r="U335" s="111"/>
      <c r="V335" s="111"/>
      <c r="W335" s="111"/>
      <c r="X335" s="105"/>
    </row>
    <row r="336" spans="2:24" ht="15.75" customHeight="1"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11"/>
      <c r="U336" s="111"/>
      <c r="V336" s="111"/>
      <c r="W336" s="111"/>
      <c r="X336" s="105"/>
    </row>
    <row r="337" spans="2:24" ht="15.75" customHeight="1"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11"/>
      <c r="U337" s="111"/>
      <c r="V337" s="111"/>
      <c r="W337" s="111"/>
      <c r="X337" s="105"/>
    </row>
    <row r="338" spans="2:24" ht="15.75" customHeight="1"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11"/>
      <c r="U338" s="111"/>
      <c r="V338" s="111"/>
      <c r="W338" s="111"/>
      <c r="X338" s="105"/>
    </row>
    <row r="339" spans="2:24" ht="15.75" customHeight="1"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11"/>
      <c r="U339" s="111"/>
      <c r="V339" s="111"/>
      <c r="W339" s="111"/>
      <c r="X339" s="105"/>
    </row>
    <row r="340" spans="2:24" ht="15.75" customHeight="1"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11"/>
      <c r="U340" s="111"/>
      <c r="V340" s="111"/>
      <c r="W340" s="111"/>
      <c r="X340" s="105"/>
    </row>
    <row r="341" spans="2:24" ht="15.75" customHeight="1"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11"/>
      <c r="U341" s="111"/>
      <c r="V341" s="111"/>
      <c r="W341" s="111"/>
      <c r="X341" s="105"/>
    </row>
    <row r="342" spans="2:24" ht="15.75" customHeight="1"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11"/>
      <c r="U342" s="111"/>
      <c r="V342" s="111"/>
      <c r="W342" s="111"/>
      <c r="X342" s="105"/>
    </row>
    <row r="343" spans="2:24" ht="15.75" customHeight="1"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11"/>
      <c r="U343" s="111"/>
      <c r="V343" s="111"/>
      <c r="W343" s="111"/>
      <c r="X343" s="105"/>
    </row>
    <row r="344" spans="2:24" ht="15.75" customHeight="1"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11"/>
      <c r="U344" s="111"/>
      <c r="V344" s="111"/>
      <c r="W344" s="111"/>
      <c r="X344" s="105"/>
    </row>
    <row r="345" spans="2:24" ht="15.75" customHeight="1"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11"/>
      <c r="U345" s="111"/>
      <c r="V345" s="111"/>
      <c r="W345" s="111"/>
      <c r="X345" s="105"/>
    </row>
    <row r="346" spans="2:24" ht="15.75" customHeight="1"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11"/>
      <c r="U346" s="111"/>
      <c r="V346" s="111"/>
      <c r="W346" s="111"/>
      <c r="X346" s="105"/>
    </row>
    <row r="347" spans="2:24" ht="15.75" customHeight="1"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11"/>
      <c r="U347" s="111"/>
      <c r="V347" s="111"/>
      <c r="W347" s="111"/>
      <c r="X347" s="105"/>
    </row>
    <row r="348" spans="2:24" ht="15.75" customHeight="1"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11"/>
      <c r="U348" s="111"/>
      <c r="V348" s="111"/>
      <c r="W348" s="111"/>
      <c r="X348" s="105"/>
    </row>
    <row r="349" spans="2:24" ht="15.75" customHeight="1"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11"/>
      <c r="U349" s="111"/>
      <c r="V349" s="111"/>
      <c r="W349" s="111"/>
      <c r="X349" s="105"/>
    </row>
    <row r="350" spans="2:24" ht="15.75" customHeight="1"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11"/>
      <c r="U350" s="111"/>
      <c r="V350" s="111"/>
      <c r="W350" s="111"/>
      <c r="X350" s="105"/>
    </row>
    <row r="351" spans="2:24" ht="15.75" customHeight="1"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11"/>
      <c r="U351" s="111"/>
      <c r="V351" s="111"/>
      <c r="W351" s="111"/>
      <c r="X351" s="105"/>
    </row>
    <row r="352" spans="2:24" ht="15.75" customHeight="1"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11"/>
      <c r="U352" s="111"/>
      <c r="V352" s="111"/>
      <c r="W352" s="111"/>
      <c r="X352" s="105"/>
    </row>
    <row r="353" spans="2:24" ht="15.75" customHeight="1"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11"/>
      <c r="U353" s="111"/>
      <c r="V353" s="111"/>
      <c r="W353" s="111"/>
      <c r="X353" s="105"/>
    </row>
    <row r="354" spans="2:24" ht="15.75" customHeight="1"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11"/>
      <c r="U354" s="111"/>
      <c r="V354" s="111"/>
      <c r="W354" s="111"/>
      <c r="X354" s="105"/>
    </row>
    <row r="355" spans="2:24" ht="15.75" customHeight="1"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11"/>
      <c r="U355" s="111"/>
      <c r="V355" s="111"/>
      <c r="W355" s="111"/>
      <c r="X355" s="105"/>
    </row>
    <row r="356" spans="2:24" ht="15.75" customHeight="1"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11"/>
      <c r="U356" s="111"/>
      <c r="V356" s="111"/>
      <c r="W356" s="111"/>
      <c r="X356" s="105"/>
    </row>
    <row r="357" spans="2:24" ht="15.75" customHeight="1"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11"/>
      <c r="U357" s="111"/>
      <c r="V357" s="111"/>
      <c r="W357" s="111"/>
      <c r="X357" s="105"/>
    </row>
    <row r="358" spans="2:24" ht="15.75" customHeight="1"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11"/>
      <c r="U358" s="111"/>
      <c r="V358" s="111"/>
      <c r="W358" s="111"/>
      <c r="X358" s="105"/>
    </row>
    <row r="359" spans="2:24" ht="15.75" customHeight="1"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11"/>
      <c r="U359" s="111"/>
      <c r="V359" s="111"/>
      <c r="W359" s="111"/>
      <c r="X359" s="105"/>
    </row>
    <row r="360" spans="2:24" ht="15.75" customHeight="1"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11"/>
      <c r="U360" s="111"/>
      <c r="V360" s="111"/>
      <c r="W360" s="111"/>
      <c r="X360" s="105"/>
    </row>
    <row r="361" spans="2:24" ht="15.75" customHeight="1"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11"/>
      <c r="U361" s="111"/>
      <c r="V361" s="111"/>
      <c r="W361" s="111"/>
      <c r="X361" s="105"/>
    </row>
    <row r="362" spans="2:24" ht="15.75" customHeight="1"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11"/>
      <c r="U362" s="111"/>
      <c r="V362" s="111"/>
      <c r="W362" s="111"/>
      <c r="X362" s="105"/>
    </row>
    <row r="363" spans="2:24" ht="15.75" customHeight="1"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11"/>
      <c r="U363" s="111"/>
      <c r="V363" s="111"/>
      <c r="W363" s="111"/>
      <c r="X363" s="105"/>
    </row>
    <row r="364" spans="2:24" ht="15.75" customHeight="1"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11"/>
      <c r="U364" s="111"/>
      <c r="V364" s="111"/>
      <c r="W364" s="111"/>
      <c r="X364" s="105"/>
    </row>
    <row r="365" spans="2:24" ht="15.75" customHeight="1"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11"/>
      <c r="U365" s="111"/>
      <c r="V365" s="111"/>
      <c r="W365" s="111"/>
      <c r="X365" s="105"/>
    </row>
    <row r="366" spans="2:24" ht="15.75" customHeight="1"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11"/>
      <c r="U366" s="111"/>
      <c r="V366" s="111"/>
      <c r="W366" s="111"/>
      <c r="X366" s="105"/>
    </row>
    <row r="367" spans="2:24" ht="15.75" customHeight="1"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11"/>
      <c r="U367" s="111"/>
      <c r="V367" s="111"/>
      <c r="W367" s="111"/>
      <c r="X367" s="105"/>
    </row>
    <row r="368" spans="2:24" ht="15.75" customHeight="1"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11"/>
      <c r="U368" s="111"/>
      <c r="V368" s="111"/>
      <c r="W368" s="111"/>
      <c r="X368" s="105"/>
    </row>
    <row r="369" spans="2:24" ht="15.75" customHeight="1"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11"/>
      <c r="U369" s="111"/>
      <c r="V369" s="111"/>
      <c r="W369" s="111"/>
      <c r="X369" s="105"/>
    </row>
    <row r="370" spans="2:24" ht="15.75" customHeight="1"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11"/>
      <c r="U370" s="111"/>
      <c r="V370" s="111"/>
      <c r="W370" s="111"/>
      <c r="X370" s="105"/>
    </row>
    <row r="371" spans="2:24" ht="15.75" customHeight="1"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11"/>
      <c r="U371" s="111"/>
      <c r="V371" s="111"/>
      <c r="W371" s="111"/>
      <c r="X371" s="105"/>
    </row>
    <row r="372" spans="2:24" ht="15.75" customHeight="1"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11"/>
      <c r="U372" s="111"/>
      <c r="V372" s="111"/>
      <c r="W372" s="111"/>
      <c r="X372" s="105"/>
    </row>
    <row r="373" spans="2:24" ht="15.75" customHeight="1"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11"/>
      <c r="U373" s="111"/>
      <c r="V373" s="111"/>
      <c r="W373" s="111"/>
      <c r="X373" s="105"/>
    </row>
    <row r="374" spans="2:24" ht="15.75" customHeight="1"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11"/>
      <c r="U374" s="111"/>
      <c r="V374" s="111"/>
      <c r="W374" s="111"/>
      <c r="X374" s="105"/>
    </row>
    <row r="375" spans="2:24" ht="15.75" customHeight="1"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11"/>
      <c r="U375" s="111"/>
      <c r="V375" s="111"/>
      <c r="W375" s="111"/>
      <c r="X375" s="105"/>
    </row>
    <row r="376" spans="2:24" ht="15.75" customHeight="1"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11"/>
      <c r="U376" s="111"/>
      <c r="V376" s="111"/>
      <c r="W376" s="111"/>
      <c r="X376" s="105"/>
    </row>
    <row r="377" spans="2:24" ht="15.75" customHeight="1"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11"/>
      <c r="U377" s="111"/>
      <c r="V377" s="111"/>
      <c r="W377" s="111"/>
      <c r="X377" s="105"/>
    </row>
    <row r="378" spans="2:24" ht="15.75" customHeight="1"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11"/>
      <c r="U378" s="111"/>
      <c r="V378" s="111"/>
      <c r="W378" s="111"/>
      <c r="X378" s="105"/>
    </row>
    <row r="379" spans="2:24" ht="15.75" customHeight="1"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11"/>
      <c r="U379" s="111"/>
      <c r="V379" s="111"/>
      <c r="W379" s="111"/>
      <c r="X379" s="105"/>
    </row>
    <row r="380" spans="2:24" ht="15.75" customHeight="1"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11"/>
      <c r="U380" s="111"/>
      <c r="V380" s="111"/>
      <c r="W380" s="111"/>
      <c r="X380" s="105"/>
    </row>
    <row r="381" spans="2:24" ht="15.75" customHeight="1"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11"/>
      <c r="U381" s="111"/>
      <c r="V381" s="111"/>
      <c r="W381" s="111"/>
      <c r="X381" s="105"/>
    </row>
    <row r="382" spans="2:24" ht="15.75" customHeight="1"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11"/>
      <c r="U382" s="111"/>
      <c r="V382" s="111"/>
      <c r="W382" s="111"/>
      <c r="X382" s="105"/>
    </row>
    <row r="383" spans="2:24" ht="15.75" customHeight="1"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11"/>
      <c r="U383" s="111"/>
      <c r="V383" s="111"/>
      <c r="W383" s="111"/>
      <c r="X383" s="105"/>
    </row>
    <row r="384" spans="2:24" ht="15.75" customHeight="1"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11"/>
      <c r="U384" s="111"/>
      <c r="V384" s="111"/>
      <c r="W384" s="111"/>
      <c r="X384" s="105"/>
    </row>
    <row r="385" spans="2:24" ht="15.75" customHeight="1"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11"/>
      <c r="U385" s="111"/>
      <c r="V385" s="111"/>
      <c r="W385" s="111"/>
      <c r="X385" s="105"/>
    </row>
    <row r="386" spans="2:24" ht="15.75" customHeight="1"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11"/>
      <c r="U386" s="111"/>
      <c r="V386" s="111"/>
      <c r="W386" s="111"/>
      <c r="X386" s="105"/>
    </row>
    <row r="387" spans="2:24" ht="15.75" customHeight="1"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11"/>
      <c r="U387" s="111"/>
      <c r="V387" s="111"/>
      <c r="W387" s="111"/>
      <c r="X387" s="105"/>
    </row>
    <row r="388" spans="2:24" ht="15.75" customHeight="1"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11"/>
      <c r="U388" s="111"/>
      <c r="V388" s="111"/>
      <c r="W388" s="111"/>
      <c r="X388" s="105"/>
    </row>
    <row r="389" spans="2:24" ht="15.75" customHeight="1"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11"/>
      <c r="U389" s="111"/>
      <c r="V389" s="111"/>
      <c r="W389" s="111"/>
      <c r="X389" s="105"/>
    </row>
    <row r="390" spans="2:24" ht="15.75" customHeight="1"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11"/>
      <c r="U390" s="111"/>
      <c r="V390" s="111"/>
      <c r="W390" s="111"/>
      <c r="X390" s="105"/>
    </row>
    <row r="391" spans="2:24" ht="15.75" customHeight="1"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11"/>
      <c r="U391" s="111"/>
      <c r="V391" s="111"/>
      <c r="W391" s="111"/>
      <c r="X391" s="105"/>
    </row>
    <row r="392" spans="2:24" ht="15.75" customHeight="1"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11"/>
      <c r="U392" s="111"/>
      <c r="V392" s="111"/>
      <c r="W392" s="111"/>
      <c r="X392" s="105"/>
    </row>
    <row r="393" spans="2:24" ht="15.75" customHeight="1"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11"/>
      <c r="U393" s="111"/>
      <c r="V393" s="111"/>
      <c r="W393" s="111"/>
      <c r="X393" s="105"/>
    </row>
    <row r="394" spans="2:24" ht="15.75" customHeight="1"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11"/>
      <c r="U394" s="111"/>
      <c r="V394" s="111"/>
      <c r="W394" s="111"/>
      <c r="X394" s="105"/>
    </row>
    <row r="395" spans="2:24" ht="15.75" customHeight="1"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11"/>
      <c r="U395" s="111"/>
      <c r="V395" s="111"/>
      <c r="W395" s="111"/>
      <c r="X395" s="105"/>
    </row>
    <row r="396" spans="2:24" ht="15.75" customHeight="1"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11"/>
      <c r="U396" s="111"/>
      <c r="V396" s="111"/>
      <c r="W396" s="111"/>
      <c r="X396" s="105"/>
    </row>
    <row r="397" spans="2:24" ht="15.75" customHeight="1"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11"/>
      <c r="U397" s="111"/>
      <c r="V397" s="111"/>
      <c r="W397" s="111"/>
      <c r="X397" s="105"/>
    </row>
    <row r="398" spans="2:24" ht="15.75" customHeight="1"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11"/>
      <c r="U398" s="111"/>
      <c r="V398" s="111"/>
      <c r="W398" s="111"/>
      <c r="X398" s="105"/>
    </row>
    <row r="399" spans="2:24" ht="15.75" customHeight="1"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11"/>
      <c r="U399" s="111"/>
      <c r="V399" s="111"/>
      <c r="W399" s="111"/>
      <c r="X399" s="105"/>
    </row>
    <row r="400" spans="2:24" ht="15.75" customHeight="1"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11"/>
      <c r="U400" s="111"/>
      <c r="V400" s="111"/>
      <c r="W400" s="111"/>
      <c r="X400" s="105"/>
    </row>
    <row r="401" spans="2:24" ht="15.75" customHeight="1"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11"/>
      <c r="U401" s="111"/>
      <c r="V401" s="111"/>
      <c r="W401" s="111"/>
      <c r="X401" s="105"/>
    </row>
    <row r="402" spans="2:24" ht="15.75" customHeight="1"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11"/>
      <c r="U402" s="111"/>
      <c r="V402" s="111"/>
      <c r="W402" s="111"/>
      <c r="X402" s="105"/>
    </row>
    <row r="403" spans="2:24" ht="15.75" customHeight="1"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11"/>
      <c r="U403" s="111"/>
      <c r="V403" s="111"/>
      <c r="W403" s="111"/>
      <c r="X403" s="105"/>
    </row>
    <row r="404" spans="2:24" ht="15.75" customHeight="1"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11"/>
      <c r="U404" s="111"/>
      <c r="V404" s="111"/>
      <c r="W404" s="111"/>
      <c r="X404" s="105"/>
    </row>
    <row r="405" spans="2:24" ht="15.75" customHeight="1"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11"/>
      <c r="U405" s="111"/>
      <c r="V405" s="111"/>
      <c r="W405" s="111"/>
      <c r="X405" s="105"/>
    </row>
    <row r="406" spans="2:24" ht="15.75" customHeight="1"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11"/>
      <c r="U406" s="111"/>
      <c r="V406" s="111"/>
      <c r="W406" s="111"/>
      <c r="X406" s="105"/>
    </row>
    <row r="407" spans="2:24" ht="15.75" customHeight="1"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11"/>
      <c r="U407" s="111"/>
      <c r="V407" s="111"/>
      <c r="W407" s="111"/>
      <c r="X407" s="105"/>
    </row>
    <row r="408" spans="2:24" ht="15.75" customHeight="1"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11"/>
      <c r="U408" s="111"/>
      <c r="V408" s="111"/>
      <c r="W408" s="111"/>
      <c r="X408" s="105"/>
    </row>
    <row r="409" spans="2:24" ht="15.75" customHeight="1"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11"/>
      <c r="U409" s="111"/>
      <c r="V409" s="111"/>
      <c r="W409" s="111"/>
      <c r="X409" s="105"/>
    </row>
    <row r="410" spans="2:24" ht="15.75" customHeight="1"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11"/>
      <c r="U410" s="111"/>
      <c r="V410" s="111"/>
      <c r="W410" s="111"/>
      <c r="X410" s="105"/>
    </row>
    <row r="411" spans="2:24" ht="15.75" customHeight="1">
      <c r="B411" s="105"/>
      <c r="C411" s="105"/>
      <c r="D411" s="105"/>
      <c r="E411" s="105"/>
      <c r="F411" s="105"/>
      <c r="G411" s="105"/>
      <c r="H411" s="105">
        <f>295000*1.18</f>
        <v>348100</v>
      </c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11"/>
      <c r="U411" s="111"/>
      <c r="V411" s="111"/>
      <c r="W411" s="111"/>
      <c r="X411" s="105"/>
    </row>
    <row r="412" spans="2:24" ht="15.75" customHeight="1"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11"/>
      <c r="U412" s="111"/>
      <c r="V412" s="111"/>
      <c r="W412" s="111"/>
      <c r="X412" s="105"/>
    </row>
    <row r="413" spans="2:24" ht="15.75" customHeight="1"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11"/>
      <c r="U413" s="111"/>
      <c r="V413" s="111"/>
      <c r="W413" s="111"/>
      <c r="X413" s="105"/>
    </row>
    <row r="414" spans="2:24" ht="15.75" customHeight="1"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11"/>
      <c r="U414" s="111"/>
      <c r="V414" s="111"/>
      <c r="W414" s="111"/>
      <c r="X414" s="105"/>
    </row>
    <row r="415" spans="2:24" ht="15.75" customHeight="1"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11"/>
      <c r="U415" s="111"/>
      <c r="V415" s="111"/>
      <c r="W415" s="111"/>
      <c r="X415" s="105"/>
    </row>
    <row r="416" spans="2:24" ht="15.75" customHeight="1"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11"/>
      <c r="U416" s="111"/>
      <c r="V416" s="111"/>
      <c r="W416" s="111"/>
      <c r="X416" s="105"/>
    </row>
    <row r="417" spans="2:24" ht="15.75" customHeight="1"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11"/>
      <c r="U417" s="111"/>
      <c r="V417" s="111"/>
      <c r="W417" s="111"/>
      <c r="X417" s="105"/>
    </row>
    <row r="418" spans="2:24" ht="15.75" customHeight="1"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11"/>
      <c r="U418" s="111"/>
      <c r="V418" s="111"/>
      <c r="W418" s="111"/>
      <c r="X418" s="105"/>
    </row>
    <row r="419" spans="2:24" ht="15.75" customHeight="1"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11"/>
      <c r="U419" s="111"/>
      <c r="V419" s="111"/>
      <c r="W419" s="111"/>
      <c r="X419" s="105"/>
    </row>
    <row r="420" spans="2:24" ht="15.75" customHeight="1"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11"/>
      <c r="U420" s="111"/>
      <c r="V420" s="111"/>
      <c r="W420" s="111"/>
      <c r="X420" s="105"/>
    </row>
    <row r="421" spans="2:24" ht="15.75" customHeight="1"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11"/>
      <c r="U421" s="111"/>
      <c r="V421" s="111"/>
      <c r="W421" s="111"/>
      <c r="X421" s="105"/>
    </row>
    <row r="422" spans="2:24" ht="15.75" customHeight="1"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11"/>
      <c r="U422" s="111"/>
      <c r="V422" s="111"/>
      <c r="W422" s="111"/>
      <c r="X422" s="105"/>
    </row>
    <row r="423" spans="2:24" ht="15.75" customHeight="1"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11"/>
      <c r="U423" s="111"/>
      <c r="V423" s="111"/>
      <c r="W423" s="111"/>
      <c r="X423" s="105"/>
    </row>
    <row r="424" spans="2:24" ht="15.75" customHeight="1"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11"/>
      <c r="U424" s="111"/>
      <c r="V424" s="111"/>
      <c r="W424" s="111"/>
      <c r="X424" s="105"/>
    </row>
    <row r="425" spans="2:24" ht="15.75" customHeight="1"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11"/>
      <c r="U425" s="111"/>
      <c r="V425" s="111"/>
      <c r="W425" s="111"/>
      <c r="X425" s="105"/>
    </row>
    <row r="426" spans="2:24" ht="15.75" customHeight="1"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11"/>
      <c r="U426" s="111"/>
      <c r="V426" s="111"/>
      <c r="W426" s="111"/>
      <c r="X426" s="105"/>
    </row>
    <row r="427" spans="2:24" ht="15.75" customHeight="1"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11"/>
      <c r="U427" s="111"/>
      <c r="V427" s="111"/>
      <c r="W427" s="111"/>
      <c r="X427" s="105"/>
    </row>
    <row r="428" spans="2:24" ht="15.75" customHeight="1"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11"/>
      <c r="U428" s="111"/>
      <c r="V428" s="111"/>
      <c r="W428" s="111"/>
      <c r="X428" s="105"/>
    </row>
    <row r="429" spans="2:24" ht="15.75" customHeight="1"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11"/>
      <c r="U429" s="111"/>
      <c r="V429" s="111"/>
      <c r="W429" s="111"/>
      <c r="X429" s="105"/>
    </row>
    <row r="430" spans="2:24" ht="15.75" customHeight="1"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11"/>
      <c r="U430" s="111"/>
      <c r="V430" s="111"/>
      <c r="W430" s="111"/>
      <c r="X430" s="105"/>
    </row>
    <row r="431" spans="2:24" ht="15.75" customHeight="1"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11"/>
      <c r="U431" s="111"/>
      <c r="V431" s="111"/>
      <c r="W431" s="111"/>
      <c r="X431" s="105"/>
    </row>
    <row r="432" spans="2:24" ht="15.75" customHeight="1"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11"/>
      <c r="U432" s="111"/>
      <c r="V432" s="111"/>
      <c r="W432" s="111"/>
      <c r="X432" s="105"/>
    </row>
    <row r="433" spans="2:24" ht="15.75" customHeight="1"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11"/>
      <c r="U433" s="111"/>
      <c r="V433" s="111"/>
      <c r="W433" s="111"/>
      <c r="X433" s="105"/>
    </row>
    <row r="434" spans="2:24" ht="15.75" customHeight="1"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11"/>
      <c r="U434" s="111"/>
      <c r="V434" s="111"/>
      <c r="W434" s="111"/>
      <c r="X434" s="105"/>
    </row>
    <row r="435" spans="2:24" ht="15.75" customHeight="1"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11"/>
      <c r="U435" s="111"/>
      <c r="V435" s="111"/>
      <c r="W435" s="111"/>
      <c r="X435" s="105"/>
    </row>
    <row r="436" spans="2:24" ht="15.75" customHeight="1"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11"/>
      <c r="U436" s="111"/>
      <c r="V436" s="111"/>
      <c r="W436" s="111"/>
      <c r="X436" s="105"/>
    </row>
    <row r="437" spans="2:24" ht="15.75" customHeight="1"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11"/>
      <c r="U437" s="111"/>
      <c r="V437" s="111"/>
      <c r="W437" s="111"/>
      <c r="X437" s="105"/>
    </row>
    <row r="438" spans="2:24" ht="15.75" customHeight="1"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11"/>
      <c r="U438" s="111"/>
      <c r="V438" s="111"/>
      <c r="W438" s="111"/>
      <c r="X438" s="105"/>
    </row>
    <row r="439" spans="2:24" ht="15.75" customHeight="1"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11"/>
      <c r="U439" s="111"/>
      <c r="V439" s="111"/>
      <c r="W439" s="111"/>
      <c r="X439" s="105"/>
    </row>
    <row r="440" spans="2:24" ht="15.75" customHeight="1"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11"/>
      <c r="U440" s="111"/>
      <c r="V440" s="111"/>
      <c r="W440" s="111"/>
      <c r="X440" s="105"/>
    </row>
    <row r="441" spans="2:24" ht="15.75" customHeight="1"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11"/>
      <c r="U441" s="111"/>
      <c r="V441" s="111"/>
      <c r="W441" s="111"/>
      <c r="X441" s="105"/>
    </row>
    <row r="442" spans="2:24" ht="15.75" customHeight="1"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11"/>
      <c r="U442" s="111"/>
      <c r="V442" s="111"/>
      <c r="W442" s="111"/>
      <c r="X442" s="105"/>
    </row>
    <row r="443" spans="2:24" ht="15.75" customHeight="1"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11"/>
      <c r="U443" s="111"/>
      <c r="V443" s="111"/>
      <c r="W443" s="111"/>
      <c r="X443" s="105"/>
    </row>
    <row r="444" spans="2:24" ht="15.75" customHeight="1"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11"/>
      <c r="U444" s="111"/>
      <c r="V444" s="111"/>
      <c r="W444" s="111"/>
      <c r="X444" s="105"/>
    </row>
    <row r="445" spans="2:24" ht="15.75" customHeight="1"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11"/>
      <c r="U445" s="111"/>
      <c r="V445" s="111"/>
      <c r="W445" s="111"/>
      <c r="X445" s="105"/>
    </row>
    <row r="446" spans="2:24" ht="15.75" customHeight="1"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11"/>
      <c r="U446" s="111"/>
      <c r="V446" s="111"/>
      <c r="W446" s="111"/>
      <c r="X446" s="105"/>
    </row>
    <row r="447" spans="2:24" ht="15.75" customHeight="1"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11"/>
      <c r="U447" s="111"/>
      <c r="V447" s="111"/>
      <c r="W447" s="111"/>
      <c r="X447" s="105"/>
    </row>
    <row r="448" spans="2:24" ht="15.75" customHeight="1"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11"/>
      <c r="U448" s="111"/>
      <c r="V448" s="111"/>
      <c r="W448" s="111"/>
      <c r="X448" s="105"/>
    </row>
    <row r="449" spans="2:24" ht="15.75" customHeight="1"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11"/>
      <c r="U449" s="111"/>
      <c r="V449" s="111"/>
      <c r="W449" s="111"/>
      <c r="X449" s="105"/>
    </row>
    <row r="450" spans="2:24" ht="15.75" customHeight="1"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11"/>
      <c r="U450" s="111"/>
      <c r="V450" s="111"/>
      <c r="W450" s="111"/>
      <c r="X450" s="105"/>
    </row>
    <row r="451" spans="2:24" ht="15.75" customHeight="1"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11"/>
      <c r="U451" s="111"/>
      <c r="V451" s="111"/>
      <c r="W451" s="111"/>
      <c r="X451" s="105"/>
    </row>
    <row r="452" spans="2:24" ht="15.75" customHeight="1"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11"/>
      <c r="U452" s="111"/>
      <c r="V452" s="111"/>
      <c r="W452" s="111"/>
      <c r="X452" s="105"/>
    </row>
    <row r="453" spans="2:24" ht="15.75" customHeight="1"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11"/>
      <c r="U453" s="111"/>
      <c r="V453" s="111"/>
      <c r="W453" s="111"/>
      <c r="X453" s="105"/>
    </row>
    <row r="454" spans="2:24" ht="15.75" customHeight="1"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11"/>
      <c r="U454" s="111"/>
      <c r="V454" s="111"/>
      <c r="W454" s="111"/>
      <c r="X454" s="105"/>
    </row>
    <row r="455" spans="2:24" ht="15.75" customHeight="1"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11"/>
      <c r="U455" s="111"/>
      <c r="V455" s="111"/>
      <c r="W455" s="111"/>
      <c r="X455" s="105"/>
    </row>
    <row r="456" spans="2:24" ht="15.75" customHeight="1"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11"/>
      <c r="U456" s="111"/>
      <c r="V456" s="111"/>
      <c r="W456" s="111"/>
      <c r="X456" s="105"/>
    </row>
    <row r="457" spans="2:24" ht="15.75" customHeight="1"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11"/>
      <c r="U457" s="111"/>
      <c r="V457" s="111"/>
      <c r="W457" s="111"/>
      <c r="X457" s="105"/>
    </row>
    <row r="458" spans="2:24" ht="15.75" customHeight="1"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11"/>
      <c r="U458" s="111"/>
      <c r="V458" s="111"/>
      <c r="W458" s="111"/>
      <c r="X458" s="105"/>
    </row>
    <row r="459" spans="2:24" ht="15.75" customHeight="1"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11"/>
      <c r="U459" s="111"/>
      <c r="V459" s="111"/>
      <c r="W459" s="111"/>
      <c r="X459" s="105"/>
    </row>
    <row r="460" spans="2:24" ht="15.75" customHeight="1"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11"/>
      <c r="U460" s="111"/>
      <c r="V460" s="111"/>
      <c r="W460" s="111"/>
      <c r="X460" s="105"/>
    </row>
    <row r="461" spans="2:24" ht="15.75" customHeight="1"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11"/>
      <c r="U461" s="111"/>
      <c r="V461" s="111"/>
      <c r="W461" s="111"/>
      <c r="X461" s="105"/>
    </row>
    <row r="462" spans="2:24" ht="15.75" customHeight="1"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11"/>
      <c r="U462" s="111"/>
      <c r="V462" s="111"/>
      <c r="W462" s="111"/>
      <c r="X462" s="105"/>
    </row>
    <row r="463" spans="2:24" ht="15.75" customHeight="1"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11"/>
      <c r="U463" s="111"/>
      <c r="V463" s="111"/>
      <c r="W463" s="111"/>
      <c r="X463" s="105"/>
    </row>
    <row r="464" spans="2:24" ht="15.75" customHeight="1"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11"/>
      <c r="U464" s="111"/>
      <c r="V464" s="111"/>
      <c r="W464" s="111"/>
      <c r="X464" s="105"/>
    </row>
    <row r="465" spans="2:24" ht="15.75" customHeight="1"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11"/>
      <c r="U465" s="111"/>
      <c r="V465" s="111"/>
      <c r="W465" s="111"/>
      <c r="X465" s="105"/>
    </row>
    <row r="466" spans="2:24" ht="15.75" customHeight="1"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11"/>
      <c r="U466" s="111"/>
      <c r="V466" s="111"/>
      <c r="W466" s="111"/>
      <c r="X466" s="105"/>
    </row>
    <row r="467" spans="2:24" ht="15.75" customHeight="1"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11"/>
      <c r="U467" s="111"/>
      <c r="V467" s="111"/>
      <c r="W467" s="111"/>
      <c r="X467" s="105"/>
    </row>
    <row r="468" spans="2:24" ht="15.75" customHeight="1"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11"/>
      <c r="U468" s="111"/>
      <c r="V468" s="111"/>
      <c r="W468" s="111"/>
      <c r="X468" s="105"/>
    </row>
    <row r="469" spans="2:24" ht="15.75" customHeight="1"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11"/>
      <c r="U469" s="111"/>
      <c r="V469" s="111"/>
      <c r="W469" s="111"/>
      <c r="X469" s="105"/>
    </row>
    <row r="470" spans="2:24" ht="15.75" customHeight="1"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11"/>
      <c r="U470" s="111"/>
      <c r="V470" s="111"/>
      <c r="W470" s="111"/>
      <c r="X470" s="105"/>
    </row>
    <row r="471" spans="2:24" ht="15.75" customHeight="1"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11"/>
      <c r="U471" s="111"/>
      <c r="V471" s="111"/>
      <c r="W471" s="111"/>
      <c r="X471" s="105"/>
    </row>
    <row r="472" spans="2:24" ht="15.75" customHeight="1"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11"/>
      <c r="U472" s="111"/>
      <c r="V472" s="111"/>
      <c r="W472" s="111"/>
      <c r="X472" s="105"/>
    </row>
    <row r="473" spans="2:24" ht="15.75" customHeight="1"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11"/>
      <c r="U473" s="111"/>
      <c r="V473" s="111"/>
      <c r="W473" s="111"/>
      <c r="X473" s="105"/>
    </row>
    <row r="474" spans="2:24" ht="15.75" customHeight="1"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11"/>
      <c r="U474" s="111"/>
      <c r="V474" s="111"/>
      <c r="W474" s="111"/>
      <c r="X474" s="105"/>
    </row>
    <row r="475" spans="2:24" ht="15.75" customHeight="1"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11"/>
      <c r="U475" s="111"/>
      <c r="V475" s="111"/>
      <c r="W475" s="111"/>
      <c r="X475" s="105"/>
    </row>
    <row r="476" spans="2:24" ht="15.75" customHeight="1"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11"/>
      <c r="U476" s="111"/>
      <c r="V476" s="111"/>
      <c r="W476" s="111"/>
      <c r="X476" s="105"/>
    </row>
    <row r="477" spans="2:24" ht="15.75" customHeight="1"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11"/>
      <c r="U477" s="111"/>
      <c r="V477" s="111"/>
      <c r="W477" s="111"/>
      <c r="X477" s="105"/>
    </row>
    <row r="478" spans="2:24" ht="15.75" customHeight="1"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11"/>
      <c r="U478" s="111"/>
      <c r="V478" s="111"/>
      <c r="W478" s="111"/>
      <c r="X478" s="105"/>
    </row>
    <row r="479" spans="2:24" ht="15.75" customHeight="1"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11"/>
      <c r="U479" s="111"/>
      <c r="V479" s="111"/>
      <c r="W479" s="111"/>
      <c r="X479" s="105"/>
    </row>
    <row r="480" spans="2:24" ht="15.75" customHeight="1"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11"/>
      <c r="U480" s="111"/>
      <c r="V480" s="111"/>
      <c r="W480" s="111"/>
      <c r="X480" s="105"/>
    </row>
    <row r="481" spans="2:24" ht="15.75" customHeight="1"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11"/>
      <c r="U481" s="111"/>
      <c r="V481" s="111"/>
      <c r="W481" s="111"/>
      <c r="X481" s="105"/>
    </row>
    <row r="482" spans="2:24" ht="15.75" customHeight="1"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11"/>
      <c r="U482" s="111"/>
      <c r="V482" s="111"/>
      <c r="W482" s="111"/>
      <c r="X482" s="105"/>
    </row>
    <row r="483" spans="2:24" ht="15.75" customHeight="1"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11"/>
      <c r="U483" s="111"/>
      <c r="V483" s="111"/>
      <c r="W483" s="111"/>
      <c r="X483" s="105"/>
    </row>
    <row r="484" spans="2:24" ht="15.75" customHeight="1"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11"/>
      <c r="U484" s="111"/>
      <c r="V484" s="111"/>
      <c r="W484" s="111"/>
      <c r="X484" s="105"/>
    </row>
    <row r="485" spans="2:24" ht="15.75" customHeight="1"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11"/>
      <c r="U485" s="111"/>
      <c r="V485" s="111"/>
      <c r="W485" s="111"/>
      <c r="X485" s="105"/>
    </row>
    <row r="486" spans="2:24" ht="15.75" customHeight="1"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11"/>
      <c r="U486" s="111"/>
      <c r="V486" s="111"/>
      <c r="W486" s="111"/>
      <c r="X486" s="105"/>
    </row>
    <row r="487" spans="2:24" ht="15.75" customHeight="1"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11"/>
      <c r="U487" s="111"/>
      <c r="V487" s="111"/>
      <c r="W487" s="111"/>
      <c r="X487" s="105"/>
    </row>
    <row r="488" spans="2:24" ht="15.75" customHeight="1"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11"/>
      <c r="U488" s="111"/>
      <c r="V488" s="111"/>
      <c r="W488" s="111"/>
      <c r="X488" s="105"/>
    </row>
    <row r="489" spans="2:24" ht="15.75" customHeight="1"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11"/>
      <c r="U489" s="111"/>
      <c r="V489" s="111"/>
      <c r="W489" s="111"/>
      <c r="X489" s="105"/>
    </row>
    <row r="490" spans="2:24" ht="15.75" customHeight="1"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11"/>
      <c r="U490" s="111"/>
      <c r="V490" s="111"/>
      <c r="W490" s="111"/>
      <c r="X490" s="105"/>
    </row>
    <row r="491" spans="2:24" ht="15.75" customHeight="1"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11"/>
      <c r="U491" s="111"/>
      <c r="V491" s="111"/>
      <c r="W491" s="111"/>
      <c r="X491" s="105"/>
    </row>
    <row r="492" spans="2:24" ht="15.75" customHeight="1"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11"/>
      <c r="U492" s="111"/>
      <c r="V492" s="111"/>
      <c r="W492" s="111"/>
      <c r="X492" s="105"/>
    </row>
    <row r="493" spans="2:24" ht="15.75" customHeight="1"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11"/>
      <c r="U493" s="111"/>
      <c r="V493" s="111"/>
      <c r="W493" s="111"/>
      <c r="X493" s="105"/>
    </row>
    <row r="494" spans="2:24" ht="15.75" customHeight="1"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11"/>
      <c r="U494" s="111"/>
      <c r="V494" s="111"/>
      <c r="W494" s="111"/>
      <c r="X494" s="105"/>
    </row>
    <row r="495" spans="2:24" ht="15.75" customHeight="1"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11"/>
      <c r="U495" s="111"/>
      <c r="V495" s="111"/>
      <c r="W495" s="111"/>
      <c r="X495" s="105"/>
    </row>
    <row r="496" spans="2:24" ht="15.75" customHeight="1"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11"/>
      <c r="U496" s="111"/>
      <c r="V496" s="111"/>
      <c r="W496" s="111"/>
      <c r="X496" s="105"/>
    </row>
    <row r="497" spans="2:24" ht="15.75" customHeight="1"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11"/>
      <c r="U497" s="111"/>
      <c r="V497" s="111"/>
      <c r="W497" s="111"/>
      <c r="X497" s="105"/>
    </row>
    <row r="498" spans="2:24" ht="15.75" customHeight="1"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11"/>
      <c r="U498" s="111"/>
      <c r="V498" s="111"/>
      <c r="W498" s="111"/>
      <c r="X498" s="105"/>
    </row>
    <row r="499" spans="2:24" ht="15.75" customHeight="1"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11"/>
      <c r="U499" s="111"/>
      <c r="V499" s="111"/>
      <c r="W499" s="111"/>
      <c r="X499" s="105"/>
    </row>
    <row r="500" spans="2:24" ht="15.75" customHeight="1"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11"/>
      <c r="U500" s="111"/>
      <c r="V500" s="111"/>
      <c r="W500" s="111"/>
      <c r="X500" s="105"/>
    </row>
    <row r="501" spans="2:24" ht="15.75" customHeight="1"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11"/>
      <c r="U501" s="111"/>
      <c r="V501" s="111"/>
      <c r="W501" s="111"/>
      <c r="X501" s="105"/>
    </row>
    <row r="502" spans="2:24" ht="15.75" customHeight="1"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11"/>
      <c r="U502" s="111"/>
      <c r="V502" s="111"/>
      <c r="W502" s="111"/>
      <c r="X502" s="105"/>
    </row>
    <row r="503" spans="2:24" ht="15.75" customHeight="1"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11"/>
      <c r="U503" s="111"/>
      <c r="V503" s="111"/>
      <c r="W503" s="111"/>
      <c r="X503" s="105"/>
    </row>
    <row r="504" spans="2:24" ht="15.75" customHeight="1"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11"/>
      <c r="U504" s="111"/>
      <c r="V504" s="111"/>
      <c r="W504" s="111"/>
      <c r="X504" s="105"/>
    </row>
    <row r="505" spans="2:24" ht="15.75" customHeight="1"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11"/>
      <c r="U505" s="111"/>
      <c r="V505" s="111"/>
      <c r="W505" s="111"/>
      <c r="X505" s="105"/>
    </row>
    <row r="506" spans="2:24" ht="15.75" customHeight="1"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11"/>
      <c r="U506" s="111"/>
      <c r="V506" s="111"/>
      <c r="W506" s="111"/>
      <c r="X506" s="105"/>
    </row>
    <row r="507" spans="2:24" ht="15.75" customHeight="1"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11"/>
      <c r="U507" s="111"/>
      <c r="V507" s="111"/>
      <c r="W507" s="111"/>
      <c r="X507" s="105"/>
    </row>
    <row r="508" spans="2:24" ht="15.75" customHeight="1"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11"/>
      <c r="U508" s="111"/>
      <c r="V508" s="111"/>
      <c r="W508" s="111"/>
      <c r="X508" s="105"/>
    </row>
    <row r="509" spans="2:24" ht="15.75" customHeight="1"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11"/>
      <c r="U509" s="111"/>
      <c r="V509" s="111"/>
      <c r="W509" s="111"/>
      <c r="X509" s="105"/>
    </row>
    <row r="510" spans="2:24" ht="15.75" customHeight="1"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11"/>
      <c r="U510" s="111"/>
      <c r="V510" s="111"/>
      <c r="W510" s="111"/>
      <c r="X510" s="105"/>
    </row>
    <row r="511" spans="2:24" ht="15.75" customHeight="1"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11"/>
      <c r="U511" s="111"/>
      <c r="V511" s="111"/>
      <c r="W511" s="111"/>
      <c r="X511" s="105"/>
    </row>
    <row r="512" spans="2:24" ht="15.75" customHeight="1"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11"/>
      <c r="U512" s="111"/>
      <c r="V512" s="111"/>
      <c r="W512" s="111"/>
      <c r="X512" s="105"/>
    </row>
    <row r="513" spans="2:24" ht="15.75" customHeight="1"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11"/>
      <c r="U513" s="111"/>
      <c r="V513" s="111"/>
      <c r="W513" s="111"/>
      <c r="X513" s="105"/>
    </row>
    <row r="514" spans="2:24" ht="15.75" customHeight="1"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11"/>
      <c r="U514" s="111"/>
      <c r="V514" s="111"/>
      <c r="W514" s="111"/>
      <c r="X514" s="105"/>
    </row>
    <row r="515" spans="2:24" ht="15.75" customHeight="1"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11"/>
      <c r="U515" s="111"/>
      <c r="V515" s="111"/>
      <c r="W515" s="111"/>
      <c r="X515" s="105"/>
    </row>
    <row r="516" spans="2:24" ht="15.75" customHeight="1"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11"/>
      <c r="U516" s="111"/>
      <c r="V516" s="111"/>
      <c r="W516" s="111"/>
      <c r="X516" s="105"/>
    </row>
    <row r="517" spans="2:24" ht="15.75" customHeight="1"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11"/>
      <c r="U517" s="111"/>
      <c r="V517" s="111"/>
      <c r="W517" s="111"/>
      <c r="X517" s="105"/>
    </row>
    <row r="518" spans="2:24" ht="15.75" customHeight="1"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11"/>
      <c r="U518" s="111"/>
      <c r="V518" s="111"/>
      <c r="W518" s="111"/>
      <c r="X518" s="105"/>
    </row>
    <row r="519" spans="2:24" ht="15.75" customHeight="1"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11"/>
      <c r="U519" s="111"/>
      <c r="V519" s="111"/>
      <c r="W519" s="111"/>
      <c r="X519" s="105"/>
    </row>
    <row r="520" spans="2:24" ht="15.75" customHeight="1"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11"/>
      <c r="U520" s="111"/>
      <c r="V520" s="111"/>
      <c r="W520" s="111"/>
      <c r="X520" s="105"/>
    </row>
    <row r="521" spans="2:24" ht="15.75" customHeight="1"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11"/>
      <c r="U521" s="111"/>
      <c r="V521" s="111"/>
      <c r="W521" s="111"/>
      <c r="X521" s="105"/>
    </row>
    <row r="522" spans="2:24" ht="15.75" customHeight="1"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11"/>
      <c r="U522" s="111"/>
      <c r="V522" s="111"/>
      <c r="W522" s="111"/>
      <c r="X522" s="105"/>
    </row>
    <row r="523" spans="2:24" ht="15.75" customHeight="1"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11"/>
      <c r="U523" s="111"/>
      <c r="V523" s="111"/>
      <c r="W523" s="111"/>
      <c r="X523" s="105"/>
    </row>
    <row r="524" spans="2:24" ht="15.75" customHeight="1"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11"/>
      <c r="U524" s="111"/>
      <c r="V524" s="111"/>
      <c r="W524" s="111"/>
      <c r="X524" s="105"/>
    </row>
    <row r="525" spans="2:24" ht="15.75" customHeight="1"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11"/>
      <c r="U525" s="111"/>
      <c r="V525" s="111"/>
      <c r="W525" s="111"/>
      <c r="X525" s="105"/>
    </row>
    <row r="526" spans="2:24" ht="15.75" customHeight="1"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11"/>
      <c r="U526" s="111"/>
      <c r="V526" s="111"/>
      <c r="W526" s="111"/>
      <c r="X526" s="105"/>
    </row>
    <row r="527" spans="2:24" ht="15.75" customHeight="1"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11"/>
      <c r="U527" s="111"/>
      <c r="V527" s="111"/>
      <c r="W527" s="111"/>
      <c r="X527" s="105"/>
    </row>
    <row r="528" spans="2:24" ht="15.75" customHeight="1"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11"/>
      <c r="U528" s="111"/>
      <c r="V528" s="111"/>
      <c r="W528" s="111"/>
      <c r="X528" s="105"/>
    </row>
    <row r="529" spans="2:24" ht="15.75" customHeight="1"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11"/>
      <c r="U529" s="111"/>
      <c r="V529" s="111"/>
      <c r="W529" s="111"/>
      <c r="X529" s="105"/>
    </row>
    <row r="530" spans="2:24" ht="15.75" customHeight="1"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11"/>
      <c r="U530" s="111"/>
      <c r="V530" s="111"/>
      <c r="W530" s="111"/>
      <c r="X530" s="105"/>
    </row>
    <row r="531" spans="2:24" ht="15.75" customHeight="1"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11"/>
      <c r="U531" s="111"/>
      <c r="V531" s="111"/>
      <c r="W531" s="111"/>
      <c r="X531" s="105"/>
    </row>
    <row r="532" spans="2:24" ht="15.75" customHeight="1"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11"/>
      <c r="U532" s="111"/>
      <c r="V532" s="111"/>
      <c r="W532" s="111"/>
      <c r="X532" s="105"/>
    </row>
    <row r="533" spans="2:24" ht="15.75" customHeight="1"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11"/>
      <c r="U533" s="111"/>
      <c r="V533" s="111"/>
      <c r="W533" s="111"/>
      <c r="X533" s="105"/>
    </row>
    <row r="534" spans="2:24" ht="15.75" customHeight="1"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11"/>
      <c r="U534" s="111"/>
      <c r="V534" s="111"/>
      <c r="W534" s="111"/>
      <c r="X534" s="105"/>
    </row>
    <row r="535" spans="2:24" ht="15.75" customHeight="1"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11"/>
      <c r="U535" s="111"/>
      <c r="V535" s="111"/>
      <c r="W535" s="111"/>
      <c r="X535" s="105"/>
    </row>
    <row r="536" spans="2:24" ht="15.75" customHeight="1"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11"/>
      <c r="U536" s="111"/>
      <c r="V536" s="111"/>
      <c r="W536" s="111"/>
      <c r="X536" s="105"/>
    </row>
    <row r="537" spans="2:24" ht="15.75" customHeight="1"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11"/>
      <c r="U537" s="111"/>
      <c r="V537" s="111"/>
      <c r="W537" s="111"/>
      <c r="X537" s="105"/>
    </row>
    <row r="538" spans="2:24" ht="15.75" customHeight="1"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11"/>
      <c r="U538" s="111"/>
      <c r="V538" s="111"/>
      <c r="W538" s="111"/>
      <c r="X538" s="105"/>
    </row>
    <row r="539" spans="2:24" ht="15.75" customHeight="1"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11"/>
      <c r="U539" s="111"/>
      <c r="V539" s="111"/>
      <c r="W539" s="111"/>
      <c r="X539" s="105"/>
    </row>
    <row r="540" spans="2:24" ht="15.75" customHeight="1"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11"/>
      <c r="U540" s="111"/>
      <c r="V540" s="111"/>
      <c r="W540" s="111"/>
      <c r="X540" s="105"/>
    </row>
    <row r="541" spans="2:24" ht="15.75" customHeight="1"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11"/>
      <c r="U541" s="111"/>
      <c r="V541" s="111"/>
      <c r="W541" s="111"/>
      <c r="X541" s="105"/>
    </row>
    <row r="542" spans="2:24" ht="15.75" customHeight="1"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11"/>
      <c r="U542" s="111"/>
      <c r="V542" s="111"/>
      <c r="W542" s="111"/>
      <c r="X542" s="105"/>
    </row>
    <row r="543" spans="2:24" ht="15.75" customHeight="1"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11"/>
      <c r="U543" s="111"/>
      <c r="V543" s="111"/>
      <c r="W543" s="111"/>
      <c r="X543" s="105"/>
    </row>
    <row r="544" spans="2:24" ht="15.75" customHeight="1"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11"/>
      <c r="U544" s="111"/>
      <c r="V544" s="111"/>
      <c r="W544" s="111"/>
      <c r="X544" s="105"/>
    </row>
    <row r="545" spans="2:24" ht="15.75" customHeight="1"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11"/>
      <c r="U545" s="111"/>
      <c r="V545" s="111"/>
      <c r="W545" s="111"/>
      <c r="X545" s="105"/>
    </row>
    <row r="546" spans="2:24" ht="15.75" customHeight="1"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11"/>
      <c r="U546" s="111"/>
      <c r="V546" s="111"/>
      <c r="W546" s="111"/>
      <c r="X546" s="105"/>
    </row>
    <row r="547" spans="2:24" ht="15.75" customHeight="1"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11"/>
      <c r="U547" s="111"/>
      <c r="V547" s="111"/>
      <c r="W547" s="111"/>
      <c r="X547" s="105"/>
    </row>
    <row r="548" spans="2:24" ht="15.75" customHeight="1"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11"/>
      <c r="U548" s="111"/>
      <c r="V548" s="111"/>
      <c r="W548" s="111"/>
      <c r="X548" s="105"/>
    </row>
    <row r="549" spans="2:24" ht="15.75" customHeight="1"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11"/>
      <c r="U549" s="111"/>
      <c r="V549" s="111"/>
      <c r="W549" s="111"/>
      <c r="X549" s="105"/>
    </row>
    <row r="550" spans="2:24" ht="15.75" customHeight="1"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11"/>
      <c r="U550" s="111"/>
      <c r="V550" s="111"/>
      <c r="W550" s="111"/>
      <c r="X550" s="105"/>
    </row>
    <row r="551" spans="2:24" ht="15.75" customHeight="1"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11"/>
      <c r="U551" s="111"/>
      <c r="V551" s="111"/>
      <c r="W551" s="111"/>
      <c r="X551" s="105"/>
    </row>
    <row r="552" spans="2:24" ht="15.75" customHeight="1"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11"/>
      <c r="U552" s="111"/>
      <c r="V552" s="111"/>
      <c r="W552" s="111"/>
      <c r="X552" s="105"/>
    </row>
    <row r="553" spans="2:24" ht="15.75" customHeight="1"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11"/>
      <c r="U553" s="111"/>
      <c r="V553" s="111"/>
      <c r="W553" s="111"/>
      <c r="X553" s="105"/>
    </row>
    <row r="554" spans="2:24" ht="15.75" customHeight="1"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11"/>
      <c r="U554" s="111"/>
      <c r="V554" s="111"/>
      <c r="W554" s="111"/>
      <c r="X554" s="105"/>
    </row>
    <row r="555" spans="2:24" ht="15.75" customHeight="1"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11"/>
      <c r="U555" s="111"/>
      <c r="V555" s="111"/>
      <c r="W555" s="111"/>
      <c r="X555" s="105"/>
    </row>
    <row r="556" spans="2:24" ht="15.75" customHeight="1"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11"/>
      <c r="U556" s="111"/>
      <c r="V556" s="111"/>
      <c r="W556" s="111"/>
      <c r="X556" s="105"/>
    </row>
    <row r="557" spans="2:24" ht="15.75" customHeight="1"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11"/>
      <c r="U557" s="111"/>
      <c r="V557" s="111"/>
      <c r="W557" s="111"/>
      <c r="X557" s="105"/>
    </row>
    <row r="558" spans="2:24" ht="15.75" customHeight="1"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11"/>
      <c r="U558" s="111"/>
      <c r="V558" s="111"/>
      <c r="W558" s="111"/>
      <c r="X558" s="105"/>
    </row>
    <row r="559" spans="2:24" ht="15.75" customHeight="1"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11"/>
      <c r="U559" s="111"/>
      <c r="V559" s="111"/>
      <c r="W559" s="111"/>
      <c r="X559" s="105"/>
    </row>
    <row r="560" spans="2:24" ht="15.75" customHeight="1"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11"/>
      <c r="U560" s="111"/>
      <c r="V560" s="111"/>
      <c r="W560" s="111"/>
      <c r="X560" s="105"/>
    </row>
    <row r="561" spans="2:24" ht="15.75" customHeight="1"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11"/>
      <c r="U561" s="111"/>
      <c r="V561" s="111"/>
      <c r="W561" s="111"/>
      <c r="X561" s="105"/>
    </row>
    <row r="562" spans="2:24" ht="15.75" customHeight="1"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11"/>
      <c r="U562" s="111"/>
      <c r="V562" s="111"/>
      <c r="W562" s="111"/>
      <c r="X562" s="105"/>
    </row>
    <row r="563" spans="2:24" ht="15.75" customHeight="1"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11"/>
      <c r="U563" s="111"/>
      <c r="V563" s="111"/>
      <c r="W563" s="111"/>
      <c r="X563" s="105"/>
    </row>
    <row r="564" spans="2:24" ht="15.75" customHeight="1"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11"/>
      <c r="U564" s="111"/>
      <c r="V564" s="111"/>
      <c r="W564" s="111"/>
      <c r="X564" s="105"/>
    </row>
    <row r="565" spans="2:24" ht="15.75" customHeight="1"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11"/>
      <c r="U565" s="111"/>
      <c r="V565" s="111"/>
      <c r="W565" s="111"/>
      <c r="X565" s="105"/>
    </row>
    <row r="566" spans="2:24" ht="15.75" customHeight="1"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11"/>
      <c r="U566" s="111"/>
      <c r="V566" s="111"/>
      <c r="W566" s="111"/>
      <c r="X566" s="105"/>
    </row>
    <row r="567" spans="2:24" ht="15.75" customHeight="1"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11"/>
      <c r="U567" s="111"/>
      <c r="V567" s="111"/>
      <c r="W567" s="111"/>
      <c r="X567" s="105"/>
    </row>
    <row r="568" spans="2:24" ht="15.75" customHeight="1"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11"/>
      <c r="U568" s="111"/>
      <c r="V568" s="111"/>
      <c r="W568" s="111"/>
      <c r="X568" s="105"/>
    </row>
    <row r="569" spans="2:24" ht="15.75" customHeight="1"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11"/>
      <c r="U569" s="111"/>
      <c r="V569" s="111"/>
      <c r="W569" s="111"/>
      <c r="X569" s="105"/>
    </row>
    <row r="570" spans="2:24" ht="15.75" customHeight="1"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11"/>
      <c r="U570" s="111"/>
      <c r="V570" s="111"/>
      <c r="W570" s="111"/>
      <c r="X570" s="105"/>
    </row>
    <row r="571" spans="2:24" ht="15.75" customHeight="1"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11"/>
      <c r="U571" s="111"/>
      <c r="V571" s="111"/>
      <c r="W571" s="111"/>
      <c r="X571" s="105"/>
    </row>
    <row r="572" spans="2:24" ht="15.75" customHeight="1"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11"/>
      <c r="U572" s="111"/>
      <c r="V572" s="111"/>
      <c r="W572" s="111"/>
      <c r="X572" s="105"/>
    </row>
    <row r="573" spans="2:24" ht="15.75" customHeight="1"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11"/>
      <c r="U573" s="111"/>
      <c r="V573" s="111"/>
      <c r="W573" s="111"/>
      <c r="X573" s="105"/>
    </row>
    <row r="574" spans="2:24" ht="15.75" customHeight="1"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11"/>
      <c r="U574" s="111"/>
      <c r="V574" s="111"/>
      <c r="W574" s="111"/>
      <c r="X574" s="105"/>
    </row>
    <row r="575" spans="2:24" ht="15.75" customHeight="1"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11"/>
      <c r="U575" s="111"/>
      <c r="V575" s="111"/>
      <c r="W575" s="111"/>
      <c r="X575" s="105"/>
    </row>
    <row r="576" spans="2:24" ht="15.75" customHeight="1"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11"/>
      <c r="U576" s="111"/>
      <c r="V576" s="111"/>
      <c r="W576" s="111"/>
      <c r="X576" s="105"/>
    </row>
    <row r="577" spans="2:24" ht="15.75" customHeight="1"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11"/>
      <c r="U577" s="111"/>
      <c r="V577" s="111"/>
      <c r="W577" s="111"/>
      <c r="X577" s="105"/>
    </row>
    <row r="578" spans="2:24" ht="15.75" customHeight="1"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11"/>
      <c r="U578" s="111"/>
      <c r="V578" s="111"/>
      <c r="W578" s="111"/>
      <c r="X578" s="105"/>
    </row>
    <row r="579" spans="2:24" ht="15.75" customHeight="1"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11"/>
      <c r="U579" s="111"/>
      <c r="V579" s="111"/>
      <c r="W579" s="111"/>
      <c r="X579" s="105"/>
    </row>
    <row r="580" spans="2:24" ht="15.75" customHeight="1"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11"/>
      <c r="U580" s="111"/>
      <c r="V580" s="111"/>
      <c r="W580" s="111"/>
      <c r="X580" s="105"/>
    </row>
    <row r="581" spans="2:24" ht="15.75" customHeight="1"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11"/>
      <c r="U581" s="111"/>
      <c r="V581" s="111"/>
      <c r="W581" s="111"/>
      <c r="X581" s="105"/>
    </row>
    <row r="582" spans="2:24" ht="15.75" customHeight="1"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11"/>
      <c r="U582" s="111"/>
      <c r="V582" s="111"/>
      <c r="W582" s="111"/>
      <c r="X582" s="105"/>
    </row>
    <row r="583" spans="2:24" ht="15.75" customHeight="1"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11"/>
      <c r="U583" s="111"/>
      <c r="V583" s="111"/>
      <c r="W583" s="111"/>
      <c r="X583" s="105"/>
    </row>
    <row r="584" spans="2:24" ht="15.75" customHeight="1"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11"/>
      <c r="U584" s="111"/>
      <c r="V584" s="111"/>
      <c r="W584" s="111"/>
      <c r="X584" s="105"/>
    </row>
    <row r="585" spans="2:24" ht="15.75" customHeight="1"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11"/>
      <c r="U585" s="111"/>
      <c r="V585" s="111"/>
      <c r="W585" s="111"/>
      <c r="X585" s="105"/>
    </row>
    <row r="586" spans="2:24" ht="15.75" customHeight="1"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11"/>
      <c r="U586" s="111"/>
      <c r="V586" s="111"/>
      <c r="W586" s="111"/>
      <c r="X586" s="105"/>
    </row>
    <row r="587" spans="2:24" ht="15.75" customHeight="1"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11"/>
      <c r="U587" s="111"/>
      <c r="V587" s="111"/>
      <c r="W587" s="111"/>
      <c r="X587" s="105"/>
    </row>
    <row r="588" spans="2:24" ht="15.75" customHeight="1"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11"/>
      <c r="U588" s="111"/>
      <c r="V588" s="111"/>
      <c r="W588" s="111"/>
      <c r="X588" s="105"/>
    </row>
    <row r="589" spans="2:24" ht="15.75" customHeight="1"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11"/>
      <c r="U589" s="111"/>
      <c r="V589" s="111"/>
      <c r="W589" s="111"/>
      <c r="X589" s="105"/>
    </row>
    <row r="590" spans="2:24" ht="15.75" customHeight="1"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11"/>
      <c r="U590" s="111"/>
      <c r="V590" s="111"/>
      <c r="W590" s="111"/>
      <c r="X590" s="105"/>
    </row>
    <row r="591" spans="2:24" ht="15.75" customHeight="1"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11"/>
      <c r="U591" s="111"/>
      <c r="V591" s="111"/>
      <c r="W591" s="111"/>
      <c r="X591" s="105"/>
    </row>
    <row r="592" spans="2:24" ht="15.75" customHeight="1"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11"/>
      <c r="U592" s="111"/>
      <c r="V592" s="111"/>
      <c r="W592" s="111"/>
      <c r="X592" s="105"/>
    </row>
    <row r="593" spans="2:24" ht="15.75" customHeight="1"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11"/>
      <c r="U593" s="111"/>
      <c r="V593" s="111"/>
      <c r="W593" s="111"/>
      <c r="X593" s="105"/>
    </row>
    <row r="594" spans="2:24" ht="15.75" customHeight="1"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11"/>
      <c r="U594" s="111"/>
      <c r="V594" s="111"/>
      <c r="W594" s="111"/>
      <c r="X594" s="105"/>
    </row>
    <row r="595" spans="2:24" ht="15.75" customHeight="1"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11"/>
      <c r="U595" s="111"/>
      <c r="V595" s="111"/>
      <c r="W595" s="111"/>
      <c r="X595" s="105"/>
    </row>
    <row r="596" spans="2:24" ht="15.75" customHeight="1"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11"/>
      <c r="U596" s="111"/>
      <c r="V596" s="111"/>
      <c r="W596" s="111"/>
      <c r="X596" s="105"/>
    </row>
    <row r="597" spans="2:24" ht="15.75" customHeight="1"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11"/>
      <c r="U597" s="111"/>
      <c r="V597" s="111"/>
      <c r="W597" s="111"/>
      <c r="X597" s="105"/>
    </row>
    <row r="598" spans="2:24" ht="15.75" customHeight="1"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11"/>
      <c r="U598" s="111"/>
      <c r="V598" s="111"/>
      <c r="W598" s="111"/>
      <c r="X598" s="105"/>
    </row>
    <row r="599" spans="2:24" ht="15.75" customHeight="1"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11"/>
      <c r="U599" s="111"/>
      <c r="V599" s="111"/>
      <c r="W599" s="111"/>
      <c r="X599" s="105"/>
    </row>
    <row r="600" spans="2:24" ht="15.75" customHeight="1"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11"/>
      <c r="U600" s="111"/>
      <c r="V600" s="111"/>
      <c r="W600" s="111"/>
      <c r="X600" s="105"/>
    </row>
    <row r="601" spans="2:24" ht="15.75" customHeight="1"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11"/>
      <c r="U601" s="111"/>
      <c r="V601" s="111"/>
      <c r="W601" s="111"/>
      <c r="X601" s="105"/>
    </row>
    <row r="602" spans="2:24" ht="15.75" customHeight="1"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11"/>
      <c r="U602" s="111"/>
      <c r="V602" s="111"/>
      <c r="W602" s="111"/>
      <c r="X602" s="105"/>
    </row>
    <row r="603" spans="2:24" ht="15.75" customHeight="1"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11"/>
      <c r="U603" s="111"/>
      <c r="V603" s="111"/>
      <c r="W603" s="111"/>
      <c r="X603" s="105"/>
    </row>
    <row r="604" spans="2:24" ht="15.75" customHeight="1"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11"/>
      <c r="U604" s="111"/>
      <c r="V604" s="111"/>
      <c r="W604" s="111"/>
      <c r="X604" s="105"/>
    </row>
    <row r="605" spans="2:24" ht="15.75" customHeight="1"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11"/>
      <c r="U605" s="111"/>
      <c r="V605" s="111"/>
      <c r="W605" s="111"/>
      <c r="X605" s="105"/>
    </row>
    <row r="606" spans="2:24" ht="15.75" customHeight="1"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11"/>
      <c r="U606" s="111"/>
      <c r="V606" s="111"/>
      <c r="W606" s="111"/>
      <c r="X606" s="105"/>
    </row>
    <row r="607" spans="2:24" ht="15.75" customHeight="1"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11"/>
      <c r="U607" s="111"/>
      <c r="V607" s="111"/>
      <c r="W607" s="111"/>
      <c r="X607" s="105"/>
    </row>
    <row r="608" spans="2:24" ht="15.75" customHeight="1"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11"/>
      <c r="U608" s="111"/>
      <c r="V608" s="111"/>
      <c r="W608" s="111"/>
      <c r="X608" s="105"/>
    </row>
    <row r="609" spans="2:24" ht="15.75" customHeight="1"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11"/>
      <c r="U609" s="111"/>
      <c r="V609" s="111"/>
      <c r="W609" s="111"/>
      <c r="X609" s="105"/>
    </row>
    <row r="610" spans="2:24" ht="15.75" customHeight="1"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11"/>
      <c r="U610" s="111"/>
      <c r="V610" s="111"/>
      <c r="W610" s="111"/>
      <c r="X610" s="105"/>
    </row>
    <row r="611" spans="2:24" ht="15.75" customHeight="1"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11"/>
      <c r="U611" s="111"/>
      <c r="V611" s="111"/>
      <c r="W611" s="111"/>
      <c r="X611" s="105"/>
    </row>
    <row r="612" spans="2:24" ht="15.75" customHeight="1"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11"/>
      <c r="U612" s="111"/>
      <c r="V612" s="111"/>
      <c r="W612" s="111"/>
      <c r="X612" s="105"/>
    </row>
    <row r="613" spans="2:24" ht="15.75" customHeight="1"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11"/>
      <c r="U613" s="111"/>
      <c r="V613" s="111"/>
      <c r="W613" s="111"/>
      <c r="X613" s="105"/>
    </row>
    <row r="614" spans="2:24" ht="15.75" customHeight="1"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11"/>
      <c r="U614" s="111"/>
      <c r="V614" s="111"/>
      <c r="W614" s="111"/>
      <c r="X614" s="105"/>
    </row>
    <row r="615" spans="2:24" ht="15.75" customHeight="1"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11"/>
      <c r="U615" s="111"/>
      <c r="V615" s="111"/>
      <c r="W615" s="111"/>
      <c r="X615" s="105"/>
    </row>
    <row r="616" spans="2:24" ht="15.75" customHeight="1"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11"/>
      <c r="U616" s="111"/>
      <c r="V616" s="111"/>
      <c r="W616" s="111"/>
      <c r="X616" s="105"/>
    </row>
    <row r="617" spans="2:24" ht="15.75" customHeight="1"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11"/>
      <c r="U617" s="111"/>
      <c r="V617" s="111"/>
      <c r="W617" s="111"/>
      <c r="X617" s="105"/>
    </row>
    <row r="618" spans="2:24" ht="15.75" customHeight="1"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11"/>
      <c r="U618" s="111"/>
      <c r="V618" s="111"/>
      <c r="W618" s="111"/>
      <c r="X618" s="105"/>
    </row>
    <row r="619" spans="2:24" ht="15.75" customHeight="1"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11"/>
      <c r="U619" s="111"/>
      <c r="V619" s="111"/>
      <c r="W619" s="111"/>
      <c r="X619" s="105"/>
    </row>
    <row r="620" spans="2:24" ht="15.75" customHeight="1"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11"/>
      <c r="U620" s="111"/>
      <c r="V620" s="111"/>
      <c r="W620" s="111"/>
      <c r="X620" s="105"/>
    </row>
    <row r="621" spans="2:24" ht="15.75" customHeight="1"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11"/>
      <c r="U621" s="111"/>
      <c r="V621" s="111"/>
      <c r="W621" s="111"/>
      <c r="X621" s="105"/>
    </row>
    <row r="622" spans="2:24" ht="15.75" customHeight="1"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11"/>
      <c r="U622" s="111"/>
      <c r="V622" s="111"/>
      <c r="W622" s="111"/>
      <c r="X622" s="105"/>
    </row>
    <row r="623" spans="2:24" ht="15.75" customHeight="1"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11"/>
      <c r="U623" s="111"/>
      <c r="V623" s="111"/>
      <c r="W623" s="111"/>
      <c r="X623" s="105"/>
    </row>
    <row r="624" spans="2:24" ht="15.75" customHeight="1"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11"/>
      <c r="U624" s="111"/>
      <c r="V624" s="111"/>
      <c r="W624" s="111"/>
      <c r="X624" s="105"/>
    </row>
    <row r="625" spans="2:24" ht="15.75" customHeight="1"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11"/>
      <c r="U625" s="111"/>
      <c r="V625" s="111"/>
      <c r="W625" s="111"/>
      <c r="X625" s="105"/>
    </row>
    <row r="626" spans="2:24" ht="15.75" customHeight="1"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11"/>
      <c r="U626" s="111"/>
      <c r="V626" s="111"/>
      <c r="W626" s="111"/>
      <c r="X626" s="105"/>
    </row>
    <row r="627" spans="2:24" ht="15.75" customHeight="1"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11"/>
      <c r="U627" s="111"/>
      <c r="V627" s="111"/>
      <c r="W627" s="111"/>
      <c r="X627" s="105"/>
    </row>
    <row r="628" spans="2:24" ht="15.75" customHeight="1"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11"/>
      <c r="U628" s="111"/>
      <c r="V628" s="111"/>
      <c r="W628" s="111"/>
      <c r="X628" s="105"/>
    </row>
    <row r="629" spans="2:24" ht="15.75" customHeight="1"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11"/>
      <c r="U629" s="111"/>
      <c r="V629" s="111"/>
      <c r="W629" s="111"/>
      <c r="X629" s="105"/>
    </row>
    <row r="630" spans="2:24" ht="15.75" customHeight="1"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11"/>
      <c r="U630" s="111"/>
      <c r="V630" s="111"/>
      <c r="W630" s="111"/>
      <c r="X630" s="105"/>
    </row>
    <row r="631" spans="2:24" ht="15.75" customHeight="1"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11"/>
      <c r="U631" s="111"/>
      <c r="V631" s="111"/>
      <c r="W631" s="111"/>
      <c r="X631" s="105"/>
    </row>
    <row r="632" spans="2:24" ht="15.75" customHeight="1"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11"/>
      <c r="U632" s="111"/>
      <c r="V632" s="111"/>
      <c r="W632" s="111"/>
      <c r="X632" s="105"/>
    </row>
    <row r="633" spans="2:24" ht="15.75" customHeight="1"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11"/>
      <c r="U633" s="111"/>
      <c r="V633" s="111"/>
      <c r="W633" s="111"/>
      <c r="X633" s="105"/>
    </row>
    <row r="634" spans="2:24" ht="15.75" customHeight="1"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11"/>
      <c r="U634" s="111"/>
      <c r="V634" s="111"/>
      <c r="W634" s="111"/>
      <c r="X634" s="105"/>
    </row>
    <row r="635" spans="2:24" ht="15.75" customHeight="1"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11"/>
      <c r="U635" s="111"/>
      <c r="V635" s="111"/>
      <c r="W635" s="111"/>
      <c r="X635" s="105"/>
    </row>
    <row r="636" spans="2:24" ht="15.75" customHeight="1"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11"/>
      <c r="U636" s="111"/>
      <c r="V636" s="111"/>
      <c r="W636" s="111"/>
      <c r="X636" s="105"/>
    </row>
    <row r="637" spans="2:24" ht="15.75" customHeight="1"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11"/>
      <c r="U637" s="111"/>
      <c r="V637" s="111"/>
      <c r="W637" s="111"/>
      <c r="X637" s="105"/>
    </row>
    <row r="638" spans="2:24" ht="15.75" customHeight="1"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11"/>
      <c r="U638" s="111"/>
      <c r="V638" s="111"/>
      <c r="W638" s="111"/>
      <c r="X638" s="105"/>
    </row>
    <row r="639" spans="2:24" ht="15.75" customHeight="1"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11"/>
      <c r="U639" s="111"/>
      <c r="V639" s="111"/>
      <c r="W639" s="111"/>
      <c r="X639" s="105"/>
    </row>
    <row r="640" spans="2:24" ht="15.75" customHeight="1"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11"/>
      <c r="U640" s="111"/>
      <c r="V640" s="111"/>
      <c r="W640" s="111"/>
      <c r="X640" s="105"/>
    </row>
    <row r="641" spans="2:24" ht="15.75" customHeight="1"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11"/>
      <c r="U641" s="111"/>
      <c r="V641" s="111"/>
      <c r="W641" s="111"/>
      <c r="X641" s="105"/>
    </row>
    <row r="642" spans="2:24" ht="15.75" customHeight="1"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11"/>
      <c r="U642" s="111"/>
      <c r="V642" s="111"/>
      <c r="W642" s="111"/>
      <c r="X642" s="105"/>
    </row>
    <row r="643" spans="2:24" ht="15.75" customHeight="1"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11"/>
      <c r="U643" s="111"/>
      <c r="V643" s="111"/>
      <c r="W643" s="111"/>
      <c r="X643" s="105"/>
    </row>
    <row r="644" spans="2:24" ht="15.75" customHeight="1"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11"/>
      <c r="U644" s="111"/>
      <c r="V644" s="111"/>
      <c r="W644" s="111"/>
      <c r="X644" s="105"/>
    </row>
    <row r="645" spans="2:24" ht="15.75" customHeight="1"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11"/>
      <c r="U645" s="111"/>
      <c r="V645" s="111"/>
      <c r="W645" s="111"/>
      <c r="X645" s="105"/>
    </row>
    <row r="646" spans="2:24" ht="15.75" customHeight="1"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11"/>
      <c r="U646" s="111"/>
      <c r="V646" s="111"/>
      <c r="W646" s="111"/>
      <c r="X646" s="105"/>
    </row>
    <row r="647" spans="2:24" ht="15.75" customHeight="1"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11"/>
      <c r="U647" s="111"/>
      <c r="V647" s="111"/>
      <c r="W647" s="111"/>
      <c r="X647" s="105"/>
    </row>
    <row r="648" spans="2:24" ht="15.75" customHeight="1"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11"/>
      <c r="U648" s="111"/>
      <c r="V648" s="111"/>
      <c r="W648" s="111"/>
      <c r="X648" s="105"/>
    </row>
    <row r="649" spans="2:24" ht="15.75" customHeight="1"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11"/>
      <c r="U649" s="111"/>
      <c r="V649" s="111"/>
      <c r="W649" s="111"/>
      <c r="X649" s="105"/>
    </row>
    <row r="650" spans="2:24" ht="15.75" customHeight="1"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11"/>
      <c r="U650" s="111"/>
      <c r="V650" s="111"/>
      <c r="W650" s="111"/>
      <c r="X650" s="105"/>
    </row>
    <row r="651" spans="2:24" ht="15.75" customHeight="1"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11"/>
      <c r="U651" s="111"/>
      <c r="V651" s="111"/>
      <c r="W651" s="111"/>
      <c r="X651" s="105"/>
    </row>
    <row r="652" spans="2:24" ht="15.75" customHeight="1"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11"/>
      <c r="U652" s="111"/>
      <c r="V652" s="111"/>
      <c r="W652" s="111"/>
      <c r="X652" s="105"/>
    </row>
    <row r="653" spans="2:24" ht="15.75" customHeight="1"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11"/>
      <c r="U653" s="111"/>
      <c r="V653" s="111"/>
      <c r="W653" s="111"/>
      <c r="X653" s="105"/>
    </row>
    <row r="654" spans="2:24" ht="15.75" customHeight="1"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11"/>
      <c r="U654" s="111"/>
      <c r="V654" s="111"/>
      <c r="W654" s="111"/>
      <c r="X654" s="105"/>
    </row>
    <row r="655" spans="2:24" ht="15.75" customHeight="1"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11"/>
      <c r="U655" s="111"/>
      <c r="V655" s="111"/>
      <c r="W655" s="111"/>
      <c r="X655" s="105"/>
    </row>
    <row r="656" spans="2:24" ht="15.75" customHeight="1"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11"/>
      <c r="U656" s="111"/>
      <c r="V656" s="111"/>
      <c r="W656" s="111"/>
      <c r="X656" s="105"/>
    </row>
    <row r="657" spans="2:24" ht="15.75" customHeight="1"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11"/>
      <c r="U657" s="111"/>
      <c r="V657" s="111"/>
      <c r="W657" s="111"/>
      <c r="X657" s="105"/>
    </row>
    <row r="658" spans="2:24" ht="15.75" customHeight="1"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11"/>
      <c r="U658" s="111"/>
      <c r="V658" s="111"/>
      <c r="W658" s="111"/>
      <c r="X658" s="105"/>
    </row>
    <row r="659" spans="2:24" ht="15.75" customHeight="1"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11"/>
      <c r="U659" s="111"/>
      <c r="V659" s="111"/>
      <c r="W659" s="111"/>
      <c r="X659" s="105"/>
    </row>
    <row r="660" spans="2:24" ht="15.75" customHeight="1"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11"/>
      <c r="U660" s="111"/>
      <c r="V660" s="111"/>
      <c r="W660" s="111"/>
      <c r="X660" s="105"/>
    </row>
    <row r="661" spans="2:24" ht="15.75" customHeight="1"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11"/>
      <c r="U661" s="111"/>
      <c r="V661" s="111"/>
      <c r="W661" s="111"/>
      <c r="X661" s="105"/>
    </row>
    <row r="662" spans="2:24" ht="15.75" customHeight="1"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11"/>
      <c r="U662" s="111"/>
      <c r="V662" s="111"/>
      <c r="W662" s="111"/>
      <c r="X662" s="105"/>
    </row>
    <row r="663" spans="2:24" ht="15.75" customHeight="1"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11"/>
      <c r="U663" s="111"/>
      <c r="V663" s="111"/>
      <c r="W663" s="111"/>
      <c r="X663" s="105"/>
    </row>
    <row r="664" spans="2:24" ht="15.75" customHeight="1"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11"/>
      <c r="U664" s="111"/>
      <c r="V664" s="111"/>
      <c r="W664" s="111"/>
      <c r="X664" s="105"/>
    </row>
    <row r="665" spans="2:24" ht="15.75" customHeight="1"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11"/>
      <c r="U665" s="111"/>
      <c r="V665" s="111"/>
      <c r="W665" s="111"/>
      <c r="X665" s="105"/>
    </row>
    <row r="666" spans="2:24" ht="15.75" customHeight="1"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11"/>
      <c r="U666" s="111"/>
      <c r="V666" s="111"/>
      <c r="W666" s="111"/>
      <c r="X666" s="105"/>
    </row>
    <row r="667" spans="2:24" ht="15.75" customHeight="1"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11"/>
      <c r="U667" s="111"/>
      <c r="V667" s="111"/>
      <c r="W667" s="111"/>
      <c r="X667" s="105"/>
    </row>
    <row r="668" spans="2:24" ht="15.75" customHeight="1"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11"/>
      <c r="U668" s="111"/>
      <c r="V668" s="111"/>
      <c r="W668" s="111"/>
      <c r="X668" s="105"/>
    </row>
    <row r="669" spans="2:24" ht="15.75" customHeight="1"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11"/>
      <c r="U669" s="111"/>
      <c r="V669" s="111"/>
      <c r="W669" s="111"/>
      <c r="X669" s="105"/>
    </row>
    <row r="670" spans="2:24" ht="15.75" customHeight="1"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11"/>
      <c r="U670" s="111"/>
      <c r="V670" s="111"/>
      <c r="W670" s="111"/>
      <c r="X670" s="105"/>
    </row>
    <row r="671" spans="2:24" ht="15.75" customHeight="1"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11"/>
      <c r="U671" s="111"/>
      <c r="V671" s="111"/>
      <c r="W671" s="111"/>
      <c r="X671" s="105"/>
    </row>
    <row r="672" spans="2:24" ht="15.75" customHeight="1"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11"/>
      <c r="U672" s="111"/>
      <c r="V672" s="111"/>
      <c r="W672" s="111"/>
      <c r="X672" s="105"/>
    </row>
    <row r="673" spans="2:24" ht="15.75" customHeight="1"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11"/>
      <c r="U673" s="111"/>
      <c r="V673" s="111"/>
      <c r="W673" s="111"/>
      <c r="X673" s="105"/>
    </row>
    <row r="674" spans="2:24" ht="15.75" customHeight="1"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11"/>
      <c r="U674" s="111"/>
      <c r="V674" s="111"/>
      <c r="W674" s="111"/>
      <c r="X674" s="105"/>
    </row>
    <row r="675" spans="2:24" ht="15.75" customHeight="1"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11"/>
      <c r="U675" s="111"/>
      <c r="V675" s="111"/>
      <c r="W675" s="111"/>
      <c r="X675" s="105"/>
    </row>
    <row r="676" spans="2:24" ht="15.75" customHeight="1"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11"/>
      <c r="U676" s="111"/>
      <c r="V676" s="111"/>
      <c r="W676" s="111"/>
      <c r="X676" s="105"/>
    </row>
    <row r="677" spans="2:24" ht="15.75" customHeight="1"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11"/>
      <c r="U677" s="111"/>
      <c r="V677" s="111"/>
      <c r="W677" s="111"/>
      <c r="X677" s="105"/>
    </row>
    <row r="678" spans="2:24" ht="15.75" customHeight="1"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11"/>
      <c r="U678" s="111"/>
      <c r="V678" s="111"/>
      <c r="W678" s="111"/>
      <c r="X678" s="105"/>
    </row>
    <row r="679" spans="2:24" ht="15.75" customHeight="1"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11"/>
      <c r="U679" s="111"/>
      <c r="V679" s="111"/>
      <c r="W679" s="111"/>
      <c r="X679" s="105"/>
    </row>
    <row r="680" spans="2:24" ht="15.75" customHeight="1"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11"/>
      <c r="U680" s="111"/>
      <c r="V680" s="111"/>
      <c r="W680" s="111"/>
      <c r="X680" s="105"/>
    </row>
    <row r="681" spans="2:24" ht="15.75" customHeight="1"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11"/>
      <c r="U681" s="111"/>
      <c r="V681" s="111"/>
      <c r="W681" s="111"/>
      <c r="X681" s="105"/>
    </row>
    <row r="682" spans="2:24" ht="15.75" customHeight="1"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11"/>
      <c r="U682" s="111"/>
      <c r="V682" s="111"/>
      <c r="W682" s="111"/>
      <c r="X682" s="105"/>
    </row>
    <row r="683" spans="2:24" ht="15.75" customHeight="1"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11"/>
      <c r="U683" s="111"/>
      <c r="V683" s="111"/>
      <c r="W683" s="111"/>
      <c r="X683" s="105"/>
    </row>
    <row r="684" spans="2:24" ht="15.75" customHeight="1"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11"/>
      <c r="U684" s="111"/>
      <c r="V684" s="111"/>
      <c r="W684" s="111"/>
      <c r="X684" s="105"/>
    </row>
    <row r="685" spans="2:24" ht="15.75" customHeight="1"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11"/>
      <c r="U685" s="111"/>
      <c r="V685" s="111"/>
      <c r="W685" s="111"/>
      <c r="X685" s="105"/>
    </row>
    <row r="686" spans="2:24" ht="15.75" customHeight="1"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11"/>
      <c r="U686" s="111"/>
      <c r="V686" s="111"/>
      <c r="W686" s="111"/>
      <c r="X686" s="105"/>
    </row>
    <row r="687" spans="2:24" ht="15.75" customHeight="1"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11"/>
      <c r="U687" s="111"/>
      <c r="V687" s="111"/>
      <c r="W687" s="111"/>
      <c r="X687" s="105"/>
    </row>
    <row r="688" spans="2:24" ht="15.75" customHeight="1"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11"/>
      <c r="U688" s="111"/>
      <c r="V688" s="111"/>
      <c r="W688" s="111"/>
      <c r="X688" s="105"/>
    </row>
    <row r="689" spans="2:24" ht="15.75" customHeight="1"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11"/>
      <c r="U689" s="111"/>
      <c r="V689" s="111"/>
      <c r="W689" s="111"/>
      <c r="X689" s="105"/>
    </row>
    <row r="690" spans="2:24" ht="15.75" customHeight="1"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11"/>
      <c r="U690" s="111"/>
      <c r="V690" s="111"/>
      <c r="W690" s="111"/>
      <c r="X690" s="105"/>
    </row>
    <row r="691" spans="2:24" ht="15.75" customHeight="1"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11"/>
      <c r="U691" s="111"/>
      <c r="V691" s="111"/>
      <c r="W691" s="111"/>
      <c r="X691" s="105"/>
    </row>
    <row r="692" spans="2:24" ht="15.75" customHeight="1"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11"/>
      <c r="U692" s="111"/>
      <c r="V692" s="111"/>
      <c r="W692" s="111"/>
      <c r="X692" s="105"/>
    </row>
    <row r="693" spans="2:24" ht="15.75" customHeight="1"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11"/>
      <c r="U693" s="111"/>
      <c r="V693" s="111"/>
      <c r="W693" s="111"/>
      <c r="X693" s="105"/>
    </row>
    <row r="694" spans="2:24" ht="15.75" customHeight="1"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11"/>
      <c r="U694" s="111"/>
      <c r="V694" s="111"/>
      <c r="W694" s="111"/>
      <c r="X694" s="105"/>
    </row>
    <row r="695" spans="2:24" ht="15.75" customHeight="1"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11"/>
      <c r="U695" s="111"/>
      <c r="V695" s="111"/>
      <c r="W695" s="111"/>
      <c r="X695" s="105"/>
    </row>
    <row r="696" spans="2:24" ht="15.75" customHeight="1"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11"/>
      <c r="U696" s="111"/>
      <c r="V696" s="111"/>
      <c r="W696" s="111"/>
      <c r="X696" s="105"/>
    </row>
    <row r="697" spans="2:24" ht="15.75" customHeight="1"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11"/>
      <c r="U697" s="111"/>
      <c r="V697" s="111"/>
      <c r="W697" s="111"/>
      <c r="X697" s="105"/>
    </row>
    <row r="698" spans="2:24" ht="15.75" customHeight="1"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11"/>
      <c r="U698" s="111"/>
      <c r="V698" s="111"/>
      <c r="W698" s="111"/>
      <c r="X698" s="105"/>
    </row>
    <row r="699" spans="2:24" ht="15.75" customHeight="1"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11"/>
      <c r="U699" s="111"/>
      <c r="V699" s="111"/>
      <c r="W699" s="111"/>
      <c r="X699" s="105"/>
    </row>
    <row r="700" spans="2:24" ht="15.75" customHeight="1"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11"/>
      <c r="U700" s="111"/>
      <c r="V700" s="111"/>
      <c r="W700" s="111"/>
      <c r="X700" s="105"/>
    </row>
    <row r="701" spans="2:24" ht="15.75" customHeight="1"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11"/>
      <c r="U701" s="111"/>
      <c r="V701" s="111"/>
      <c r="W701" s="111"/>
      <c r="X701" s="105"/>
    </row>
    <row r="702" spans="2:24" ht="15.75" customHeight="1"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11"/>
      <c r="U702" s="111"/>
      <c r="V702" s="111"/>
      <c r="W702" s="111"/>
      <c r="X702" s="105"/>
    </row>
    <row r="703" spans="2:24" ht="15.75" customHeight="1"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11"/>
      <c r="U703" s="111"/>
      <c r="V703" s="111"/>
      <c r="W703" s="111"/>
      <c r="X703" s="105"/>
    </row>
    <row r="704" spans="2:24" ht="15.75" customHeight="1"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11"/>
      <c r="U704" s="111"/>
      <c r="V704" s="111"/>
      <c r="W704" s="111"/>
      <c r="X704" s="105"/>
    </row>
    <row r="705" spans="2:24" ht="15.75" customHeight="1"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11"/>
      <c r="U705" s="111"/>
      <c r="V705" s="111"/>
      <c r="W705" s="111"/>
      <c r="X705" s="105"/>
    </row>
    <row r="706" spans="2:24" ht="15.75" customHeight="1"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11"/>
      <c r="U706" s="111"/>
      <c r="V706" s="111"/>
      <c r="W706" s="111"/>
      <c r="X706" s="105"/>
    </row>
    <row r="707" spans="2:24" ht="15.75" customHeight="1"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11"/>
      <c r="U707" s="111"/>
      <c r="V707" s="111"/>
      <c r="W707" s="111"/>
      <c r="X707" s="105"/>
    </row>
    <row r="708" spans="2:24" ht="15.75" customHeight="1"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11"/>
      <c r="U708" s="111"/>
      <c r="V708" s="111"/>
      <c r="W708" s="111"/>
      <c r="X708" s="105"/>
    </row>
    <row r="709" spans="2:24" ht="15.75" customHeight="1"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11"/>
      <c r="U709" s="111"/>
      <c r="V709" s="111"/>
      <c r="W709" s="111"/>
      <c r="X709" s="105"/>
    </row>
    <row r="710" spans="2:24" ht="15.75" customHeight="1"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11"/>
      <c r="U710" s="111"/>
      <c r="V710" s="111"/>
      <c r="W710" s="111"/>
      <c r="X710" s="105"/>
    </row>
    <row r="711" spans="2:24" ht="15.75" customHeight="1"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11"/>
      <c r="U711" s="111"/>
      <c r="V711" s="111"/>
      <c r="W711" s="111"/>
      <c r="X711" s="105"/>
    </row>
    <row r="712" spans="2:24" ht="15.75" customHeight="1"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11"/>
      <c r="U712" s="111"/>
      <c r="V712" s="111"/>
      <c r="W712" s="111"/>
      <c r="X712" s="105"/>
    </row>
    <row r="713" spans="2:24" ht="15.75" customHeight="1"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11"/>
      <c r="U713" s="111"/>
      <c r="V713" s="111"/>
      <c r="W713" s="111"/>
      <c r="X713" s="105"/>
    </row>
    <row r="714" spans="2:24" ht="15.75" customHeight="1"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11"/>
      <c r="U714" s="111"/>
      <c r="V714" s="111"/>
      <c r="W714" s="111"/>
      <c r="X714" s="105"/>
    </row>
    <row r="715" spans="2:24" ht="15.75" customHeight="1"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11"/>
      <c r="U715" s="111"/>
      <c r="V715" s="111"/>
      <c r="W715" s="111"/>
      <c r="X715" s="105"/>
    </row>
    <row r="716" spans="2:24" ht="15.75" customHeight="1"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11"/>
      <c r="U716" s="111"/>
      <c r="V716" s="111"/>
      <c r="W716" s="111"/>
      <c r="X716" s="105"/>
    </row>
    <row r="717" spans="2:24" ht="15.75" customHeight="1"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11"/>
      <c r="U717" s="111"/>
      <c r="V717" s="111"/>
      <c r="W717" s="111"/>
      <c r="X717" s="105"/>
    </row>
    <row r="718" spans="2:24" ht="15.75" customHeight="1"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11"/>
      <c r="U718" s="111"/>
      <c r="V718" s="111"/>
      <c r="W718" s="111"/>
      <c r="X718" s="105"/>
    </row>
    <row r="719" spans="2:24" ht="15.75" customHeight="1"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11"/>
      <c r="U719" s="111"/>
      <c r="V719" s="111"/>
      <c r="W719" s="111"/>
      <c r="X719" s="105"/>
    </row>
    <row r="720" spans="2:24" ht="15.75" customHeight="1"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11"/>
      <c r="U720" s="111"/>
      <c r="V720" s="111"/>
      <c r="W720" s="111"/>
      <c r="X720" s="105"/>
    </row>
    <row r="721" spans="2:24" ht="15.75" customHeight="1"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11"/>
      <c r="U721" s="111"/>
      <c r="V721" s="111"/>
      <c r="W721" s="111"/>
      <c r="X721" s="105"/>
    </row>
    <row r="722" spans="2:24" ht="15.75" customHeight="1"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11"/>
      <c r="U722" s="111"/>
      <c r="V722" s="111"/>
      <c r="W722" s="111"/>
      <c r="X722" s="105"/>
    </row>
    <row r="723" spans="2:24" ht="15.75" customHeight="1"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11"/>
      <c r="U723" s="111"/>
      <c r="V723" s="111"/>
      <c r="W723" s="111"/>
      <c r="X723" s="105"/>
    </row>
    <row r="724" spans="2:24" ht="15.75" customHeight="1"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11"/>
      <c r="U724" s="111"/>
      <c r="V724" s="111"/>
      <c r="W724" s="111"/>
      <c r="X724" s="105"/>
    </row>
    <row r="725" spans="2:24" ht="15.75" customHeight="1"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11"/>
      <c r="U725" s="111"/>
      <c r="V725" s="111"/>
      <c r="W725" s="111"/>
      <c r="X725" s="105"/>
    </row>
    <row r="726" spans="2:24" ht="15.75" customHeight="1"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11"/>
      <c r="U726" s="111"/>
      <c r="V726" s="111"/>
      <c r="W726" s="111"/>
      <c r="X726" s="105"/>
    </row>
    <row r="727" spans="2:24" ht="15.75" customHeight="1"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11"/>
      <c r="U727" s="111"/>
      <c r="V727" s="111"/>
      <c r="W727" s="111"/>
      <c r="X727" s="105"/>
    </row>
    <row r="728" spans="2:24" ht="15.75" customHeight="1"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11"/>
      <c r="U728" s="111"/>
      <c r="V728" s="111"/>
      <c r="W728" s="111"/>
      <c r="X728" s="105"/>
    </row>
    <row r="729" spans="2:24" ht="15.75" customHeight="1"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11"/>
      <c r="U729" s="111"/>
      <c r="V729" s="111"/>
      <c r="W729" s="111"/>
      <c r="X729" s="105"/>
    </row>
    <row r="730" spans="2:24" ht="15.75" customHeight="1"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11"/>
      <c r="U730" s="111"/>
      <c r="V730" s="111"/>
      <c r="W730" s="111"/>
      <c r="X730" s="105"/>
    </row>
    <row r="731" spans="2:24" ht="15.75" customHeight="1"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11"/>
      <c r="U731" s="111"/>
      <c r="V731" s="111"/>
      <c r="W731" s="111"/>
      <c r="X731" s="105"/>
    </row>
    <row r="732" spans="2:24" ht="15.75" customHeight="1"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11"/>
      <c r="U732" s="111"/>
      <c r="V732" s="111"/>
      <c r="W732" s="111"/>
      <c r="X732" s="105"/>
    </row>
    <row r="733" spans="2:24" ht="15.75" customHeight="1"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11"/>
      <c r="U733" s="111"/>
      <c r="V733" s="111"/>
      <c r="W733" s="111"/>
      <c r="X733" s="105"/>
    </row>
    <row r="734" spans="2:24" ht="15.75" customHeight="1"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11"/>
      <c r="U734" s="111"/>
      <c r="V734" s="111"/>
      <c r="W734" s="111"/>
      <c r="X734" s="105"/>
    </row>
    <row r="735" spans="2:24" ht="15.75" customHeight="1"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11"/>
      <c r="U735" s="111"/>
      <c r="V735" s="111"/>
      <c r="W735" s="111"/>
      <c r="X735" s="105"/>
    </row>
    <row r="736" spans="2:24" ht="15.75" customHeight="1"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11"/>
      <c r="U736" s="111"/>
      <c r="V736" s="111"/>
      <c r="W736" s="111"/>
      <c r="X736" s="105"/>
    </row>
    <row r="737" spans="2:24" ht="15.75" customHeight="1"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11"/>
      <c r="U737" s="111"/>
      <c r="V737" s="111"/>
      <c r="W737" s="111"/>
      <c r="X737" s="105"/>
    </row>
    <row r="738" spans="2:24" ht="15.75" customHeight="1"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11"/>
      <c r="U738" s="111"/>
      <c r="V738" s="111"/>
      <c r="W738" s="111"/>
      <c r="X738" s="105"/>
    </row>
    <row r="739" spans="2:24" ht="15.75" customHeight="1"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11"/>
      <c r="U739" s="111"/>
      <c r="V739" s="111"/>
      <c r="W739" s="111"/>
      <c r="X739" s="105"/>
    </row>
    <row r="740" spans="2:24" ht="15.75" customHeight="1"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11"/>
      <c r="U740" s="111"/>
      <c r="V740" s="111"/>
      <c r="W740" s="111"/>
      <c r="X740" s="105"/>
    </row>
    <row r="741" spans="2:24" ht="15.75" customHeight="1"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11"/>
      <c r="U741" s="111"/>
      <c r="V741" s="111"/>
      <c r="W741" s="111"/>
      <c r="X741" s="105"/>
    </row>
    <row r="742" spans="2:24" ht="15.75" customHeight="1"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11"/>
      <c r="U742" s="111"/>
      <c r="V742" s="111"/>
      <c r="W742" s="111"/>
      <c r="X742" s="105"/>
    </row>
    <row r="743" spans="2:24" ht="15.75" customHeight="1"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11"/>
      <c r="U743" s="111"/>
      <c r="V743" s="111"/>
      <c r="W743" s="111"/>
      <c r="X743" s="105"/>
    </row>
    <row r="744" spans="2:24" ht="15.75" customHeight="1"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11"/>
      <c r="U744" s="111"/>
      <c r="V744" s="111"/>
      <c r="W744" s="111"/>
      <c r="X744" s="105"/>
    </row>
    <row r="745" spans="2:24" ht="15.75" customHeight="1"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11"/>
      <c r="U745" s="111"/>
      <c r="V745" s="111"/>
      <c r="W745" s="111"/>
      <c r="X745" s="105"/>
    </row>
    <row r="746" spans="2:24" ht="15.75" customHeight="1"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11"/>
      <c r="U746" s="111"/>
      <c r="V746" s="111"/>
      <c r="W746" s="111"/>
      <c r="X746" s="105"/>
    </row>
    <row r="747" spans="2:24" ht="15.75" customHeight="1"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11"/>
      <c r="U747" s="111"/>
      <c r="V747" s="111"/>
      <c r="W747" s="111"/>
      <c r="X747" s="105"/>
    </row>
    <row r="748" spans="2:24" ht="15.75" customHeight="1"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11"/>
      <c r="U748" s="111"/>
      <c r="V748" s="111"/>
      <c r="W748" s="111"/>
      <c r="X748" s="105"/>
    </row>
    <row r="749" spans="2:24" ht="15.75" customHeight="1"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11"/>
      <c r="U749" s="111"/>
      <c r="V749" s="111"/>
      <c r="W749" s="111"/>
      <c r="X749" s="105"/>
    </row>
    <row r="750" spans="2:24" ht="15.75" customHeight="1"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11"/>
      <c r="U750" s="111"/>
      <c r="V750" s="111"/>
      <c r="W750" s="111"/>
      <c r="X750" s="105"/>
    </row>
    <row r="751" spans="2:24" ht="15.75" customHeight="1"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11"/>
      <c r="U751" s="111"/>
      <c r="V751" s="111"/>
      <c r="W751" s="111"/>
      <c r="X751" s="105"/>
    </row>
    <row r="752" spans="2:24" ht="15.75" customHeight="1"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11"/>
      <c r="U752" s="111"/>
      <c r="V752" s="111"/>
      <c r="W752" s="111"/>
      <c r="X752" s="105"/>
    </row>
    <row r="753" spans="2:24" ht="15.75" customHeight="1"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11"/>
      <c r="U753" s="111"/>
      <c r="V753" s="111"/>
      <c r="W753" s="111"/>
      <c r="X753" s="105"/>
    </row>
    <row r="754" spans="2:24" ht="15.75" customHeight="1"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11"/>
      <c r="U754" s="111"/>
      <c r="V754" s="111"/>
      <c r="W754" s="111"/>
      <c r="X754" s="105"/>
    </row>
    <row r="755" spans="2:24" ht="15.75" customHeight="1"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11"/>
      <c r="U755" s="111"/>
      <c r="V755" s="111"/>
      <c r="W755" s="111"/>
      <c r="X755" s="105"/>
    </row>
    <row r="756" spans="2:24" ht="15.75" customHeight="1"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11"/>
      <c r="U756" s="111"/>
      <c r="V756" s="111"/>
      <c r="W756" s="111"/>
      <c r="X756" s="105"/>
    </row>
    <row r="757" spans="2:24" ht="15.75" customHeight="1"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11"/>
      <c r="U757" s="111"/>
      <c r="V757" s="111"/>
      <c r="W757" s="111"/>
      <c r="X757" s="105"/>
    </row>
    <row r="758" spans="2:24" ht="15.75" customHeight="1"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11"/>
      <c r="U758" s="111"/>
      <c r="V758" s="111"/>
      <c r="W758" s="111"/>
      <c r="X758" s="105"/>
    </row>
    <row r="759" spans="2:24" ht="15.75" customHeight="1"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11"/>
      <c r="U759" s="111"/>
      <c r="V759" s="111"/>
      <c r="W759" s="111"/>
      <c r="X759" s="105"/>
    </row>
    <row r="760" spans="2:24" ht="15.75" customHeight="1"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11"/>
      <c r="U760" s="111"/>
      <c r="V760" s="111"/>
      <c r="W760" s="111"/>
      <c r="X760" s="105"/>
    </row>
    <row r="761" spans="2:24" ht="15.75" customHeight="1"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11"/>
      <c r="U761" s="111"/>
      <c r="V761" s="111"/>
      <c r="W761" s="111"/>
      <c r="X761" s="105"/>
    </row>
    <row r="762" spans="2:24" ht="15.75" customHeight="1"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11"/>
      <c r="U762" s="111"/>
      <c r="V762" s="111"/>
      <c r="W762" s="111"/>
      <c r="X762" s="105"/>
    </row>
    <row r="763" spans="2:24" ht="15.75" customHeight="1"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11"/>
      <c r="U763" s="111"/>
      <c r="V763" s="111"/>
      <c r="W763" s="111"/>
      <c r="X763" s="105"/>
    </row>
    <row r="764" spans="2:24" ht="15.75" customHeight="1"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11"/>
      <c r="U764" s="111"/>
      <c r="V764" s="111"/>
      <c r="W764" s="111"/>
      <c r="X764" s="105"/>
    </row>
    <row r="765" spans="2:24" ht="15.75" customHeight="1"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11"/>
      <c r="U765" s="111"/>
      <c r="V765" s="111"/>
      <c r="W765" s="111"/>
      <c r="X765" s="105"/>
    </row>
    <row r="766" spans="2:24" ht="15.75" customHeight="1"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11"/>
      <c r="U766" s="111"/>
      <c r="V766" s="111"/>
      <c r="W766" s="111"/>
      <c r="X766" s="105"/>
    </row>
    <row r="767" spans="2:24" ht="15.75" customHeight="1"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11"/>
      <c r="U767" s="111"/>
      <c r="V767" s="111"/>
      <c r="W767" s="111"/>
      <c r="X767" s="105"/>
    </row>
    <row r="768" spans="2:24" ht="15.75" customHeight="1"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11"/>
      <c r="U768" s="111"/>
      <c r="V768" s="111"/>
      <c r="W768" s="111"/>
      <c r="X768" s="105"/>
    </row>
    <row r="769" spans="2:24" ht="15.75" customHeight="1"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11"/>
      <c r="U769" s="111"/>
      <c r="V769" s="111"/>
      <c r="W769" s="111"/>
      <c r="X769" s="105"/>
    </row>
    <row r="770" spans="2:24" ht="15.75" customHeight="1"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11"/>
      <c r="U770" s="111"/>
      <c r="V770" s="111"/>
      <c r="W770" s="111"/>
      <c r="X770" s="105"/>
    </row>
    <row r="771" spans="2:24" ht="15.75" customHeight="1"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11"/>
      <c r="U771" s="111"/>
      <c r="V771" s="111"/>
      <c r="W771" s="111"/>
      <c r="X771" s="105"/>
    </row>
    <row r="772" spans="2:24" ht="15.75" customHeight="1"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11"/>
      <c r="U772" s="111"/>
      <c r="V772" s="111"/>
      <c r="W772" s="111"/>
      <c r="X772" s="105"/>
    </row>
    <row r="773" spans="2:24" ht="15.75" customHeight="1"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11"/>
      <c r="U773" s="111"/>
      <c r="V773" s="111"/>
      <c r="W773" s="111"/>
      <c r="X773" s="105"/>
    </row>
    <row r="774" spans="2:24" ht="15.75" customHeight="1"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11"/>
      <c r="U774" s="111"/>
      <c r="V774" s="111"/>
      <c r="W774" s="111"/>
      <c r="X774" s="105"/>
    </row>
    <row r="775" spans="2:24" ht="15.75" customHeight="1"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11"/>
      <c r="U775" s="111"/>
      <c r="V775" s="111"/>
      <c r="W775" s="111"/>
      <c r="X775" s="105"/>
    </row>
    <row r="776" spans="2:24" ht="15.75" customHeight="1"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11"/>
      <c r="U776" s="111"/>
      <c r="V776" s="111"/>
      <c r="W776" s="111"/>
      <c r="X776" s="105"/>
    </row>
    <row r="777" spans="2:24" ht="15.75" customHeight="1"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11"/>
      <c r="U777" s="111"/>
      <c r="V777" s="111"/>
      <c r="W777" s="111"/>
      <c r="X777" s="105"/>
    </row>
    <row r="778" spans="2:24" ht="15.75" customHeight="1"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11"/>
      <c r="U778" s="111"/>
      <c r="V778" s="111"/>
      <c r="W778" s="111"/>
      <c r="X778" s="105"/>
    </row>
    <row r="779" spans="2:24" ht="15.75" customHeight="1"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11"/>
      <c r="U779" s="111"/>
      <c r="V779" s="111"/>
      <c r="W779" s="111"/>
      <c r="X779" s="105"/>
    </row>
    <row r="780" spans="2:24" ht="15.75" customHeight="1"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11"/>
      <c r="U780" s="111"/>
      <c r="V780" s="111"/>
      <c r="W780" s="111"/>
      <c r="X780" s="105"/>
    </row>
    <row r="781" spans="2:24" ht="15.75" customHeight="1"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11"/>
      <c r="U781" s="111"/>
      <c r="V781" s="111"/>
      <c r="W781" s="111"/>
      <c r="X781" s="105"/>
    </row>
    <row r="782" spans="2:24" ht="15.75" customHeight="1"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11"/>
      <c r="U782" s="111"/>
      <c r="V782" s="111"/>
      <c r="W782" s="111"/>
      <c r="X782" s="105"/>
    </row>
    <row r="783" spans="2:24" ht="15.75" customHeight="1"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11"/>
      <c r="U783" s="111"/>
      <c r="V783" s="111"/>
      <c r="W783" s="111"/>
      <c r="X783" s="105"/>
    </row>
    <row r="784" spans="2:24" ht="15.75" customHeight="1"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11"/>
      <c r="U784" s="111"/>
      <c r="V784" s="111"/>
      <c r="W784" s="111"/>
      <c r="X784" s="105"/>
    </row>
    <row r="785" spans="2:24" ht="15.75" customHeight="1"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11"/>
      <c r="U785" s="111"/>
      <c r="V785" s="111"/>
      <c r="W785" s="111"/>
      <c r="X785" s="105"/>
    </row>
    <row r="786" spans="2:24" ht="15.75" customHeight="1"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11"/>
      <c r="U786" s="111"/>
      <c r="V786" s="111"/>
      <c r="W786" s="111"/>
      <c r="X786" s="105"/>
    </row>
    <row r="787" spans="2:24" ht="15.75" customHeight="1"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11"/>
      <c r="U787" s="111"/>
      <c r="V787" s="111"/>
      <c r="W787" s="111"/>
      <c r="X787" s="105"/>
    </row>
    <row r="788" spans="2:24" ht="15.75" customHeight="1"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11"/>
      <c r="U788" s="111"/>
      <c r="V788" s="111"/>
      <c r="W788" s="111"/>
      <c r="X788" s="105"/>
    </row>
    <row r="789" spans="2:24" ht="15.75" customHeight="1"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11"/>
      <c r="U789" s="111"/>
      <c r="V789" s="111"/>
      <c r="W789" s="111"/>
      <c r="X789" s="105"/>
    </row>
    <row r="790" spans="2:24" ht="15.75" customHeight="1"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11"/>
      <c r="U790" s="111"/>
      <c r="V790" s="111"/>
      <c r="W790" s="111"/>
      <c r="X790" s="105"/>
    </row>
    <row r="791" spans="2:24" ht="15.75" customHeight="1"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11"/>
      <c r="U791" s="111"/>
      <c r="V791" s="111"/>
      <c r="W791" s="111"/>
      <c r="X791" s="105"/>
    </row>
    <row r="792" spans="2:24" ht="15.75" customHeight="1"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11"/>
      <c r="U792" s="111"/>
      <c r="V792" s="111"/>
      <c r="W792" s="111"/>
      <c r="X792" s="105"/>
    </row>
    <row r="793" spans="2:24" ht="15.75" customHeight="1"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11"/>
      <c r="U793" s="111"/>
      <c r="V793" s="111"/>
      <c r="W793" s="111"/>
      <c r="X793" s="105"/>
    </row>
    <row r="794" spans="2:24" ht="15.75" customHeight="1"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11"/>
      <c r="U794" s="111"/>
      <c r="V794" s="111"/>
      <c r="W794" s="111"/>
      <c r="X794" s="105"/>
    </row>
    <row r="795" spans="2:24" ht="15.75" customHeight="1"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11"/>
      <c r="U795" s="111"/>
      <c r="V795" s="111"/>
      <c r="W795" s="111"/>
      <c r="X795" s="105"/>
    </row>
    <row r="796" spans="2:24" ht="15.75" customHeight="1"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11"/>
      <c r="U796" s="111"/>
      <c r="V796" s="111"/>
      <c r="W796" s="111"/>
      <c r="X796" s="105"/>
    </row>
    <row r="797" spans="2:24" ht="15.75" customHeight="1"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11"/>
      <c r="U797" s="111"/>
      <c r="V797" s="111"/>
      <c r="W797" s="111"/>
      <c r="X797" s="105"/>
    </row>
    <row r="798" spans="2:24" ht="15.75" customHeight="1"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11"/>
      <c r="U798" s="111"/>
      <c r="V798" s="111"/>
      <c r="W798" s="111"/>
      <c r="X798" s="105"/>
    </row>
    <row r="799" spans="2:24" ht="15.75" customHeight="1"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11"/>
      <c r="U799" s="111"/>
      <c r="V799" s="111"/>
      <c r="W799" s="111"/>
      <c r="X799" s="105"/>
    </row>
    <row r="800" spans="2:24" ht="15.75" customHeight="1"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11"/>
      <c r="U800" s="111"/>
      <c r="V800" s="111"/>
      <c r="W800" s="111"/>
      <c r="X800" s="105"/>
    </row>
    <row r="801" spans="2:24" ht="15.75" customHeight="1"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11"/>
      <c r="U801" s="111"/>
      <c r="V801" s="111"/>
      <c r="W801" s="111"/>
      <c r="X801" s="105"/>
    </row>
    <row r="802" spans="2:24" ht="15.75" customHeight="1"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11"/>
      <c r="U802" s="111"/>
      <c r="V802" s="111"/>
      <c r="W802" s="111"/>
      <c r="X802" s="105"/>
    </row>
    <row r="803" spans="2:24" ht="15.75" customHeight="1"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11"/>
      <c r="U803" s="111"/>
      <c r="V803" s="111"/>
      <c r="W803" s="111"/>
      <c r="X803" s="105"/>
    </row>
    <row r="804" spans="2:24" ht="15.75" customHeight="1"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11"/>
      <c r="U804" s="111"/>
      <c r="V804" s="111"/>
      <c r="W804" s="111"/>
      <c r="X804" s="105"/>
    </row>
    <row r="805" spans="2:24" ht="15.75" customHeight="1"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11"/>
      <c r="U805" s="111"/>
      <c r="V805" s="111"/>
      <c r="W805" s="111"/>
      <c r="X805" s="105"/>
    </row>
    <row r="806" spans="2:24" ht="15.75" customHeight="1"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11"/>
      <c r="U806" s="111"/>
      <c r="V806" s="111"/>
      <c r="W806" s="111"/>
      <c r="X806" s="105"/>
    </row>
    <row r="807" spans="2:24" ht="15.75" customHeight="1"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11"/>
      <c r="U807" s="111"/>
      <c r="V807" s="111"/>
      <c r="W807" s="111"/>
      <c r="X807" s="105"/>
    </row>
    <row r="808" spans="2:24" ht="15.75" customHeight="1"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11"/>
      <c r="U808" s="111"/>
      <c r="V808" s="111"/>
      <c r="W808" s="111"/>
      <c r="X808" s="105"/>
    </row>
    <row r="809" spans="2:24" ht="15.75" customHeight="1"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11"/>
      <c r="U809" s="111"/>
      <c r="V809" s="111"/>
      <c r="W809" s="111"/>
      <c r="X809" s="105"/>
    </row>
    <row r="810" spans="2:24" ht="15.75" customHeight="1"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11"/>
      <c r="U810" s="111"/>
      <c r="V810" s="111"/>
      <c r="W810" s="111"/>
      <c r="X810" s="105"/>
    </row>
    <row r="811" spans="2:24" ht="15.75" customHeight="1"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11"/>
      <c r="U811" s="111"/>
      <c r="V811" s="111"/>
      <c r="W811" s="111"/>
      <c r="X811" s="105"/>
    </row>
    <row r="812" spans="2:24" ht="15.75" customHeight="1"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11"/>
      <c r="U812" s="111"/>
      <c r="V812" s="111"/>
      <c r="W812" s="111"/>
      <c r="X812" s="105"/>
    </row>
    <row r="813" spans="2:24" ht="15.75" customHeight="1"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11"/>
      <c r="U813" s="111"/>
      <c r="V813" s="111"/>
      <c r="W813" s="111"/>
      <c r="X813" s="105"/>
    </row>
    <row r="814" spans="2:24" ht="15.75" customHeight="1"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11"/>
      <c r="U814" s="111"/>
      <c r="V814" s="111"/>
      <c r="W814" s="111"/>
      <c r="X814" s="105"/>
    </row>
    <row r="815" spans="2:24" ht="15.75" customHeight="1"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11"/>
      <c r="U815" s="111"/>
      <c r="V815" s="111"/>
      <c r="W815" s="111"/>
      <c r="X815" s="105"/>
    </row>
    <row r="816" spans="2:24" ht="15.75" customHeight="1"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11"/>
      <c r="U816" s="111"/>
      <c r="V816" s="111"/>
      <c r="W816" s="111"/>
      <c r="X816" s="105"/>
    </row>
    <row r="817" spans="2:24" ht="15.75" customHeight="1"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11"/>
      <c r="U817" s="111"/>
      <c r="V817" s="111"/>
      <c r="W817" s="111"/>
      <c r="X817" s="105"/>
    </row>
    <row r="818" spans="2:24" ht="15.75" customHeight="1"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11"/>
      <c r="U818" s="111"/>
      <c r="V818" s="111"/>
      <c r="W818" s="111"/>
      <c r="X818" s="105"/>
    </row>
    <row r="819" spans="2:24" ht="15.75" customHeight="1"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11"/>
      <c r="U819" s="111"/>
      <c r="V819" s="111"/>
      <c r="W819" s="111"/>
      <c r="X819" s="105"/>
    </row>
    <row r="820" spans="2:24" ht="15.75" customHeight="1"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11"/>
      <c r="U820" s="111"/>
      <c r="V820" s="111"/>
      <c r="W820" s="111"/>
      <c r="X820" s="105"/>
    </row>
    <row r="821" spans="2:24" ht="15.75" customHeight="1"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11"/>
      <c r="U821" s="111"/>
      <c r="V821" s="111"/>
      <c r="W821" s="111"/>
      <c r="X821" s="105"/>
    </row>
    <row r="822" spans="2:24" ht="15.75" customHeight="1"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11"/>
      <c r="U822" s="111"/>
      <c r="V822" s="111"/>
      <c r="W822" s="111"/>
      <c r="X822" s="105"/>
    </row>
    <row r="823" spans="2:24" ht="15.75" customHeight="1"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11"/>
      <c r="U823" s="111"/>
      <c r="V823" s="111"/>
      <c r="W823" s="111"/>
      <c r="X823" s="105"/>
    </row>
    <row r="824" spans="2:24" ht="15.75" customHeight="1"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11"/>
      <c r="U824" s="111"/>
      <c r="V824" s="111"/>
      <c r="W824" s="111"/>
      <c r="X824" s="105"/>
    </row>
    <row r="825" spans="2:24" ht="15.75" customHeight="1"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11"/>
      <c r="U825" s="111"/>
      <c r="V825" s="111"/>
      <c r="W825" s="111"/>
      <c r="X825" s="105"/>
    </row>
    <row r="826" spans="2:24" ht="15.75" customHeight="1"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11"/>
      <c r="U826" s="111"/>
      <c r="V826" s="111"/>
      <c r="W826" s="111"/>
      <c r="X826" s="105"/>
    </row>
    <row r="827" spans="2:24" ht="15.75" customHeight="1"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11"/>
      <c r="U827" s="111"/>
      <c r="V827" s="111"/>
      <c r="W827" s="111"/>
      <c r="X827" s="105"/>
    </row>
    <row r="828" spans="2:24" ht="15.75" customHeight="1"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11"/>
      <c r="U828" s="111"/>
      <c r="V828" s="111"/>
      <c r="W828" s="111"/>
      <c r="X828" s="105"/>
    </row>
    <row r="829" spans="2:24" ht="15.75" customHeight="1"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11"/>
      <c r="U829" s="111"/>
      <c r="V829" s="111"/>
      <c r="W829" s="111"/>
      <c r="X829" s="105"/>
    </row>
    <row r="830" spans="2:24" ht="15.75" customHeight="1"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11"/>
      <c r="U830" s="111"/>
      <c r="V830" s="111"/>
      <c r="W830" s="111"/>
      <c r="X830" s="105"/>
    </row>
    <row r="831" spans="2:24" ht="15.75" customHeight="1"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11"/>
      <c r="U831" s="111"/>
      <c r="V831" s="111"/>
      <c r="W831" s="111"/>
      <c r="X831" s="105"/>
    </row>
    <row r="832" spans="2:24" ht="15.75" customHeight="1"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11"/>
      <c r="U832" s="111"/>
      <c r="V832" s="111"/>
      <c r="W832" s="111"/>
      <c r="X832" s="105"/>
    </row>
    <row r="833" spans="2:24" ht="15.75" customHeight="1"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11"/>
      <c r="U833" s="111"/>
      <c r="V833" s="111"/>
      <c r="W833" s="111"/>
      <c r="X833" s="105"/>
    </row>
    <row r="834" spans="2:24" ht="15.75" customHeight="1"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11"/>
      <c r="U834" s="111"/>
      <c r="V834" s="111"/>
      <c r="W834" s="111"/>
      <c r="X834" s="105"/>
    </row>
    <row r="835" spans="2:24" ht="15.75" customHeight="1"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11"/>
      <c r="U835" s="111"/>
      <c r="V835" s="111"/>
      <c r="W835" s="111"/>
      <c r="X835" s="105"/>
    </row>
    <row r="836" spans="2:24" ht="15.75" customHeight="1"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11"/>
      <c r="U836" s="111"/>
      <c r="V836" s="111"/>
      <c r="W836" s="111"/>
      <c r="X836" s="105"/>
    </row>
    <row r="837" spans="2:24" ht="15.75" customHeight="1"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11"/>
      <c r="U837" s="111"/>
      <c r="V837" s="111"/>
      <c r="W837" s="111"/>
      <c r="X837" s="105"/>
    </row>
    <row r="838" spans="2:24" ht="15.75" customHeight="1"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11"/>
      <c r="U838" s="111"/>
      <c r="V838" s="111"/>
      <c r="W838" s="111"/>
      <c r="X838" s="105"/>
    </row>
    <row r="839" spans="2:24" ht="15.75" customHeight="1"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11"/>
      <c r="U839" s="111"/>
      <c r="V839" s="111"/>
      <c r="W839" s="111"/>
      <c r="X839" s="105"/>
    </row>
    <row r="840" spans="2:24" ht="15.75" customHeight="1"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11"/>
      <c r="U840" s="111"/>
      <c r="V840" s="111"/>
      <c r="W840" s="111"/>
      <c r="X840" s="105"/>
    </row>
    <row r="841" spans="2:24" ht="15.75" customHeight="1"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11"/>
      <c r="U841" s="111"/>
      <c r="V841" s="111"/>
      <c r="W841" s="111"/>
      <c r="X841" s="105"/>
    </row>
    <row r="842" spans="2:24" ht="15.75" customHeight="1"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11"/>
      <c r="U842" s="111"/>
      <c r="V842" s="111"/>
      <c r="W842" s="111"/>
      <c r="X842" s="105"/>
    </row>
    <row r="843" spans="2:24" ht="15.75" customHeight="1"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11"/>
      <c r="U843" s="111"/>
      <c r="V843" s="111"/>
      <c r="W843" s="111"/>
      <c r="X843" s="105"/>
    </row>
    <row r="844" spans="2:24" ht="15.75" customHeight="1"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11"/>
      <c r="U844" s="111"/>
      <c r="V844" s="111"/>
      <c r="W844" s="111"/>
      <c r="X844" s="105"/>
    </row>
    <row r="845" spans="2:24" ht="15.75" customHeight="1"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11"/>
      <c r="U845" s="111"/>
      <c r="V845" s="111"/>
      <c r="W845" s="111"/>
      <c r="X845" s="105"/>
    </row>
    <row r="846" spans="2:24" ht="15.75" customHeight="1"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11"/>
      <c r="U846" s="111"/>
      <c r="V846" s="111"/>
      <c r="W846" s="111"/>
      <c r="X846" s="105"/>
    </row>
    <row r="847" spans="2:24" ht="15.75" customHeight="1"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11"/>
      <c r="U847" s="111"/>
      <c r="V847" s="111"/>
      <c r="W847" s="111"/>
      <c r="X847" s="105"/>
    </row>
    <row r="848" spans="2:24" ht="15.75" customHeight="1"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11"/>
      <c r="U848" s="111"/>
      <c r="V848" s="111"/>
      <c r="W848" s="111"/>
      <c r="X848" s="105"/>
    </row>
    <row r="849" spans="2:24" ht="15.75" customHeight="1"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11"/>
      <c r="U849" s="111"/>
      <c r="V849" s="111"/>
      <c r="W849" s="111"/>
      <c r="X849" s="105"/>
    </row>
    <row r="850" spans="2:24" ht="15.75" customHeight="1"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11"/>
      <c r="U850" s="111"/>
      <c r="V850" s="111"/>
      <c r="W850" s="111"/>
      <c r="X850" s="105"/>
    </row>
    <row r="851" spans="2:24" ht="15.75" customHeight="1"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11"/>
      <c r="U851" s="111"/>
      <c r="V851" s="111"/>
      <c r="W851" s="111"/>
      <c r="X851" s="105"/>
    </row>
    <row r="852" spans="2:24" ht="15.75" customHeight="1"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11"/>
      <c r="U852" s="111"/>
      <c r="V852" s="111"/>
      <c r="W852" s="111"/>
      <c r="X852" s="105"/>
    </row>
    <row r="853" spans="2:24" ht="15.75" customHeight="1"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11"/>
      <c r="U853" s="111"/>
      <c r="V853" s="111"/>
      <c r="W853" s="111"/>
      <c r="X853" s="105"/>
    </row>
    <row r="854" spans="2:24" ht="15.75" customHeight="1"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11"/>
      <c r="U854" s="111"/>
      <c r="V854" s="111"/>
      <c r="W854" s="111"/>
      <c r="X854" s="105"/>
    </row>
    <row r="855" spans="2:24" ht="15.75" customHeight="1"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11"/>
      <c r="U855" s="111"/>
      <c r="V855" s="111"/>
      <c r="W855" s="111"/>
      <c r="X855" s="105"/>
    </row>
    <row r="856" spans="2:24" ht="15.75" customHeight="1"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11"/>
      <c r="U856" s="111"/>
      <c r="V856" s="111"/>
      <c r="W856" s="111"/>
      <c r="X856" s="105"/>
    </row>
    <row r="857" spans="2:24" ht="15.75" customHeight="1"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11"/>
      <c r="U857" s="111"/>
      <c r="V857" s="111"/>
      <c r="W857" s="111"/>
      <c r="X857" s="105"/>
    </row>
    <row r="858" spans="2:24" ht="15.75" customHeight="1"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11"/>
      <c r="U858" s="111"/>
      <c r="V858" s="111"/>
      <c r="W858" s="111"/>
      <c r="X858" s="105"/>
    </row>
    <row r="859" spans="2:24" ht="15.75" customHeight="1"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11"/>
      <c r="U859" s="111"/>
      <c r="V859" s="111"/>
      <c r="W859" s="111"/>
      <c r="X859" s="105"/>
    </row>
    <row r="860" spans="2:24" ht="15.75" customHeight="1"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11"/>
      <c r="U860" s="111"/>
      <c r="V860" s="111"/>
      <c r="W860" s="111"/>
      <c r="X860" s="105"/>
    </row>
    <row r="861" spans="2:24" ht="15.75" customHeight="1"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11"/>
      <c r="U861" s="111"/>
      <c r="V861" s="111"/>
      <c r="W861" s="111"/>
      <c r="X861" s="105"/>
    </row>
    <row r="862" spans="2:24" ht="15.75" customHeight="1"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11"/>
      <c r="U862" s="111"/>
      <c r="V862" s="111"/>
      <c r="W862" s="111"/>
      <c r="X862" s="105"/>
    </row>
    <row r="863" spans="2:24" ht="15.75" customHeight="1"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11"/>
      <c r="U863" s="111"/>
      <c r="V863" s="111"/>
      <c r="W863" s="111"/>
      <c r="X863" s="105"/>
    </row>
    <row r="864" spans="2:24" ht="15.75" customHeight="1"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11"/>
      <c r="U864" s="111"/>
      <c r="V864" s="111"/>
      <c r="W864" s="111"/>
      <c r="X864" s="105"/>
    </row>
    <row r="865" spans="2:24" ht="15.75" customHeight="1"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11"/>
      <c r="U865" s="111"/>
      <c r="V865" s="111"/>
      <c r="W865" s="111"/>
      <c r="X865" s="105"/>
    </row>
    <row r="866" spans="2:24" ht="15.75" customHeight="1"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11"/>
      <c r="U866" s="111"/>
      <c r="V866" s="111"/>
      <c r="W866" s="111"/>
      <c r="X866" s="105"/>
    </row>
    <row r="867" spans="2:24" ht="15.75" customHeight="1"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11"/>
      <c r="U867" s="111"/>
      <c r="V867" s="111"/>
      <c r="W867" s="111"/>
      <c r="X867" s="105"/>
    </row>
    <row r="868" spans="2:24" ht="15.75" customHeight="1"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11"/>
      <c r="U868" s="111"/>
      <c r="V868" s="111"/>
      <c r="W868" s="111"/>
      <c r="X868" s="105"/>
    </row>
    <row r="869" spans="2:24" ht="15.75" customHeight="1"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11"/>
      <c r="U869" s="111"/>
      <c r="V869" s="111"/>
      <c r="W869" s="111"/>
      <c r="X869" s="105"/>
    </row>
    <row r="870" spans="2:24" ht="15.75" customHeight="1"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11"/>
      <c r="U870" s="111"/>
      <c r="V870" s="111"/>
      <c r="W870" s="111"/>
      <c r="X870" s="105"/>
    </row>
    <row r="871" spans="2:24" ht="15.75" customHeight="1"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11"/>
      <c r="U871" s="111"/>
      <c r="V871" s="111"/>
      <c r="W871" s="111"/>
      <c r="X871" s="105"/>
    </row>
    <row r="872" spans="2:24" ht="15.75" customHeight="1"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11"/>
      <c r="U872" s="111"/>
      <c r="V872" s="111"/>
      <c r="W872" s="111"/>
      <c r="X872" s="105"/>
    </row>
    <row r="873" spans="2:24" ht="15.75" customHeight="1"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11"/>
      <c r="U873" s="111"/>
      <c r="V873" s="111"/>
      <c r="W873" s="111"/>
      <c r="X873" s="105"/>
    </row>
    <row r="874" spans="2:24" ht="15.75" customHeight="1"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11"/>
      <c r="U874" s="111"/>
      <c r="V874" s="111"/>
      <c r="W874" s="111"/>
      <c r="X874" s="105"/>
    </row>
    <row r="875" spans="2:24" ht="15.75" customHeight="1"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11"/>
      <c r="U875" s="111"/>
      <c r="V875" s="111"/>
      <c r="W875" s="111"/>
      <c r="X875" s="105"/>
    </row>
    <row r="876" spans="2:24" ht="15.75" customHeight="1"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11"/>
      <c r="U876" s="111"/>
      <c r="V876" s="111"/>
      <c r="W876" s="111"/>
      <c r="X876" s="105"/>
    </row>
    <row r="877" spans="2:24" ht="15.75" customHeight="1"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11"/>
      <c r="U877" s="111"/>
      <c r="V877" s="111"/>
      <c r="W877" s="111"/>
      <c r="X877" s="105"/>
    </row>
    <row r="878" spans="2:24" ht="15.75" customHeight="1"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11"/>
      <c r="U878" s="111"/>
      <c r="V878" s="111"/>
      <c r="W878" s="111"/>
      <c r="X878" s="105"/>
    </row>
    <row r="879" spans="2:24" ht="15.75" customHeight="1"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11"/>
      <c r="U879" s="111"/>
      <c r="V879" s="111"/>
      <c r="W879" s="111"/>
      <c r="X879" s="105"/>
    </row>
    <row r="880" spans="2:24" ht="15.75" customHeight="1"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11"/>
      <c r="U880" s="111"/>
      <c r="V880" s="111"/>
      <c r="W880" s="111"/>
      <c r="X880" s="105"/>
    </row>
    <row r="881" spans="2:24" ht="15.75" customHeight="1"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11"/>
      <c r="U881" s="111"/>
      <c r="V881" s="111"/>
      <c r="W881" s="111"/>
      <c r="X881" s="105"/>
    </row>
    <row r="882" spans="2:24" ht="15.75" customHeight="1"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11"/>
      <c r="U882" s="111"/>
      <c r="V882" s="111"/>
      <c r="W882" s="111"/>
      <c r="X882" s="105"/>
    </row>
    <row r="883" spans="2:24" ht="15.75" customHeight="1"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11"/>
      <c r="U883" s="111"/>
      <c r="V883" s="111"/>
      <c r="W883" s="111"/>
      <c r="X883" s="105"/>
    </row>
    <row r="884" spans="2:24" ht="15.75" customHeight="1"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11"/>
      <c r="U884" s="111"/>
      <c r="V884" s="111"/>
      <c r="W884" s="111"/>
      <c r="X884" s="105"/>
    </row>
    <row r="885" spans="2:24" ht="15.75" customHeight="1"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11"/>
      <c r="U885" s="111"/>
      <c r="V885" s="111"/>
      <c r="W885" s="111"/>
      <c r="X885" s="105"/>
    </row>
    <row r="886" spans="2:24" ht="15.75" customHeight="1"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11"/>
      <c r="U886" s="111"/>
      <c r="V886" s="111"/>
      <c r="W886" s="111"/>
      <c r="X886" s="105"/>
    </row>
    <row r="887" spans="2:24" ht="15.75" customHeight="1"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11"/>
      <c r="U887" s="111"/>
      <c r="V887" s="111"/>
      <c r="W887" s="111"/>
      <c r="X887" s="105"/>
    </row>
    <row r="888" spans="2:24" ht="15.75" customHeight="1"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11"/>
      <c r="U888" s="111"/>
      <c r="V888" s="111"/>
      <c r="W888" s="111"/>
      <c r="X888" s="105"/>
    </row>
    <row r="889" spans="2:24" ht="15.75" customHeight="1"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11"/>
      <c r="U889" s="111"/>
      <c r="V889" s="111"/>
      <c r="W889" s="111"/>
      <c r="X889" s="105"/>
    </row>
    <row r="890" spans="2:24" ht="15.75" customHeight="1"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11"/>
      <c r="U890" s="111"/>
      <c r="V890" s="111"/>
      <c r="W890" s="111"/>
      <c r="X890" s="105"/>
    </row>
    <row r="891" spans="2:24" ht="15.75" customHeight="1"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11"/>
      <c r="U891" s="111"/>
      <c r="V891" s="111"/>
      <c r="W891" s="111"/>
      <c r="X891" s="105"/>
    </row>
    <row r="892" spans="2:24" ht="15.75" customHeight="1"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11"/>
      <c r="U892" s="111"/>
      <c r="V892" s="111"/>
      <c r="W892" s="111"/>
      <c r="X892" s="105"/>
    </row>
    <row r="893" spans="2:24" ht="15.75" customHeight="1"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11"/>
      <c r="U893" s="111"/>
      <c r="V893" s="111"/>
      <c r="W893" s="111"/>
      <c r="X893" s="105"/>
    </row>
    <row r="894" spans="2:24" ht="15.75" customHeight="1"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11"/>
      <c r="U894" s="111"/>
      <c r="V894" s="111"/>
      <c r="W894" s="111"/>
      <c r="X894" s="105"/>
    </row>
    <row r="895" spans="2:24" ht="15.75" customHeight="1"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11"/>
      <c r="U895" s="111"/>
      <c r="V895" s="111"/>
      <c r="W895" s="111"/>
      <c r="X895" s="105"/>
    </row>
    <row r="896" spans="2:24" ht="15.75" customHeight="1"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11"/>
      <c r="U896" s="111"/>
      <c r="V896" s="111"/>
      <c r="W896" s="111"/>
      <c r="X896" s="105"/>
    </row>
    <row r="897" spans="2:24" ht="15.75" customHeight="1"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11"/>
      <c r="U897" s="111"/>
      <c r="V897" s="111"/>
      <c r="W897" s="111"/>
      <c r="X897" s="105"/>
    </row>
    <row r="898" spans="2:24" ht="15.75" customHeight="1"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11"/>
      <c r="U898" s="111"/>
      <c r="V898" s="111"/>
      <c r="W898" s="111"/>
      <c r="X898" s="105"/>
    </row>
    <row r="899" spans="2:24" ht="15.75" customHeight="1"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11"/>
      <c r="U899" s="111"/>
      <c r="V899" s="111"/>
      <c r="W899" s="111"/>
      <c r="X899" s="105"/>
    </row>
    <row r="900" spans="2:24" ht="15.75" customHeight="1"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11"/>
      <c r="U900" s="111"/>
      <c r="V900" s="111"/>
      <c r="W900" s="111"/>
      <c r="X900" s="105"/>
    </row>
    <row r="901" spans="2:24" ht="15.75" customHeight="1"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11"/>
      <c r="U901" s="111"/>
      <c r="V901" s="111"/>
      <c r="W901" s="111"/>
      <c r="X901" s="105"/>
    </row>
    <row r="902" spans="2:24" ht="15.75" customHeight="1"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11"/>
      <c r="U902" s="111"/>
      <c r="V902" s="111"/>
      <c r="W902" s="111"/>
      <c r="X902" s="105"/>
    </row>
    <row r="903" spans="2:24" ht="15.75" customHeight="1"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11"/>
      <c r="U903" s="111"/>
      <c r="V903" s="111"/>
      <c r="W903" s="111"/>
      <c r="X903" s="105"/>
    </row>
    <row r="904" spans="2:24" ht="15.75" customHeight="1"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11"/>
      <c r="U904" s="111"/>
      <c r="V904" s="111"/>
      <c r="W904" s="111"/>
      <c r="X904" s="105"/>
    </row>
    <row r="905" spans="2:24" ht="15.75" customHeight="1"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11"/>
      <c r="U905" s="111"/>
      <c r="V905" s="111"/>
      <c r="W905" s="111"/>
      <c r="X905" s="105"/>
    </row>
    <row r="906" spans="2:24" ht="15.75" customHeight="1"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11"/>
      <c r="U906" s="111"/>
      <c r="V906" s="111"/>
      <c r="W906" s="111"/>
      <c r="X906" s="105"/>
    </row>
    <row r="907" spans="2:24" ht="15.75" customHeight="1"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11"/>
      <c r="U907" s="111"/>
      <c r="V907" s="111"/>
      <c r="W907" s="111"/>
      <c r="X907" s="105"/>
    </row>
    <row r="908" spans="2:24" ht="15.75" customHeight="1"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11"/>
      <c r="U908" s="111"/>
      <c r="V908" s="111"/>
      <c r="W908" s="111"/>
      <c r="X908" s="105"/>
    </row>
    <row r="909" spans="2:24" ht="15.75" customHeight="1"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11"/>
      <c r="U909" s="111"/>
      <c r="V909" s="111"/>
      <c r="W909" s="111"/>
      <c r="X909" s="105"/>
    </row>
    <row r="910" spans="2:24" ht="15.75" customHeight="1"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11"/>
      <c r="U910" s="111"/>
      <c r="V910" s="111"/>
      <c r="W910" s="111"/>
      <c r="X910" s="105"/>
    </row>
    <row r="911" spans="2:24" ht="15.75" customHeight="1"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11"/>
      <c r="U911" s="111"/>
      <c r="V911" s="111"/>
      <c r="W911" s="111"/>
      <c r="X911" s="105"/>
    </row>
    <row r="912" spans="2:24" ht="15.75" customHeight="1"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11"/>
      <c r="U912" s="111"/>
      <c r="V912" s="111"/>
      <c r="W912" s="111"/>
      <c r="X912" s="105"/>
    </row>
    <row r="913" spans="2:24" ht="15.75" customHeight="1"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11"/>
      <c r="U913" s="111"/>
      <c r="V913" s="111"/>
      <c r="W913" s="111"/>
      <c r="X913" s="105"/>
    </row>
    <row r="914" spans="2:24" ht="15.75" customHeight="1"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11"/>
      <c r="U914" s="111"/>
      <c r="V914" s="111"/>
      <c r="W914" s="111"/>
      <c r="X914" s="105"/>
    </row>
    <row r="915" spans="2:24" ht="15.75" customHeight="1"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11"/>
      <c r="U915" s="111"/>
      <c r="V915" s="111"/>
      <c r="W915" s="111"/>
      <c r="X915" s="105"/>
    </row>
    <row r="916" spans="2:24" ht="15.75" customHeight="1"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11"/>
      <c r="U916" s="111"/>
      <c r="V916" s="111"/>
      <c r="W916" s="111"/>
      <c r="X916" s="105"/>
    </row>
    <row r="917" spans="2:24" ht="15.75" customHeight="1"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11"/>
      <c r="U917" s="111"/>
      <c r="V917" s="111"/>
      <c r="W917" s="111"/>
      <c r="X917" s="105"/>
    </row>
    <row r="918" spans="2:24" ht="15.75" customHeight="1"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11"/>
      <c r="U918" s="111"/>
      <c r="V918" s="111"/>
      <c r="W918" s="111"/>
      <c r="X918" s="105"/>
    </row>
    <row r="919" spans="2:24" ht="15.75" customHeight="1"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11"/>
      <c r="U919" s="111"/>
      <c r="V919" s="111"/>
      <c r="W919" s="111"/>
      <c r="X919" s="105"/>
    </row>
    <row r="920" spans="2:24" ht="15.75" customHeight="1"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11"/>
      <c r="U920" s="111"/>
      <c r="V920" s="111"/>
      <c r="W920" s="111"/>
      <c r="X920" s="105"/>
    </row>
    <row r="921" spans="2:24" ht="15.75" customHeight="1"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11"/>
      <c r="U921" s="111"/>
      <c r="V921" s="111"/>
      <c r="W921" s="111"/>
      <c r="X921" s="105"/>
    </row>
    <row r="922" spans="2:24" ht="15.75" customHeight="1"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11"/>
      <c r="U922" s="111"/>
      <c r="V922" s="111"/>
      <c r="W922" s="111"/>
      <c r="X922" s="105"/>
    </row>
    <row r="923" spans="2:24" ht="15.75" customHeight="1"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11"/>
      <c r="U923" s="111"/>
      <c r="V923" s="111"/>
      <c r="W923" s="111"/>
      <c r="X923" s="105"/>
    </row>
    <row r="924" spans="2:24" ht="15.75" customHeight="1"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11"/>
      <c r="U924" s="111"/>
      <c r="V924" s="111"/>
      <c r="W924" s="111"/>
      <c r="X924" s="105"/>
    </row>
    <row r="925" spans="2:24" ht="15.75" customHeight="1"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11"/>
      <c r="U925" s="111"/>
      <c r="V925" s="111"/>
      <c r="W925" s="111"/>
      <c r="X925" s="105"/>
    </row>
    <row r="926" spans="2:24" ht="15.75" customHeight="1"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11"/>
      <c r="U926" s="111"/>
      <c r="V926" s="111"/>
      <c r="W926" s="111"/>
      <c r="X926" s="105"/>
    </row>
    <row r="927" spans="2:24" ht="15.75" customHeight="1"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11"/>
      <c r="U927" s="111"/>
      <c r="V927" s="111"/>
      <c r="W927" s="111"/>
      <c r="X927" s="105"/>
    </row>
    <row r="928" spans="2:24" ht="15.75" customHeight="1"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11"/>
      <c r="U928" s="111"/>
      <c r="V928" s="111"/>
      <c r="W928" s="111"/>
      <c r="X928" s="105"/>
    </row>
    <row r="929" spans="2:24" ht="15.75" customHeight="1"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11"/>
      <c r="U929" s="111"/>
      <c r="V929" s="111"/>
      <c r="W929" s="111"/>
      <c r="X929" s="105"/>
    </row>
    <row r="930" spans="2:24" ht="15.75" customHeight="1"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11"/>
      <c r="U930" s="111"/>
      <c r="V930" s="111"/>
      <c r="W930" s="111"/>
      <c r="X930" s="105"/>
    </row>
    <row r="931" spans="2:24" ht="15.75" customHeight="1"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11"/>
      <c r="U931" s="111"/>
      <c r="V931" s="111"/>
      <c r="W931" s="111"/>
      <c r="X931" s="105"/>
    </row>
    <row r="932" spans="2:24" ht="15.75" customHeight="1"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11"/>
      <c r="U932" s="111"/>
      <c r="V932" s="111"/>
      <c r="W932" s="111"/>
      <c r="X932" s="105"/>
    </row>
    <row r="933" spans="2:24" ht="15.75" customHeight="1"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11"/>
      <c r="U933" s="111"/>
      <c r="V933" s="111"/>
      <c r="W933" s="111"/>
      <c r="X933" s="105"/>
    </row>
    <row r="934" spans="2:24" ht="15.75" customHeight="1"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11"/>
      <c r="U934" s="111"/>
      <c r="V934" s="111"/>
      <c r="W934" s="111"/>
      <c r="X934" s="105"/>
    </row>
    <row r="935" spans="2:24" ht="15.75" customHeight="1"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11"/>
      <c r="U935" s="111"/>
      <c r="V935" s="111"/>
      <c r="W935" s="111"/>
      <c r="X935" s="105"/>
    </row>
    <row r="936" spans="2:24" ht="15.75" customHeight="1"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11"/>
      <c r="U936" s="111"/>
      <c r="V936" s="111"/>
      <c r="W936" s="111"/>
      <c r="X936" s="105"/>
    </row>
    <row r="937" spans="2:24" ht="15.75" customHeight="1"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11"/>
      <c r="U937" s="111"/>
      <c r="V937" s="111"/>
      <c r="W937" s="111"/>
      <c r="X937" s="105"/>
    </row>
    <row r="938" spans="2:24" ht="15.75" customHeight="1"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11"/>
      <c r="U938" s="111"/>
      <c r="V938" s="111"/>
      <c r="W938" s="111"/>
      <c r="X938" s="105"/>
    </row>
    <row r="939" spans="2:24" ht="15.75" customHeight="1"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11"/>
      <c r="U939" s="111"/>
      <c r="V939" s="111"/>
      <c r="W939" s="111"/>
      <c r="X939" s="105"/>
    </row>
    <row r="940" spans="2:24" ht="15.75" customHeight="1"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11"/>
      <c r="U940" s="111"/>
      <c r="V940" s="111"/>
      <c r="W940" s="111"/>
      <c r="X940" s="105"/>
    </row>
    <row r="941" spans="2:24" ht="15.75" customHeight="1"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11"/>
      <c r="U941" s="111"/>
      <c r="V941" s="111"/>
      <c r="W941" s="111"/>
      <c r="X941" s="105"/>
    </row>
    <row r="942" spans="2:24" ht="15.75" customHeight="1"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11"/>
      <c r="U942" s="111"/>
      <c r="V942" s="111"/>
      <c r="W942" s="111"/>
      <c r="X942" s="105"/>
    </row>
    <row r="943" spans="2:24" ht="15.75" customHeight="1"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11"/>
      <c r="U943" s="111"/>
      <c r="V943" s="111"/>
      <c r="W943" s="111"/>
      <c r="X943" s="105"/>
    </row>
    <row r="944" spans="2:24" ht="15.75" customHeight="1"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11"/>
      <c r="U944" s="111"/>
      <c r="V944" s="111"/>
      <c r="W944" s="111"/>
      <c r="X944" s="105"/>
    </row>
    <row r="945" spans="2:24" ht="15.75" customHeight="1"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11"/>
      <c r="U945" s="111"/>
      <c r="V945" s="111"/>
      <c r="W945" s="111"/>
      <c r="X945" s="105"/>
    </row>
    <row r="946" spans="2:24" ht="15.75" customHeight="1"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11"/>
      <c r="U946" s="111"/>
      <c r="V946" s="111"/>
      <c r="W946" s="111"/>
      <c r="X946" s="105"/>
    </row>
    <row r="947" spans="2:24" ht="15.75" customHeight="1"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11"/>
      <c r="U947" s="111"/>
      <c r="V947" s="111"/>
      <c r="W947" s="111"/>
      <c r="X947" s="105"/>
    </row>
    <row r="948" spans="2:24" ht="15.75" customHeight="1"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11"/>
      <c r="U948" s="111"/>
      <c r="V948" s="111"/>
      <c r="W948" s="111"/>
      <c r="X948" s="105"/>
    </row>
    <row r="949" spans="2:24" ht="15.75" customHeight="1"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11"/>
      <c r="U949" s="111"/>
      <c r="V949" s="111"/>
      <c r="W949" s="111"/>
      <c r="X949" s="105"/>
    </row>
    <row r="950" spans="2:24" ht="15.75" customHeight="1"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11"/>
      <c r="U950" s="111"/>
      <c r="V950" s="111"/>
      <c r="W950" s="111"/>
      <c r="X950" s="105"/>
    </row>
    <row r="951" spans="2:24" ht="15.75" customHeight="1"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11"/>
      <c r="U951" s="111"/>
      <c r="V951" s="111"/>
      <c r="W951" s="111"/>
      <c r="X951" s="105"/>
    </row>
    <row r="952" spans="2:24" ht="15.75" customHeight="1"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11"/>
      <c r="U952" s="111"/>
      <c r="V952" s="111"/>
      <c r="W952" s="111"/>
      <c r="X952" s="105"/>
    </row>
    <row r="953" spans="2:24" ht="15.75" customHeight="1"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11"/>
      <c r="U953" s="111"/>
      <c r="V953" s="111"/>
      <c r="W953" s="111"/>
      <c r="X953" s="105"/>
    </row>
    <row r="954" spans="2:24" ht="15.75" customHeight="1"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11"/>
      <c r="U954" s="111"/>
      <c r="V954" s="111"/>
      <c r="W954" s="111"/>
      <c r="X954" s="105"/>
    </row>
    <row r="955" spans="2:24" ht="15.75" customHeight="1"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11"/>
      <c r="U955" s="111"/>
      <c r="V955" s="111"/>
      <c r="W955" s="111"/>
      <c r="X955" s="105"/>
    </row>
    <row r="956" spans="2:24" ht="15.75" customHeight="1"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11"/>
      <c r="U956" s="111"/>
      <c r="V956" s="111"/>
      <c r="W956" s="111"/>
      <c r="X956" s="105"/>
    </row>
    <row r="957" spans="2:24" ht="15.75" customHeight="1"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11"/>
      <c r="U957" s="111"/>
      <c r="V957" s="111"/>
      <c r="W957" s="111"/>
      <c r="X957" s="105"/>
    </row>
    <row r="958" spans="2:24" ht="15.75" customHeight="1"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11"/>
      <c r="U958" s="111"/>
      <c r="V958" s="111"/>
      <c r="W958" s="111"/>
      <c r="X958" s="105"/>
    </row>
    <row r="959" spans="2:24" ht="15.75" customHeight="1"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11"/>
      <c r="U959" s="111"/>
      <c r="V959" s="111"/>
      <c r="W959" s="111"/>
      <c r="X959" s="105"/>
    </row>
    <row r="960" spans="2:24" ht="15.75" customHeight="1"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11"/>
      <c r="U960" s="111"/>
      <c r="V960" s="111"/>
      <c r="W960" s="111"/>
      <c r="X960" s="105"/>
    </row>
    <row r="961" spans="2:24" ht="15.75" customHeight="1"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11"/>
      <c r="U961" s="111"/>
      <c r="V961" s="111"/>
      <c r="W961" s="111"/>
      <c r="X961" s="105"/>
    </row>
    <row r="962" spans="2:24" ht="15.75" customHeight="1"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11"/>
      <c r="U962" s="111"/>
      <c r="V962" s="111"/>
      <c r="W962" s="111"/>
      <c r="X962" s="105"/>
    </row>
    <row r="963" spans="2:24" ht="15.75" customHeight="1"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11"/>
      <c r="U963" s="111"/>
      <c r="V963" s="111"/>
      <c r="W963" s="111"/>
      <c r="X963" s="105"/>
    </row>
    <row r="964" spans="2:24" ht="15.75" customHeight="1"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11"/>
      <c r="U964" s="111"/>
      <c r="V964" s="111"/>
      <c r="W964" s="111"/>
      <c r="X964" s="105"/>
    </row>
    <row r="965" spans="2:24" ht="15.75" customHeight="1"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11"/>
      <c r="U965" s="111"/>
      <c r="V965" s="111"/>
      <c r="W965" s="111"/>
      <c r="X965" s="105"/>
    </row>
    <row r="966" spans="2:24" ht="15.75" customHeight="1"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11"/>
      <c r="U966" s="111"/>
      <c r="V966" s="111"/>
      <c r="W966" s="111"/>
      <c r="X966" s="105"/>
    </row>
    <row r="967" spans="2:24" ht="15.75" customHeight="1"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11"/>
      <c r="U967" s="111"/>
      <c r="V967" s="111"/>
      <c r="W967" s="111"/>
      <c r="X967" s="105"/>
    </row>
    <row r="968" spans="2:24" ht="15.75" customHeight="1"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11"/>
      <c r="U968" s="111"/>
      <c r="V968" s="111"/>
      <c r="W968" s="111"/>
      <c r="X968" s="105"/>
    </row>
    <row r="969" spans="2:24" ht="15.75" customHeight="1"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11"/>
      <c r="U969" s="111"/>
      <c r="V969" s="111"/>
      <c r="W969" s="111"/>
      <c r="X969" s="105"/>
    </row>
    <row r="970" spans="2:24" ht="15.75" customHeight="1"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11"/>
      <c r="U970" s="111"/>
      <c r="V970" s="111"/>
      <c r="W970" s="111"/>
      <c r="X970" s="105"/>
    </row>
    <row r="971" spans="2:24" ht="15.75" customHeight="1"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11"/>
      <c r="U971" s="111"/>
      <c r="V971" s="111"/>
      <c r="W971" s="111"/>
      <c r="X971" s="105"/>
    </row>
    <row r="972" spans="2:24" ht="15.75" customHeight="1"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11"/>
      <c r="U972" s="111"/>
      <c r="V972" s="111"/>
      <c r="W972" s="111"/>
      <c r="X972" s="105"/>
    </row>
    <row r="973" spans="2:24" ht="15.75" customHeight="1"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11"/>
      <c r="U973" s="111"/>
      <c r="V973" s="111"/>
      <c r="W973" s="111"/>
      <c r="X973" s="105"/>
    </row>
    <row r="974" spans="2:24" ht="15.75" customHeight="1"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11"/>
      <c r="U974" s="111"/>
      <c r="V974" s="111"/>
      <c r="W974" s="111"/>
      <c r="X974" s="105"/>
    </row>
    <row r="975" spans="2:24" ht="15.75" customHeight="1"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11"/>
      <c r="U975" s="111"/>
      <c r="V975" s="111"/>
      <c r="W975" s="111"/>
      <c r="X975" s="105"/>
    </row>
    <row r="976" spans="2:24" ht="15.75" customHeight="1"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11"/>
      <c r="U976" s="111"/>
      <c r="V976" s="111"/>
      <c r="W976" s="111"/>
      <c r="X976" s="105"/>
    </row>
    <row r="977" spans="2:24" ht="15.75" customHeight="1"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11"/>
      <c r="U977" s="111"/>
      <c r="V977" s="111"/>
      <c r="W977" s="111"/>
      <c r="X977" s="105"/>
    </row>
    <row r="978" spans="2:24" ht="15.75" customHeight="1"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11"/>
      <c r="U978" s="111"/>
      <c r="V978" s="111"/>
      <c r="W978" s="111"/>
      <c r="X978" s="105"/>
    </row>
    <row r="979" spans="2:24" ht="15.75" customHeight="1"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11"/>
      <c r="U979" s="111"/>
      <c r="V979" s="111"/>
      <c r="W979" s="111"/>
      <c r="X979" s="105"/>
    </row>
    <row r="980" spans="2:24" ht="15.75" customHeight="1"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11"/>
      <c r="U980" s="111"/>
      <c r="V980" s="111"/>
      <c r="W980" s="111"/>
      <c r="X980" s="105"/>
    </row>
    <row r="981" spans="2:24" ht="15.75" customHeight="1"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11"/>
      <c r="U981" s="111"/>
      <c r="V981" s="111"/>
      <c r="W981" s="111"/>
      <c r="X981" s="105"/>
    </row>
    <row r="982" spans="2:24" ht="15.75" customHeight="1"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11"/>
      <c r="U982" s="111"/>
      <c r="V982" s="111"/>
      <c r="W982" s="111"/>
      <c r="X982" s="105"/>
    </row>
    <row r="983" spans="2:24" ht="15.75" customHeight="1"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11"/>
      <c r="U983" s="111"/>
      <c r="V983" s="111"/>
      <c r="W983" s="111"/>
      <c r="X983" s="105"/>
    </row>
    <row r="984" spans="2:24" ht="15.75" customHeight="1"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11"/>
      <c r="U984" s="111"/>
      <c r="V984" s="111"/>
      <c r="W984" s="111"/>
      <c r="X984" s="105"/>
    </row>
    <row r="985" spans="2:24" ht="15.75" customHeight="1"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11"/>
      <c r="U985" s="111"/>
      <c r="V985" s="111"/>
      <c r="W985" s="111"/>
      <c r="X985" s="105"/>
    </row>
    <row r="986" spans="2:24" ht="15.75" customHeight="1"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11"/>
      <c r="U986" s="111"/>
      <c r="V986" s="111"/>
      <c r="W986" s="111"/>
      <c r="X986" s="105"/>
    </row>
    <row r="987" spans="2:24" ht="15.75" customHeight="1"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11"/>
      <c r="U987" s="111"/>
      <c r="V987" s="111"/>
      <c r="W987" s="111"/>
      <c r="X987" s="105"/>
    </row>
    <row r="988" spans="2:24" ht="15.75" customHeight="1"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11"/>
      <c r="U988" s="111"/>
      <c r="V988" s="111"/>
      <c r="W988" s="111"/>
      <c r="X988" s="105"/>
    </row>
    <row r="989" spans="2:24" ht="15.75" customHeight="1"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11"/>
      <c r="U989" s="111"/>
      <c r="V989" s="111"/>
      <c r="W989" s="111"/>
      <c r="X989" s="105"/>
    </row>
    <row r="990" spans="2:24" ht="15.75" customHeight="1"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11"/>
      <c r="U990" s="111"/>
      <c r="V990" s="111"/>
      <c r="W990" s="111"/>
      <c r="X990" s="105"/>
    </row>
    <row r="991" spans="2:24" ht="15.75" customHeight="1"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11"/>
      <c r="U991" s="111"/>
      <c r="V991" s="111"/>
      <c r="W991" s="111"/>
      <c r="X991" s="105"/>
    </row>
    <row r="992" spans="2:24" ht="15.75" customHeight="1"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11"/>
      <c r="U992" s="111"/>
      <c r="V992" s="111"/>
      <c r="W992" s="111"/>
      <c r="X992" s="105"/>
    </row>
    <row r="993" spans="2:24" ht="15.75" customHeight="1"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11"/>
      <c r="U993" s="111"/>
      <c r="V993" s="111"/>
      <c r="W993" s="111"/>
      <c r="X993" s="105"/>
    </row>
    <row r="994" spans="2:24" ht="15.75" customHeight="1"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11"/>
      <c r="U994" s="111"/>
      <c r="V994" s="111"/>
      <c r="W994" s="111"/>
      <c r="X994" s="105"/>
    </row>
    <row r="995" spans="2:24" ht="15.75" customHeight="1"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11"/>
      <c r="U995" s="111"/>
      <c r="V995" s="111"/>
      <c r="W995" s="111"/>
      <c r="X995" s="105"/>
    </row>
    <row r="996" spans="2:24" ht="15.75" customHeight="1"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11"/>
      <c r="U996" s="111"/>
      <c r="V996" s="111"/>
      <c r="W996" s="111"/>
      <c r="X996" s="105"/>
    </row>
    <row r="997" spans="2:24" ht="15.75" customHeight="1"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11"/>
      <c r="U997" s="111"/>
      <c r="V997" s="111"/>
      <c r="W997" s="111"/>
      <c r="X997" s="105"/>
    </row>
    <row r="998" spans="2:24" ht="15.75" customHeight="1"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11"/>
      <c r="U998" s="111"/>
      <c r="V998" s="111"/>
      <c r="W998" s="111"/>
      <c r="X998" s="105"/>
    </row>
    <row r="999" spans="2:24" ht="15.75" customHeight="1"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11"/>
      <c r="U999" s="111"/>
      <c r="V999" s="111"/>
      <c r="W999" s="111"/>
      <c r="X999" s="105"/>
    </row>
    <row r="1000" spans="2:24" ht="15.75" customHeight="1"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11"/>
      <c r="U1000" s="111"/>
      <c r="V1000" s="111"/>
      <c r="W1000" s="111"/>
      <c r="X1000" s="105"/>
    </row>
  </sheetData>
  <pageMargins left="0.7" right="0.7" top="0.75" bottom="0.75" header="0" footer="0"/>
  <pageSetup orientation="portrait"/>
  <colBreaks count="1" manualBreakCount="1">
    <brk id="22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T1000"/>
  <sheetViews>
    <sheetView workbookViewId="0"/>
  </sheetViews>
  <sheetFormatPr baseColWidth="10" defaultColWidth="14.5" defaultRowHeight="15" customHeight="1"/>
  <cols>
    <col min="2" max="2" width="17.5" customWidth="1"/>
    <col min="3" max="3" width="16.83203125" customWidth="1"/>
    <col min="5" max="5" width="19.33203125" customWidth="1"/>
    <col min="6" max="6" width="18.5" customWidth="1"/>
    <col min="7" max="7" width="27.33203125" customWidth="1"/>
    <col min="9" max="20" width="18" customWidth="1"/>
  </cols>
  <sheetData>
    <row r="1" spans="2:20">
      <c r="H1" s="226"/>
      <c r="L1" s="226"/>
    </row>
    <row r="2" spans="2:20">
      <c r="H2" s="226"/>
      <c r="L2" s="226"/>
    </row>
    <row r="3" spans="2:20" ht="24">
      <c r="B3" s="315" t="s">
        <v>1086</v>
      </c>
      <c r="C3" s="316"/>
      <c r="D3" s="316"/>
      <c r="E3" s="316"/>
      <c r="F3" s="316"/>
      <c r="G3" s="316"/>
      <c r="H3" s="317"/>
      <c r="I3" s="318" t="s">
        <v>1087</v>
      </c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7"/>
    </row>
    <row r="4" spans="2:20">
      <c r="B4" s="227"/>
      <c r="H4" s="228"/>
      <c r="I4" s="229">
        <v>45658</v>
      </c>
      <c r="J4" s="230">
        <v>45659</v>
      </c>
      <c r="K4" s="230">
        <v>45660</v>
      </c>
      <c r="L4" s="230">
        <v>45661</v>
      </c>
      <c r="M4" s="230">
        <v>45662</v>
      </c>
      <c r="N4" s="230">
        <v>45663</v>
      </c>
      <c r="O4" s="230">
        <v>45664</v>
      </c>
      <c r="P4" s="230">
        <v>45665</v>
      </c>
      <c r="Q4" s="230">
        <v>45666</v>
      </c>
      <c r="R4" s="230">
        <v>45667</v>
      </c>
      <c r="S4" s="230">
        <v>45668</v>
      </c>
      <c r="T4" s="231">
        <v>45669</v>
      </c>
    </row>
    <row r="5" spans="2:20">
      <c r="B5" s="232" t="s">
        <v>1088</v>
      </c>
      <c r="C5" s="233" t="s">
        <v>1089</v>
      </c>
      <c r="D5" s="233" t="s">
        <v>1090</v>
      </c>
      <c r="E5" s="233" t="s">
        <v>1091</v>
      </c>
      <c r="F5" s="233" t="s">
        <v>1092</v>
      </c>
      <c r="G5" s="233" t="s">
        <v>1093</v>
      </c>
      <c r="H5" s="234" t="s">
        <v>1094</v>
      </c>
      <c r="I5" s="227"/>
      <c r="J5" s="226"/>
      <c r="K5" s="226"/>
      <c r="L5" s="226"/>
      <c r="M5" s="226"/>
      <c r="N5" s="226"/>
      <c r="O5" s="226"/>
      <c r="P5" s="226"/>
      <c r="T5" s="235"/>
    </row>
    <row r="6" spans="2:20" ht="33" customHeight="1">
      <c r="B6" s="236"/>
      <c r="C6" s="237"/>
      <c r="D6" s="237"/>
      <c r="E6" s="237"/>
      <c r="F6" s="237"/>
      <c r="G6" s="237"/>
      <c r="H6" s="238">
        <f>285000/1.18</f>
        <v>241525.42372881356</v>
      </c>
      <c r="I6" s="239">
        <v>241525.42372881356</v>
      </c>
      <c r="J6" s="237"/>
      <c r="K6" s="237"/>
      <c r="L6" s="240"/>
      <c r="M6" s="237"/>
      <c r="N6" s="237"/>
      <c r="O6" s="237"/>
      <c r="P6" s="237"/>
      <c r="Q6" s="237"/>
      <c r="R6" s="237"/>
      <c r="S6" s="237"/>
      <c r="T6" s="241"/>
    </row>
    <row r="7" spans="2:20">
      <c r="B7" s="242">
        <v>45293</v>
      </c>
      <c r="C7" s="226" t="s">
        <v>1095</v>
      </c>
      <c r="D7" s="226" t="s">
        <v>1096</v>
      </c>
      <c r="E7" s="243">
        <v>2.54</v>
      </c>
      <c r="F7" s="226">
        <v>393</v>
      </c>
      <c r="G7" s="226">
        <v>169</v>
      </c>
      <c r="H7" s="244">
        <f t="shared" ref="H7:H12" si="0">Ton/F7</f>
        <v>614.56850821581054</v>
      </c>
      <c r="I7" s="245">
        <v>614.56850821581054</v>
      </c>
      <c r="J7" s="226"/>
      <c r="K7" s="226"/>
      <c r="L7" s="226"/>
      <c r="M7" s="226"/>
      <c r="N7" s="226"/>
      <c r="O7" s="226"/>
      <c r="P7" s="243"/>
      <c r="T7" s="235"/>
    </row>
    <row r="8" spans="2:20">
      <c r="B8" s="246"/>
      <c r="C8" s="226" t="s">
        <v>1097</v>
      </c>
      <c r="D8" s="226" t="s">
        <v>1096</v>
      </c>
      <c r="E8" s="243">
        <v>2.82</v>
      </c>
      <c r="F8" s="226">
        <v>354</v>
      </c>
      <c r="G8" s="226">
        <v>169</v>
      </c>
      <c r="H8" s="244">
        <f t="shared" si="0"/>
        <v>682.27520827348462</v>
      </c>
      <c r="I8" s="245">
        <v>682.27520827348462</v>
      </c>
      <c r="J8" s="226"/>
      <c r="K8" s="226"/>
      <c r="L8" s="226"/>
      <c r="M8" s="226"/>
      <c r="N8" s="226"/>
      <c r="O8" s="226"/>
      <c r="P8" s="243"/>
      <c r="T8" s="235"/>
    </row>
    <row r="9" spans="2:20">
      <c r="B9" s="246"/>
      <c r="C9" s="226" t="s">
        <v>1098</v>
      </c>
      <c r="D9" s="226" t="s">
        <v>1096</v>
      </c>
      <c r="E9" s="243">
        <v>2.85</v>
      </c>
      <c r="F9" s="226">
        <v>350</v>
      </c>
      <c r="G9" s="226">
        <v>169</v>
      </c>
      <c r="H9" s="244">
        <f t="shared" si="0"/>
        <v>690.07263922518166</v>
      </c>
      <c r="I9" s="245">
        <v>690.07263922518166</v>
      </c>
      <c r="J9" s="226"/>
      <c r="K9" s="226"/>
      <c r="L9" s="226"/>
      <c r="M9" s="226"/>
      <c r="N9" s="226"/>
      <c r="O9" s="226"/>
      <c r="P9" s="243"/>
      <c r="T9" s="235"/>
    </row>
    <row r="10" spans="2:20">
      <c r="B10" s="246"/>
      <c r="C10" s="226" t="s">
        <v>1099</v>
      </c>
      <c r="D10" s="226" t="s">
        <v>1096</v>
      </c>
      <c r="E10" s="243">
        <v>3.33</v>
      </c>
      <c r="F10" s="226">
        <v>299</v>
      </c>
      <c r="G10" s="226">
        <v>169</v>
      </c>
      <c r="H10" s="244">
        <f t="shared" si="0"/>
        <v>807.77733688566411</v>
      </c>
      <c r="I10" s="245">
        <v>807.77733688566411</v>
      </c>
      <c r="J10" s="226"/>
      <c r="K10" s="226"/>
      <c r="L10" s="226"/>
      <c r="M10" s="226"/>
      <c r="N10" s="226"/>
      <c r="O10" s="226"/>
      <c r="P10" s="243"/>
      <c r="T10" s="235"/>
    </row>
    <row r="11" spans="2:20">
      <c r="B11" s="246"/>
      <c r="C11" s="226" t="s">
        <v>1100</v>
      </c>
      <c r="D11" s="226" t="s">
        <v>1096</v>
      </c>
      <c r="E11" s="243">
        <v>3.89</v>
      </c>
      <c r="F11" s="226">
        <v>256</v>
      </c>
      <c r="G11" s="226">
        <v>169</v>
      </c>
      <c r="H11" s="244">
        <f t="shared" si="0"/>
        <v>943.45868644067798</v>
      </c>
      <c r="I11" s="245">
        <v>943.45868644067798</v>
      </c>
      <c r="J11" s="226"/>
      <c r="K11" s="226"/>
      <c r="L11" s="226"/>
      <c r="M11" s="226"/>
      <c r="N11" s="226"/>
      <c r="O11" s="226"/>
      <c r="P11" s="243"/>
      <c r="T11" s="235"/>
    </row>
    <row r="12" spans="2:20">
      <c r="B12" s="246"/>
      <c r="C12" s="226" t="s">
        <v>1101</v>
      </c>
      <c r="D12" s="226" t="s">
        <v>1096</v>
      </c>
      <c r="E12" s="243">
        <v>4.4800000000000004</v>
      </c>
      <c r="F12" s="226">
        <v>223</v>
      </c>
      <c r="G12" s="226">
        <v>169</v>
      </c>
      <c r="H12" s="244">
        <f t="shared" si="0"/>
        <v>1083.0736490081326</v>
      </c>
      <c r="I12" s="245">
        <v>1083.0736490081326</v>
      </c>
      <c r="J12" s="226"/>
      <c r="K12" s="226"/>
      <c r="L12" s="226"/>
      <c r="M12" s="226"/>
      <c r="N12" s="226"/>
      <c r="O12" s="226"/>
      <c r="P12" s="243"/>
      <c r="T12" s="235"/>
    </row>
    <row r="13" spans="2:20">
      <c r="B13" s="246"/>
      <c r="C13" s="226"/>
      <c r="D13" s="226"/>
      <c r="E13" s="243"/>
      <c r="F13" s="226"/>
      <c r="G13" s="226"/>
      <c r="H13" s="244"/>
      <c r="I13" s="245"/>
      <c r="J13" s="226"/>
      <c r="K13" s="226"/>
      <c r="L13" s="226"/>
      <c r="M13" s="226"/>
      <c r="N13" s="226"/>
      <c r="O13" s="226"/>
      <c r="P13" s="243"/>
      <c r="T13" s="235"/>
    </row>
    <row r="14" spans="2:20">
      <c r="B14" s="242">
        <v>45355</v>
      </c>
      <c r="C14" s="226" t="s">
        <v>1097</v>
      </c>
      <c r="D14" s="226" t="s">
        <v>1096</v>
      </c>
      <c r="E14" s="243">
        <v>3.5</v>
      </c>
      <c r="F14" s="226">
        <v>285</v>
      </c>
      <c r="G14" s="226">
        <v>127</v>
      </c>
      <c r="H14" s="244">
        <f t="shared" ref="H14:H20" si="1">Ton/F14</f>
        <v>847.45762711864404</v>
      </c>
      <c r="I14" s="245">
        <v>847.45762711864404</v>
      </c>
      <c r="J14" s="226"/>
      <c r="K14" s="226"/>
      <c r="L14" s="226"/>
      <c r="M14" s="226"/>
      <c r="N14" s="226"/>
      <c r="O14" s="226"/>
      <c r="P14" s="243"/>
      <c r="T14" s="235"/>
    </row>
    <row r="15" spans="2:20">
      <c r="B15" s="246"/>
      <c r="C15" s="226" t="s">
        <v>1098</v>
      </c>
      <c r="D15" s="226" t="s">
        <v>1096</v>
      </c>
      <c r="E15" s="243">
        <v>3.19</v>
      </c>
      <c r="F15" s="226">
        <v>255</v>
      </c>
      <c r="G15" s="226">
        <v>127</v>
      </c>
      <c r="H15" s="244">
        <f t="shared" si="1"/>
        <v>947.15852442671985</v>
      </c>
      <c r="I15" s="245">
        <v>947.15852442671985</v>
      </c>
      <c r="J15" s="226"/>
      <c r="K15" s="226"/>
      <c r="L15" s="226"/>
      <c r="M15" s="226"/>
      <c r="N15" s="226"/>
      <c r="O15" s="226"/>
      <c r="P15" s="243"/>
      <c r="T15" s="235"/>
    </row>
    <row r="16" spans="2:20">
      <c r="B16" s="246"/>
      <c r="C16" s="226" t="s">
        <v>1099</v>
      </c>
      <c r="D16" s="226" t="s">
        <v>1096</v>
      </c>
      <c r="E16" s="243">
        <v>4</v>
      </c>
      <c r="F16" s="226">
        <v>250</v>
      </c>
      <c r="G16" s="226">
        <v>127</v>
      </c>
      <c r="H16" s="244">
        <f t="shared" si="1"/>
        <v>966.10169491525426</v>
      </c>
      <c r="I16" s="245">
        <v>966.10169491525426</v>
      </c>
      <c r="J16" s="226"/>
      <c r="K16" s="226"/>
      <c r="L16" s="226"/>
      <c r="M16" s="226"/>
      <c r="N16" s="226"/>
      <c r="O16" s="226"/>
      <c r="P16" s="243"/>
      <c r="T16" s="235"/>
    </row>
    <row r="17" spans="2:20">
      <c r="B17" s="246"/>
      <c r="C17" s="226" t="s">
        <v>1100</v>
      </c>
      <c r="D17" s="226" t="s">
        <v>1096</v>
      </c>
      <c r="E17" s="243">
        <v>4.99</v>
      </c>
      <c r="F17" s="226">
        <v>200</v>
      </c>
      <c r="G17" s="226">
        <v>127</v>
      </c>
      <c r="H17" s="244">
        <f t="shared" si="1"/>
        <v>1207.6271186440679</v>
      </c>
      <c r="I17" s="245">
        <v>1207.6271186440679</v>
      </c>
      <c r="J17" s="226"/>
      <c r="K17" s="226"/>
      <c r="L17" s="226"/>
      <c r="M17" s="226"/>
      <c r="N17" s="226"/>
      <c r="O17" s="226"/>
      <c r="P17" s="243"/>
      <c r="T17" s="235"/>
    </row>
    <row r="18" spans="2:20">
      <c r="B18" s="246"/>
      <c r="C18" s="226" t="s">
        <v>1101</v>
      </c>
      <c r="D18" s="226" t="s">
        <v>1096</v>
      </c>
      <c r="E18" s="243">
        <v>5.67</v>
      </c>
      <c r="F18" s="226">
        <v>176</v>
      </c>
      <c r="G18" s="226">
        <v>127</v>
      </c>
      <c r="H18" s="244">
        <f t="shared" si="1"/>
        <v>1372.3035439137134</v>
      </c>
      <c r="I18" s="245">
        <v>1372.3035439137134</v>
      </c>
      <c r="J18" s="226"/>
      <c r="K18" s="226"/>
      <c r="L18" s="226"/>
      <c r="M18" s="226"/>
      <c r="N18" s="226"/>
      <c r="O18" s="226"/>
      <c r="P18" s="243"/>
      <c r="T18" s="235"/>
    </row>
    <row r="19" spans="2:20">
      <c r="B19" s="246"/>
      <c r="C19" s="226" t="s">
        <v>1102</v>
      </c>
      <c r="D19" s="226" t="s">
        <v>1096</v>
      </c>
      <c r="E19" s="243">
        <v>6.4</v>
      </c>
      <c r="F19" s="226">
        <v>156</v>
      </c>
      <c r="G19" s="226">
        <v>127</v>
      </c>
      <c r="H19" s="244">
        <f t="shared" si="1"/>
        <v>1548.2398956975228</v>
      </c>
      <c r="I19" s="245">
        <v>1548.2398956975228</v>
      </c>
      <c r="J19" s="226"/>
      <c r="K19" s="226"/>
      <c r="L19" s="226"/>
      <c r="M19" s="226"/>
      <c r="N19" s="226"/>
      <c r="O19" s="226"/>
      <c r="P19" s="243"/>
      <c r="T19" s="235"/>
    </row>
    <row r="20" spans="2:20">
      <c r="B20" s="246"/>
      <c r="C20" s="226" t="s">
        <v>1103</v>
      </c>
      <c r="D20" s="226" t="s">
        <v>1096</v>
      </c>
      <c r="E20" s="243">
        <v>6.7</v>
      </c>
      <c r="F20" s="226">
        <v>149</v>
      </c>
      <c r="G20" s="226"/>
      <c r="H20" s="244">
        <f t="shared" si="1"/>
        <v>1620.9759981799568</v>
      </c>
      <c r="I20" s="245">
        <v>1620.9759981799568</v>
      </c>
      <c r="J20" s="226"/>
      <c r="K20" s="226"/>
      <c r="L20" s="226"/>
      <c r="M20" s="226"/>
      <c r="N20" s="226"/>
      <c r="O20" s="226"/>
      <c r="P20" s="243"/>
      <c r="T20" s="235"/>
    </row>
    <row r="21" spans="2:20">
      <c r="B21" s="246"/>
      <c r="C21" s="226"/>
      <c r="D21" s="226"/>
      <c r="E21" s="243"/>
      <c r="F21" s="226"/>
      <c r="G21" s="226"/>
      <c r="H21" s="244"/>
      <c r="I21" s="245"/>
      <c r="J21" s="226"/>
      <c r="K21" s="226"/>
      <c r="L21" s="226"/>
      <c r="M21" s="226"/>
      <c r="N21" s="226"/>
      <c r="O21" s="226"/>
      <c r="P21" s="243"/>
      <c r="T21" s="235"/>
    </row>
    <row r="22" spans="2:20">
      <c r="B22" s="246">
        <v>1</v>
      </c>
      <c r="C22" s="226" t="s">
        <v>1099</v>
      </c>
      <c r="D22" s="226" t="s">
        <v>1096</v>
      </c>
      <c r="E22" s="243">
        <v>5.41</v>
      </c>
      <c r="F22" s="226">
        <v>184</v>
      </c>
      <c r="G22" s="226">
        <v>91</v>
      </c>
      <c r="H22" s="244">
        <f>Ton/F22</f>
        <v>1312.6381724392043</v>
      </c>
      <c r="I22" s="245">
        <v>1312.6381724392043</v>
      </c>
      <c r="J22" s="226"/>
      <c r="K22" s="226"/>
      <c r="L22" s="226"/>
      <c r="M22" s="226"/>
      <c r="N22" s="226"/>
      <c r="O22" s="226"/>
      <c r="P22" s="243"/>
      <c r="T22" s="235"/>
    </row>
    <row r="23" spans="2:20">
      <c r="B23" s="246"/>
      <c r="C23" s="226" t="s">
        <v>1100</v>
      </c>
      <c r="D23" s="226" t="s">
        <v>1096</v>
      </c>
      <c r="E23" s="243">
        <v>6.27</v>
      </c>
      <c r="F23" s="226">
        <v>159</v>
      </c>
      <c r="G23" s="226">
        <v>91</v>
      </c>
      <c r="H23" s="244">
        <f>Ton/F23</f>
        <v>1519.0278221937961</v>
      </c>
      <c r="I23" s="245">
        <v>1519.0278221937961</v>
      </c>
      <c r="J23" s="226"/>
      <c r="K23" s="226"/>
      <c r="L23" s="226"/>
      <c r="M23" s="226"/>
      <c r="N23" s="226"/>
      <c r="O23" s="226"/>
      <c r="P23" s="243"/>
      <c r="T23" s="235"/>
    </row>
    <row r="24" spans="2:20">
      <c r="B24" s="246"/>
      <c r="C24" s="226" t="s">
        <v>1101</v>
      </c>
      <c r="D24" s="226" t="s">
        <v>1096</v>
      </c>
      <c r="E24" s="243">
        <v>7.32</v>
      </c>
      <c r="F24" s="226">
        <v>136</v>
      </c>
      <c r="G24" s="226">
        <v>91</v>
      </c>
      <c r="H24" s="244">
        <f>Ton/F24</f>
        <v>1775.9222333000998</v>
      </c>
      <c r="I24" s="245">
        <v>1775.9222333000998</v>
      </c>
      <c r="J24" s="226"/>
      <c r="K24" s="226"/>
      <c r="L24" s="226"/>
      <c r="M24" s="226"/>
      <c r="N24" s="226"/>
      <c r="O24" s="226"/>
      <c r="P24" s="243"/>
      <c r="T24" s="235"/>
    </row>
    <row r="25" spans="2:20">
      <c r="B25" s="246"/>
      <c r="C25" s="226" t="s">
        <v>1103</v>
      </c>
      <c r="D25" s="226" t="s">
        <v>1096</v>
      </c>
      <c r="E25" s="243">
        <v>8.5779999999999994</v>
      </c>
      <c r="F25" s="226">
        <v>116</v>
      </c>
      <c r="G25" s="226">
        <v>91</v>
      </c>
      <c r="H25" s="244">
        <f>Ton/F25</f>
        <v>2082.1157218001167</v>
      </c>
      <c r="I25" s="245">
        <v>2082.1157218001167</v>
      </c>
      <c r="J25" s="226"/>
      <c r="K25" s="226"/>
      <c r="L25" s="226"/>
      <c r="M25" s="226"/>
      <c r="N25" s="226"/>
      <c r="O25" s="226"/>
      <c r="P25" s="243"/>
      <c r="T25" s="235"/>
    </row>
    <row r="26" spans="2:20">
      <c r="B26" s="246"/>
      <c r="C26" s="226"/>
      <c r="D26" s="226"/>
      <c r="E26" s="243"/>
      <c r="F26" s="226"/>
      <c r="G26" s="226"/>
      <c r="H26" s="244"/>
      <c r="I26" s="245"/>
      <c r="J26" s="226"/>
      <c r="K26" s="226"/>
      <c r="L26" s="226"/>
      <c r="M26" s="226"/>
      <c r="N26" s="226"/>
      <c r="O26" s="226"/>
      <c r="P26" s="243"/>
      <c r="T26" s="235"/>
    </row>
    <row r="27" spans="2:20">
      <c r="B27" s="246" t="s">
        <v>1104</v>
      </c>
      <c r="C27" s="226" t="s">
        <v>1099</v>
      </c>
      <c r="D27" s="226" t="s">
        <v>1096</v>
      </c>
      <c r="E27" s="243">
        <v>6.65</v>
      </c>
      <c r="F27" s="226">
        <v>150</v>
      </c>
      <c r="G27" s="226">
        <v>70</v>
      </c>
      <c r="H27" s="244">
        <f>Ton/F27</f>
        <v>1610.1694915254238</v>
      </c>
      <c r="I27" s="245">
        <v>1610.1694915254238</v>
      </c>
      <c r="J27" s="226"/>
      <c r="K27" s="226"/>
      <c r="L27" s="226"/>
      <c r="M27" s="226"/>
      <c r="N27" s="226"/>
      <c r="O27" s="226"/>
      <c r="P27" s="243"/>
      <c r="T27" s="235"/>
    </row>
    <row r="28" spans="2:20">
      <c r="B28" s="246"/>
      <c r="C28" s="226" t="s">
        <v>1100</v>
      </c>
      <c r="D28" s="226" t="s">
        <v>1096</v>
      </c>
      <c r="E28" s="243">
        <v>8.0370000000000008</v>
      </c>
      <c r="F28" s="226">
        <v>124</v>
      </c>
      <c r="G28" s="226">
        <v>70</v>
      </c>
      <c r="H28" s="244">
        <f>Ton/F28</f>
        <v>1947.7856752323673</v>
      </c>
      <c r="I28" s="245">
        <v>1947.7856752323673</v>
      </c>
      <c r="J28" s="226"/>
      <c r="K28" s="226"/>
      <c r="L28" s="226"/>
      <c r="M28" s="226"/>
      <c r="N28" s="226"/>
      <c r="O28" s="226"/>
      <c r="P28" s="243"/>
      <c r="T28" s="235"/>
    </row>
    <row r="29" spans="2:20">
      <c r="B29" s="246"/>
      <c r="C29" s="226" t="s">
        <v>1101</v>
      </c>
      <c r="D29" s="226" t="s">
        <v>1096</v>
      </c>
      <c r="E29" s="243">
        <v>9.2899999999999991</v>
      </c>
      <c r="F29" s="226">
        <v>107</v>
      </c>
      <c r="G29" s="226">
        <v>70</v>
      </c>
      <c r="H29" s="244">
        <f>Ton/F29</f>
        <v>2257.2469507365754</v>
      </c>
      <c r="I29" s="245">
        <v>2257.2469507365754</v>
      </c>
      <c r="J29" s="226"/>
      <c r="K29" s="226"/>
      <c r="L29" s="226"/>
      <c r="M29" s="226"/>
      <c r="N29" s="226"/>
      <c r="O29" s="226"/>
      <c r="P29" s="243"/>
      <c r="T29" s="235"/>
    </row>
    <row r="30" spans="2:20">
      <c r="B30" s="246"/>
      <c r="C30" s="226" t="s">
        <v>1103</v>
      </c>
      <c r="D30" s="226" t="s">
        <v>1096</v>
      </c>
      <c r="E30" s="243">
        <v>11.06</v>
      </c>
      <c r="F30" s="226">
        <v>90</v>
      </c>
      <c r="G30" s="226">
        <v>70</v>
      </c>
      <c r="H30" s="244">
        <f>Ton/F30</f>
        <v>2683.6158192090397</v>
      </c>
      <c r="I30" s="245">
        <v>2683.6158192090397</v>
      </c>
      <c r="J30" s="226"/>
      <c r="K30" s="226"/>
      <c r="L30" s="226"/>
      <c r="M30" s="226"/>
      <c r="N30" s="226"/>
      <c r="O30" s="226"/>
      <c r="P30" s="243"/>
      <c r="T30" s="235"/>
    </row>
    <row r="31" spans="2:20">
      <c r="B31" s="246"/>
      <c r="C31" s="226"/>
      <c r="D31" s="226"/>
      <c r="E31" s="243"/>
      <c r="F31" s="226"/>
      <c r="G31" s="226"/>
      <c r="H31" s="244"/>
      <c r="I31" s="245"/>
      <c r="J31" s="226"/>
      <c r="K31" s="226"/>
      <c r="L31" s="226"/>
      <c r="M31" s="226"/>
      <c r="N31" s="226"/>
      <c r="O31" s="226"/>
      <c r="P31" s="243"/>
      <c r="T31" s="235"/>
    </row>
    <row r="32" spans="2:20">
      <c r="B32" s="246" t="s">
        <v>1105</v>
      </c>
      <c r="C32" s="226" t="s">
        <v>1101</v>
      </c>
      <c r="D32" s="226" t="s">
        <v>1096</v>
      </c>
      <c r="E32" s="243">
        <v>10.61</v>
      </c>
      <c r="F32" s="226">
        <v>94</v>
      </c>
      <c r="G32" s="226">
        <v>61</v>
      </c>
      <c r="H32" s="244">
        <f>Ton/F32</f>
        <v>2569.4194013703573</v>
      </c>
      <c r="I32" s="245">
        <v>2569.4194013703573</v>
      </c>
      <c r="J32" s="226"/>
      <c r="K32" s="226"/>
      <c r="L32" s="226"/>
      <c r="M32" s="226"/>
      <c r="N32" s="226"/>
      <c r="O32" s="226"/>
      <c r="P32" s="243"/>
      <c r="T32" s="235"/>
    </row>
    <row r="33" spans="2:20">
      <c r="B33" s="246"/>
      <c r="C33" s="226" t="s">
        <v>1103</v>
      </c>
      <c r="D33" s="226" t="s">
        <v>1096</v>
      </c>
      <c r="E33" s="243">
        <v>12.507999999999999</v>
      </c>
      <c r="F33" s="226">
        <v>79</v>
      </c>
      <c r="G33" s="226">
        <v>61</v>
      </c>
      <c r="H33" s="244">
        <f>Ton/F33</f>
        <v>3057.2838446685259</v>
      </c>
      <c r="I33" s="245">
        <v>3057.2838446685259</v>
      </c>
      <c r="J33" s="226"/>
      <c r="K33" s="226"/>
      <c r="L33" s="226"/>
      <c r="M33" s="226"/>
      <c r="N33" s="226"/>
      <c r="O33" s="226"/>
      <c r="P33" s="243"/>
      <c r="T33" s="235"/>
    </row>
    <row r="34" spans="2:20">
      <c r="B34" s="246"/>
      <c r="C34" s="226" t="s">
        <v>1106</v>
      </c>
      <c r="D34" s="226" t="s">
        <v>1096</v>
      </c>
      <c r="E34" s="243">
        <v>13.5</v>
      </c>
      <c r="F34" s="226">
        <v>74</v>
      </c>
      <c r="G34" s="226">
        <v>61</v>
      </c>
      <c r="H34" s="244">
        <f>Ton/F34</f>
        <v>3263.8570774163995</v>
      </c>
      <c r="I34" s="245">
        <v>3263.8570774163995</v>
      </c>
      <c r="J34" s="226"/>
      <c r="K34" s="226"/>
      <c r="L34" s="226"/>
      <c r="M34" s="226"/>
      <c r="N34" s="226"/>
      <c r="O34" s="226"/>
      <c r="P34" s="243"/>
      <c r="T34" s="235"/>
    </row>
    <row r="35" spans="2:20">
      <c r="B35" s="246"/>
      <c r="C35" s="226" t="s">
        <v>1107</v>
      </c>
      <c r="D35" s="226" t="s">
        <v>1096</v>
      </c>
      <c r="E35" s="243">
        <v>15.3</v>
      </c>
      <c r="F35" s="226">
        <v>65</v>
      </c>
      <c r="G35" s="226">
        <v>61</v>
      </c>
      <c r="H35" s="244">
        <f>Ton/F35</f>
        <v>3715.7757496740546</v>
      </c>
      <c r="I35" s="245">
        <v>3715.7757496740546</v>
      </c>
      <c r="J35" s="226"/>
      <c r="K35" s="226"/>
      <c r="L35" s="226"/>
      <c r="M35" s="226"/>
      <c r="N35" s="226"/>
      <c r="O35" s="226"/>
      <c r="P35" s="243"/>
      <c r="T35" s="235"/>
    </row>
    <row r="36" spans="2:20">
      <c r="B36" s="246"/>
      <c r="C36" s="226"/>
      <c r="D36" s="226"/>
      <c r="E36" s="243"/>
      <c r="F36" s="226"/>
      <c r="G36" s="226"/>
      <c r="H36" s="244"/>
      <c r="I36" s="245"/>
      <c r="J36" s="226"/>
      <c r="K36" s="226"/>
      <c r="L36" s="226"/>
      <c r="M36" s="226"/>
      <c r="N36" s="226"/>
      <c r="O36" s="226"/>
      <c r="P36" s="243"/>
      <c r="T36" s="235"/>
    </row>
    <row r="37" spans="2:20">
      <c r="B37" s="246">
        <v>2</v>
      </c>
      <c r="C37" s="226" t="s">
        <v>1101</v>
      </c>
      <c r="D37" s="226" t="s">
        <v>1096</v>
      </c>
      <c r="E37" s="243">
        <v>13.074999999999999</v>
      </c>
      <c r="F37" s="226">
        <v>76</v>
      </c>
      <c r="G37" s="226">
        <v>37</v>
      </c>
      <c r="H37" s="244">
        <f>Ton/F37</f>
        <v>3177.9661016949153</v>
      </c>
      <c r="I37" s="245">
        <v>3177.9661016949153</v>
      </c>
      <c r="J37" s="226"/>
      <c r="K37" s="226"/>
      <c r="L37" s="226"/>
      <c r="M37" s="226"/>
      <c r="N37" s="226"/>
      <c r="O37" s="226"/>
      <c r="P37" s="243"/>
      <c r="T37" s="235"/>
    </row>
    <row r="38" spans="2:20">
      <c r="B38" s="246"/>
      <c r="C38" s="226" t="s">
        <v>1102</v>
      </c>
      <c r="D38" s="226" t="s">
        <v>1096</v>
      </c>
      <c r="E38" s="243">
        <v>15</v>
      </c>
      <c r="F38" s="226">
        <v>66</v>
      </c>
      <c r="G38" s="226">
        <v>37</v>
      </c>
      <c r="H38" s="244">
        <f>Ton/F38</f>
        <v>3659.476117103236</v>
      </c>
      <c r="I38" s="245">
        <v>3659.476117103236</v>
      </c>
      <c r="J38" s="226"/>
      <c r="K38" s="226"/>
      <c r="L38" s="226"/>
      <c r="M38" s="226"/>
      <c r="N38" s="226"/>
      <c r="O38" s="226"/>
      <c r="P38" s="243"/>
      <c r="T38" s="235"/>
    </row>
    <row r="39" spans="2:20">
      <c r="B39" s="246"/>
      <c r="C39" s="226" t="s">
        <v>1103</v>
      </c>
      <c r="D39" s="226" t="s">
        <v>1096</v>
      </c>
      <c r="E39" s="243">
        <v>15.76</v>
      </c>
      <c r="F39" s="226">
        <v>63</v>
      </c>
      <c r="G39" s="226">
        <v>37</v>
      </c>
      <c r="H39" s="244">
        <f>Ton/F39</f>
        <v>3833.7368845843421</v>
      </c>
      <c r="I39" s="245">
        <v>3833.7368845843421</v>
      </c>
      <c r="J39" s="226"/>
      <c r="K39" s="226"/>
      <c r="L39" s="226"/>
      <c r="M39" s="226"/>
      <c r="N39" s="226"/>
      <c r="O39" s="226"/>
      <c r="P39" s="243"/>
      <c r="T39" s="235"/>
    </row>
    <row r="40" spans="2:20">
      <c r="B40" s="246"/>
      <c r="C40" s="226" t="s">
        <v>1106</v>
      </c>
      <c r="D40" s="226" t="s">
        <v>1096</v>
      </c>
      <c r="E40" s="243">
        <v>16.600000000000001</v>
      </c>
      <c r="F40" s="226">
        <v>60</v>
      </c>
      <c r="G40" s="226">
        <v>37</v>
      </c>
      <c r="H40" s="244">
        <f>Ton/F40</f>
        <v>4025.4237288135596</v>
      </c>
      <c r="I40" s="245">
        <v>4025.4237288135596</v>
      </c>
      <c r="J40" s="226"/>
      <c r="K40" s="226"/>
      <c r="L40" s="226"/>
      <c r="M40" s="226"/>
      <c r="N40" s="226"/>
      <c r="O40" s="226"/>
      <c r="P40" s="243"/>
      <c r="T40" s="235"/>
    </row>
    <row r="41" spans="2:20">
      <c r="B41" s="246"/>
      <c r="C41" s="226" t="s">
        <v>1107</v>
      </c>
      <c r="D41" s="226" t="s">
        <v>1096</v>
      </c>
      <c r="E41" s="243">
        <v>18.8</v>
      </c>
      <c r="F41" s="226">
        <v>53</v>
      </c>
      <c r="G41" s="226">
        <v>37</v>
      </c>
      <c r="H41" s="244">
        <f>Ton/F41</f>
        <v>4557.0834665813882</v>
      </c>
      <c r="I41" s="245">
        <v>4557.0834665813882</v>
      </c>
      <c r="J41" s="226"/>
      <c r="K41" s="226"/>
      <c r="L41" s="226"/>
      <c r="M41" s="226"/>
      <c r="N41" s="226"/>
      <c r="O41" s="226"/>
      <c r="P41" s="243"/>
      <c r="T41" s="235"/>
    </row>
    <row r="42" spans="2:20">
      <c r="B42" s="246"/>
      <c r="C42" s="226"/>
      <c r="D42" s="226"/>
      <c r="E42" s="243"/>
      <c r="F42" s="226"/>
      <c r="G42" s="226"/>
      <c r="H42" s="244"/>
      <c r="I42" s="245"/>
      <c r="J42" s="226"/>
      <c r="K42" s="226"/>
      <c r="L42" s="226"/>
      <c r="M42" s="226"/>
      <c r="N42" s="226"/>
      <c r="O42" s="226"/>
      <c r="P42" s="243"/>
      <c r="T42" s="235"/>
    </row>
    <row r="43" spans="2:20">
      <c r="B43" s="246" t="s">
        <v>1108</v>
      </c>
      <c r="C43" s="226" t="s">
        <v>1101</v>
      </c>
      <c r="D43" s="226" t="s">
        <v>1096</v>
      </c>
      <c r="E43" s="243">
        <v>20.47</v>
      </c>
      <c r="F43" s="226">
        <v>48</v>
      </c>
      <c r="G43" s="226">
        <v>19</v>
      </c>
      <c r="H43" s="244">
        <f>Ton/F43</f>
        <v>5031.7796610169489</v>
      </c>
      <c r="I43" s="245">
        <v>5031.7796610169489</v>
      </c>
      <c r="J43" s="226"/>
      <c r="K43" s="226"/>
      <c r="L43" s="226"/>
      <c r="M43" s="226"/>
      <c r="N43" s="226"/>
      <c r="O43" s="226"/>
      <c r="P43" s="243"/>
      <c r="T43" s="235"/>
    </row>
    <row r="44" spans="2:20">
      <c r="B44" s="246"/>
      <c r="C44" s="226" t="s">
        <v>1103</v>
      </c>
      <c r="D44" s="226" t="s">
        <v>1096</v>
      </c>
      <c r="E44" s="243">
        <v>21</v>
      </c>
      <c r="F44" s="226">
        <v>47</v>
      </c>
      <c r="G44" s="226">
        <v>19</v>
      </c>
      <c r="H44" s="244">
        <f>Ton/F44</f>
        <v>5138.8388027407145</v>
      </c>
      <c r="I44" s="245">
        <v>5138.8388027407145</v>
      </c>
      <c r="J44" s="226"/>
      <c r="K44" s="226"/>
      <c r="L44" s="226"/>
      <c r="M44" s="226"/>
      <c r="N44" s="226"/>
      <c r="O44" s="226"/>
      <c r="P44" s="243"/>
      <c r="T44" s="235"/>
    </row>
    <row r="45" spans="2:20">
      <c r="B45" s="246"/>
      <c r="C45" s="226"/>
      <c r="D45" s="226"/>
      <c r="E45" s="243"/>
      <c r="F45" s="226"/>
      <c r="G45" s="226"/>
      <c r="H45" s="244"/>
      <c r="I45" s="245"/>
      <c r="J45" s="226"/>
      <c r="K45" s="226"/>
      <c r="L45" s="226"/>
      <c r="M45" s="226"/>
      <c r="N45" s="226"/>
      <c r="O45" s="226"/>
      <c r="P45" s="243"/>
      <c r="T45" s="235"/>
    </row>
    <row r="46" spans="2:20">
      <c r="B46" s="246">
        <v>3</v>
      </c>
      <c r="C46" s="226" t="s">
        <v>1109</v>
      </c>
      <c r="D46" s="226" t="s">
        <v>1096</v>
      </c>
      <c r="E46" s="243">
        <v>35.1</v>
      </c>
      <c r="F46" s="226">
        <v>28</v>
      </c>
      <c r="G46" s="226">
        <v>24</v>
      </c>
      <c r="H46" s="244">
        <f>Ton/F46</f>
        <v>8625.9079903147704</v>
      </c>
      <c r="I46" s="245">
        <v>8625.9079903147704</v>
      </c>
      <c r="J46" s="226"/>
      <c r="K46" s="226"/>
      <c r="L46" s="226"/>
      <c r="M46" s="226"/>
      <c r="N46" s="226"/>
      <c r="O46" s="226"/>
      <c r="P46" s="243"/>
      <c r="T46" s="235"/>
    </row>
    <row r="47" spans="2:20">
      <c r="B47" s="246"/>
      <c r="C47" s="226"/>
      <c r="D47" s="226"/>
      <c r="E47" s="243"/>
      <c r="F47" s="226"/>
      <c r="G47" s="226"/>
      <c r="H47" s="244"/>
      <c r="I47" s="245"/>
      <c r="J47" s="226"/>
      <c r="K47" s="226"/>
      <c r="L47" s="226"/>
      <c r="M47" s="226"/>
      <c r="N47" s="226"/>
      <c r="O47" s="226"/>
      <c r="P47" s="243"/>
      <c r="T47" s="235"/>
    </row>
    <row r="48" spans="2:20">
      <c r="B48" s="246">
        <v>6</v>
      </c>
      <c r="C48" s="226" t="s">
        <v>1110</v>
      </c>
      <c r="D48" s="226" t="s">
        <v>1096</v>
      </c>
      <c r="E48" s="243">
        <v>69.5</v>
      </c>
      <c r="F48" s="226">
        <v>14</v>
      </c>
      <c r="G48" s="226">
        <v>7</v>
      </c>
      <c r="H48" s="244">
        <f>Ton/F48</f>
        <v>17251.815980629541</v>
      </c>
      <c r="I48" s="245">
        <v>17251.815980629541</v>
      </c>
      <c r="J48" s="226"/>
      <c r="K48" s="226"/>
      <c r="L48" s="226"/>
      <c r="M48" s="226"/>
      <c r="N48" s="226"/>
      <c r="O48" s="226"/>
      <c r="P48" s="243"/>
      <c r="T48" s="235"/>
    </row>
    <row r="49" spans="2:20">
      <c r="B49" s="227"/>
      <c r="E49" s="243"/>
      <c r="F49" s="226"/>
      <c r="H49" s="228"/>
      <c r="I49" s="227"/>
      <c r="J49" s="226"/>
      <c r="K49" s="226"/>
      <c r="L49" s="226"/>
      <c r="M49" s="226"/>
      <c r="N49" s="226"/>
      <c r="O49" s="226"/>
      <c r="P49" s="243"/>
      <c r="T49" s="235"/>
    </row>
    <row r="50" spans="2:20">
      <c r="B50" s="236"/>
      <c r="C50" s="237"/>
      <c r="D50" s="237"/>
      <c r="E50" s="237"/>
      <c r="F50" s="237"/>
      <c r="G50" s="237"/>
      <c r="H50" s="247"/>
      <c r="I50" s="236"/>
      <c r="J50" s="240"/>
      <c r="K50" s="240"/>
      <c r="L50" s="240"/>
      <c r="M50" s="240"/>
      <c r="N50" s="240"/>
      <c r="O50" s="240"/>
      <c r="P50" s="248"/>
      <c r="Q50" s="237"/>
      <c r="R50" s="237"/>
      <c r="S50" s="237"/>
      <c r="T50" s="241"/>
    </row>
    <row r="51" spans="2:20">
      <c r="H51" s="226"/>
      <c r="L51" s="226"/>
    </row>
    <row r="52" spans="2:20">
      <c r="H52" s="226"/>
      <c r="L52" s="226"/>
    </row>
    <row r="53" spans="2:20">
      <c r="H53" s="226"/>
      <c r="L53" s="226"/>
    </row>
    <row r="54" spans="2:20">
      <c r="H54" s="226"/>
      <c r="L54" s="226"/>
    </row>
    <row r="55" spans="2:20">
      <c r="H55" s="226"/>
      <c r="L55" s="226"/>
    </row>
    <row r="56" spans="2:20">
      <c r="D56" s="226"/>
      <c r="L56" s="226"/>
    </row>
    <row r="57" spans="2:20" ht="24">
      <c r="B57" s="315" t="s">
        <v>1111</v>
      </c>
      <c r="C57" s="316"/>
      <c r="D57" s="316"/>
      <c r="E57" s="316"/>
      <c r="F57" s="316"/>
      <c r="G57" s="316"/>
      <c r="H57" s="317"/>
      <c r="I57" s="318" t="s">
        <v>1087</v>
      </c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7"/>
    </row>
    <row r="58" spans="2:20">
      <c r="B58" s="227"/>
      <c r="D58" s="226"/>
      <c r="H58" s="228"/>
      <c r="I58" s="229">
        <v>45658</v>
      </c>
      <c r="J58" s="230">
        <v>45659</v>
      </c>
      <c r="K58" s="230">
        <v>45660</v>
      </c>
      <c r="L58" s="230">
        <v>45661</v>
      </c>
      <c r="M58" s="230">
        <v>45662</v>
      </c>
      <c r="N58" s="230">
        <v>45663</v>
      </c>
      <c r="O58" s="230">
        <v>45664</v>
      </c>
      <c r="P58" s="230">
        <v>45665</v>
      </c>
      <c r="Q58" s="230">
        <v>45666</v>
      </c>
      <c r="R58" s="230">
        <v>45667</v>
      </c>
      <c r="S58" s="230">
        <v>45668</v>
      </c>
      <c r="T58" s="231">
        <v>45669</v>
      </c>
    </row>
    <row r="59" spans="2:20">
      <c r="B59" s="232" t="s">
        <v>1112</v>
      </c>
      <c r="C59" s="233" t="s">
        <v>1089</v>
      </c>
      <c r="D59" s="233" t="s">
        <v>1090</v>
      </c>
      <c r="E59" s="233" t="s">
        <v>1091</v>
      </c>
      <c r="F59" s="233" t="s">
        <v>1092</v>
      </c>
      <c r="G59" s="233" t="s">
        <v>1093</v>
      </c>
      <c r="H59" s="234" t="s">
        <v>1094</v>
      </c>
      <c r="I59" s="227"/>
      <c r="J59" s="226"/>
      <c r="K59" s="226"/>
      <c r="L59" s="226"/>
      <c r="M59" s="226"/>
      <c r="N59" s="226"/>
      <c r="O59" s="226"/>
      <c r="P59" s="226"/>
      <c r="T59" s="235"/>
    </row>
    <row r="60" spans="2:20" ht="22.5" customHeight="1">
      <c r="B60" s="236"/>
      <c r="C60" s="237"/>
      <c r="D60" s="240"/>
      <c r="E60" s="237"/>
      <c r="F60" s="237"/>
      <c r="G60" s="237"/>
      <c r="H60" s="249">
        <f>285000/1.18</f>
        <v>241525.42372881356</v>
      </c>
      <c r="I60" s="239">
        <v>241525.42372881356</v>
      </c>
      <c r="J60" s="237"/>
      <c r="K60" s="237"/>
      <c r="L60" s="240"/>
      <c r="M60" s="237"/>
      <c r="N60" s="237"/>
      <c r="O60" s="237"/>
      <c r="P60" s="237"/>
      <c r="Q60" s="237"/>
      <c r="R60" s="237"/>
      <c r="S60" s="237"/>
      <c r="T60" s="241"/>
    </row>
    <row r="61" spans="2:20">
      <c r="B61" s="246" t="s">
        <v>1113</v>
      </c>
      <c r="C61" s="226" t="s">
        <v>1095</v>
      </c>
      <c r="D61" s="226" t="s">
        <v>1114</v>
      </c>
      <c r="E61" s="226">
        <v>2.92</v>
      </c>
      <c r="F61" s="226">
        <v>342</v>
      </c>
      <c r="G61" s="226">
        <v>225</v>
      </c>
      <c r="H61" s="250">
        <f t="shared" ref="H61:H66" si="2">tonprice/F61</f>
        <v>706.21468926553678</v>
      </c>
      <c r="I61" s="245">
        <v>706.21468926553678</v>
      </c>
      <c r="J61" s="226"/>
      <c r="K61" s="226"/>
      <c r="L61" s="226"/>
      <c r="M61" s="226"/>
      <c r="N61" s="226"/>
      <c r="O61" s="226"/>
      <c r="P61" s="243"/>
      <c r="T61" s="235"/>
    </row>
    <row r="62" spans="2:20">
      <c r="B62" s="246"/>
      <c r="C62" s="226" t="s">
        <v>1097</v>
      </c>
      <c r="D62" s="226" t="s">
        <v>1114</v>
      </c>
      <c r="E62" s="226">
        <v>3.16</v>
      </c>
      <c r="F62" s="226">
        <v>316</v>
      </c>
      <c r="G62" s="226">
        <v>225</v>
      </c>
      <c r="H62" s="250">
        <f t="shared" si="2"/>
        <v>764.32096116713149</v>
      </c>
      <c r="I62" s="245">
        <v>764.32096116713149</v>
      </c>
      <c r="J62" s="226"/>
      <c r="K62" s="226"/>
      <c r="L62" s="226"/>
      <c r="M62" s="226"/>
      <c r="N62" s="226"/>
      <c r="O62" s="226"/>
      <c r="P62" s="243"/>
      <c r="T62" s="235"/>
    </row>
    <row r="63" spans="2:20">
      <c r="B63" s="246"/>
      <c r="C63" s="226" t="s">
        <v>1098</v>
      </c>
      <c r="D63" s="226" t="s">
        <v>1114</v>
      </c>
      <c r="E63" s="226">
        <v>4.2</v>
      </c>
      <c r="F63" s="226">
        <v>292</v>
      </c>
      <c r="G63" s="226">
        <v>225</v>
      </c>
      <c r="H63" s="250">
        <f t="shared" si="2"/>
        <v>827.1418620849779</v>
      </c>
      <c r="I63" s="245">
        <v>827.1418620849779</v>
      </c>
      <c r="J63" s="226"/>
      <c r="K63" s="226"/>
      <c r="L63" s="226"/>
      <c r="M63" s="226"/>
      <c r="N63" s="226"/>
      <c r="O63" s="226"/>
      <c r="P63" s="243"/>
      <c r="T63" s="235"/>
    </row>
    <row r="64" spans="2:20">
      <c r="B64" s="246"/>
      <c r="C64" s="226" t="s">
        <v>1099</v>
      </c>
      <c r="D64" s="226" t="s">
        <v>1114</v>
      </c>
      <c r="E64" s="226">
        <v>3.89</v>
      </c>
      <c r="F64" s="226">
        <v>257</v>
      </c>
      <c r="G64" s="226">
        <v>225</v>
      </c>
      <c r="H64" s="250">
        <f t="shared" si="2"/>
        <v>939.78764096814621</v>
      </c>
      <c r="I64" s="245">
        <v>939.78764096814621</v>
      </c>
      <c r="J64" s="226"/>
      <c r="K64" s="226"/>
      <c r="L64" s="226"/>
      <c r="M64" s="226"/>
      <c r="N64" s="226"/>
      <c r="O64" s="226"/>
      <c r="P64" s="243"/>
      <c r="T64" s="235"/>
    </row>
    <row r="65" spans="2:20">
      <c r="B65" s="246"/>
      <c r="C65" s="226" t="s">
        <v>1100</v>
      </c>
      <c r="D65" s="226" t="s">
        <v>1114</v>
      </c>
      <c r="E65" s="226">
        <v>4.45</v>
      </c>
      <c r="F65" s="226">
        <v>224</v>
      </c>
      <c r="G65" s="226">
        <v>225</v>
      </c>
      <c r="H65" s="250">
        <f t="shared" si="2"/>
        <v>1078.2384987893463</v>
      </c>
      <c r="I65" s="245">
        <v>1078.2384987893463</v>
      </c>
      <c r="J65" s="226"/>
      <c r="K65" s="226"/>
      <c r="L65" s="226"/>
      <c r="M65" s="226"/>
      <c r="N65" s="226"/>
      <c r="O65" s="226"/>
      <c r="P65" s="243"/>
      <c r="T65" s="235"/>
    </row>
    <row r="66" spans="2:20">
      <c r="B66" s="246"/>
      <c r="C66" s="226" t="s">
        <v>1101</v>
      </c>
      <c r="D66" s="226" t="s">
        <v>1114</v>
      </c>
      <c r="E66" s="226">
        <v>5</v>
      </c>
      <c r="F66" s="226">
        <v>200</v>
      </c>
      <c r="G66" s="226">
        <v>225</v>
      </c>
      <c r="H66" s="250">
        <f t="shared" si="2"/>
        <v>1207.6271186440679</v>
      </c>
      <c r="I66" s="245">
        <v>1207.6271186440679</v>
      </c>
      <c r="J66" s="226"/>
      <c r="K66" s="226"/>
      <c r="L66" s="226"/>
      <c r="M66" s="226"/>
      <c r="N66" s="226"/>
      <c r="O66" s="226"/>
      <c r="P66" s="243"/>
      <c r="T66" s="235"/>
    </row>
    <row r="67" spans="2:20">
      <c r="B67" s="246"/>
      <c r="C67" s="226"/>
      <c r="D67" s="226"/>
      <c r="E67" s="226"/>
      <c r="F67" s="226"/>
      <c r="G67" s="226"/>
      <c r="H67" s="250"/>
      <c r="I67" s="245"/>
      <c r="J67" s="226"/>
      <c r="K67" s="226"/>
      <c r="L67" s="226"/>
      <c r="M67" s="226"/>
      <c r="N67" s="226"/>
      <c r="O67" s="226"/>
      <c r="P67" s="243"/>
      <c r="T67" s="235"/>
    </row>
    <row r="68" spans="2:20">
      <c r="B68" s="246" t="s">
        <v>1115</v>
      </c>
      <c r="C68" s="226" t="s">
        <v>1095</v>
      </c>
      <c r="D68" s="226" t="s">
        <v>1114</v>
      </c>
      <c r="E68" s="226">
        <v>3.7029999999999998</v>
      </c>
      <c r="F68" s="226">
        <v>270</v>
      </c>
      <c r="G68" s="226">
        <v>144</v>
      </c>
      <c r="H68" s="250">
        <f t="shared" ref="H68:H73" si="3">tonprice/F68</f>
        <v>894.5386064030132</v>
      </c>
      <c r="I68" s="245">
        <v>894.5386064030132</v>
      </c>
      <c r="J68" s="226"/>
      <c r="K68" s="226"/>
      <c r="L68" s="226"/>
      <c r="M68" s="226"/>
      <c r="N68" s="226"/>
      <c r="O68" s="226"/>
      <c r="P68" s="243"/>
      <c r="T68" s="235"/>
    </row>
    <row r="69" spans="2:20">
      <c r="B69" s="246"/>
      <c r="C69" s="226" t="s">
        <v>1097</v>
      </c>
      <c r="D69" s="226" t="s">
        <v>1114</v>
      </c>
      <c r="E69" s="226">
        <v>4.0599999999999996</v>
      </c>
      <c r="F69" s="226">
        <v>246</v>
      </c>
      <c r="G69" s="226">
        <v>144</v>
      </c>
      <c r="H69" s="250">
        <f t="shared" si="3"/>
        <v>981.81066556428277</v>
      </c>
      <c r="I69" s="245">
        <v>981.81066556428277</v>
      </c>
      <c r="J69" s="226"/>
      <c r="K69" s="226"/>
      <c r="L69" s="226"/>
      <c r="M69" s="226"/>
      <c r="N69" s="226"/>
      <c r="O69" s="226"/>
      <c r="P69" s="243"/>
      <c r="T69" s="235"/>
    </row>
    <row r="70" spans="2:20">
      <c r="B70" s="246"/>
      <c r="C70" s="226" t="s">
        <v>1098</v>
      </c>
      <c r="D70" s="226" t="s">
        <v>1114</v>
      </c>
      <c r="E70" s="226">
        <v>4.5</v>
      </c>
      <c r="F70" s="226">
        <v>222</v>
      </c>
      <c r="G70" s="226">
        <v>144</v>
      </c>
      <c r="H70" s="250">
        <f t="shared" si="3"/>
        <v>1087.9523591387999</v>
      </c>
      <c r="I70" s="245">
        <v>1087.9523591387999</v>
      </c>
      <c r="J70" s="226"/>
      <c r="K70" s="226"/>
      <c r="L70" s="226"/>
      <c r="M70" s="226"/>
      <c r="N70" s="226"/>
      <c r="O70" s="226"/>
      <c r="P70" s="243"/>
      <c r="T70" s="235"/>
    </row>
    <row r="71" spans="2:20">
      <c r="B71" s="246"/>
      <c r="C71" s="226" t="s">
        <v>1099</v>
      </c>
      <c r="D71" s="226" t="s">
        <v>1114</v>
      </c>
      <c r="E71" s="226">
        <v>4.95</v>
      </c>
      <c r="F71" s="226">
        <v>202</v>
      </c>
      <c r="G71" s="226">
        <v>144</v>
      </c>
      <c r="H71" s="250">
        <f t="shared" si="3"/>
        <v>1195.670414499077</v>
      </c>
      <c r="I71" s="245">
        <v>1195.670414499077</v>
      </c>
      <c r="J71" s="226"/>
      <c r="K71" s="226"/>
      <c r="L71" s="226"/>
      <c r="M71" s="226"/>
      <c r="N71" s="226"/>
      <c r="O71" s="226"/>
      <c r="P71" s="243"/>
      <c r="T71" s="235"/>
    </row>
    <row r="72" spans="2:20">
      <c r="B72" s="246"/>
      <c r="C72" s="226" t="s">
        <v>1100</v>
      </c>
      <c r="D72" s="226" t="s">
        <v>1114</v>
      </c>
      <c r="E72" s="226">
        <v>5.6020000000000003</v>
      </c>
      <c r="F72" s="226">
        <v>178</v>
      </c>
      <c r="G72" s="226">
        <v>144</v>
      </c>
      <c r="H72" s="250">
        <f t="shared" si="3"/>
        <v>1356.8844029708628</v>
      </c>
      <c r="I72" s="245">
        <v>1356.8844029708628</v>
      </c>
      <c r="J72" s="226"/>
      <c r="K72" s="226"/>
      <c r="L72" s="226"/>
      <c r="M72" s="226"/>
      <c r="N72" s="226"/>
      <c r="O72" s="226"/>
      <c r="P72" s="243"/>
      <c r="T72" s="235"/>
    </row>
    <row r="73" spans="2:20">
      <c r="B73" s="246"/>
      <c r="C73" s="226" t="s">
        <v>1101</v>
      </c>
      <c r="D73" s="226" t="s">
        <v>1114</v>
      </c>
      <c r="E73" s="226">
        <v>6.5</v>
      </c>
      <c r="F73" s="226">
        <v>153</v>
      </c>
      <c r="G73" s="226">
        <v>144</v>
      </c>
      <c r="H73" s="250">
        <f t="shared" si="3"/>
        <v>1578.5975407111998</v>
      </c>
      <c r="I73" s="245">
        <v>1578.5975407111998</v>
      </c>
      <c r="J73" s="226"/>
      <c r="K73" s="226"/>
      <c r="L73" s="226"/>
      <c r="M73" s="226"/>
      <c r="N73" s="226"/>
      <c r="O73" s="226"/>
      <c r="P73" s="243"/>
      <c r="T73" s="235"/>
    </row>
    <row r="74" spans="2:20">
      <c r="B74" s="246"/>
      <c r="C74" s="226"/>
      <c r="D74" s="226"/>
      <c r="E74" s="226"/>
      <c r="F74" s="226"/>
      <c r="G74" s="226"/>
      <c r="H74" s="250"/>
      <c r="I74" s="245"/>
      <c r="J74" s="226"/>
      <c r="K74" s="226"/>
      <c r="L74" s="226"/>
      <c r="M74" s="226"/>
      <c r="N74" s="226"/>
      <c r="O74" s="226"/>
      <c r="P74" s="243"/>
      <c r="T74" s="235"/>
    </row>
    <row r="75" spans="2:20">
      <c r="B75" s="246" t="s">
        <v>1116</v>
      </c>
      <c r="C75" s="226" t="s">
        <v>1097</v>
      </c>
      <c r="D75" s="226" t="s">
        <v>1114</v>
      </c>
      <c r="E75" s="226">
        <v>6.18</v>
      </c>
      <c r="F75" s="226">
        <v>161</v>
      </c>
      <c r="G75" s="226">
        <v>72</v>
      </c>
      <c r="H75" s="250">
        <f>tonprice/F75</f>
        <v>1500.1579113590903</v>
      </c>
      <c r="I75" s="245">
        <v>1500.1579113590903</v>
      </c>
      <c r="J75" s="226"/>
      <c r="K75" s="226"/>
      <c r="L75" s="226"/>
      <c r="M75" s="226"/>
      <c r="N75" s="226"/>
      <c r="O75" s="226"/>
      <c r="P75" s="243"/>
      <c r="T75" s="235"/>
    </row>
    <row r="76" spans="2:20">
      <c r="B76" s="246"/>
      <c r="C76" s="226" t="s">
        <v>1099</v>
      </c>
      <c r="D76" s="226" t="s">
        <v>1114</v>
      </c>
      <c r="E76" s="226">
        <v>7.32</v>
      </c>
      <c r="F76" s="226">
        <v>136</v>
      </c>
      <c r="G76" s="226">
        <v>72</v>
      </c>
      <c r="H76" s="250">
        <f>tonprice/F76</f>
        <v>1775.9222333000998</v>
      </c>
      <c r="I76" s="245">
        <v>1775.9222333000998</v>
      </c>
      <c r="J76" s="226"/>
      <c r="K76" s="226"/>
      <c r="L76" s="226"/>
      <c r="M76" s="226"/>
      <c r="N76" s="226"/>
      <c r="O76" s="226"/>
      <c r="P76" s="243"/>
      <c r="T76" s="235"/>
    </row>
    <row r="77" spans="2:20">
      <c r="B77" s="246"/>
      <c r="C77" s="226" t="s">
        <v>1100</v>
      </c>
      <c r="D77" s="226" t="s">
        <v>1114</v>
      </c>
      <c r="E77" s="226">
        <v>8.69</v>
      </c>
      <c r="F77" s="226">
        <v>115</v>
      </c>
      <c r="G77" s="226">
        <v>72</v>
      </c>
      <c r="H77" s="250">
        <f>tonprice/F77</f>
        <v>2100.2210759027266</v>
      </c>
      <c r="I77" s="245">
        <v>2100.2210759027266</v>
      </c>
      <c r="J77" s="226"/>
      <c r="K77" s="226"/>
      <c r="L77" s="226"/>
      <c r="M77" s="226"/>
      <c r="N77" s="226"/>
      <c r="O77" s="226"/>
      <c r="P77" s="243"/>
      <c r="T77" s="235"/>
    </row>
    <row r="78" spans="2:20">
      <c r="B78" s="246"/>
      <c r="C78" s="226" t="s">
        <v>1101</v>
      </c>
      <c r="D78" s="226" t="s">
        <v>1114</v>
      </c>
      <c r="E78" s="226">
        <v>10.25</v>
      </c>
      <c r="F78" s="226">
        <v>97</v>
      </c>
      <c r="G78" s="226">
        <v>72</v>
      </c>
      <c r="H78" s="250">
        <f>tonprice/F78</f>
        <v>2489.9528219465315</v>
      </c>
      <c r="I78" s="245">
        <v>2489.9528219465315</v>
      </c>
      <c r="J78" s="226"/>
      <c r="K78" s="226"/>
      <c r="L78" s="226"/>
      <c r="M78" s="226"/>
      <c r="N78" s="226"/>
      <c r="O78" s="226"/>
      <c r="P78" s="243"/>
      <c r="T78" s="235"/>
    </row>
    <row r="79" spans="2:20">
      <c r="B79" s="246"/>
      <c r="C79" s="226"/>
      <c r="D79" s="226"/>
      <c r="E79" s="226"/>
      <c r="F79" s="226"/>
      <c r="G79" s="226"/>
      <c r="H79" s="250"/>
      <c r="I79" s="245"/>
      <c r="J79" s="226"/>
      <c r="K79" s="226"/>
      <c r="L79" s="226"/>
      <c r="M79" s="226"/>
      <c r="N79" s="226"/>
      <c r="O79" s="226"/>
      <c r="P79" s="243"/>
      <c r="T79" s="235"/>
    </row>
    <row r="80" spans="2:20">
      <c r="B80" s="246" t="s">
        <v>1117</v>
      </c>
      <c r="C80" s="226" t="s">
        <v>1099</v>
      </c>
      <c r="D80" s="226" t="s">
        <v>1114</v>
      </c>
      <c r="E80" s="226">
        <v>7.5</v>
      </c>
      <c r="F80" s="226">
        <v>133</v>
      </c>
      <c r="G80" s="226">
        <v>64</v>
      </c>
      <c r="H80" s="250">
        <f>tonprice/F80</f>
        <v>1815.9806295399517</v>
      </c>
      <c r="I80" s="245">
        <v>1815.9806295399517</v>
      </c>
      <c r="J80" s="226"/>
      <c r="K80" s="226"/>
      <c r="L80" s="226"/>
      <c r="M80" s="226"/>
      <c r="N80" s="226"/>
      <c r="O80" s="226"/>
      <c r="P80" s="243"/>
      <c r="T80" s="235"/>
    </row>
    <row r="81" spans="2:20">
      <c r="B81" s="246"/>
      <c r="C81" s="226" t="s">
        <v>1100</v>
      </c>
      <c r="D81" s="226" t="s">
        <v>1114</v>
      </c>
      <c r="E81" s="226">
        <v>8.8000000000000007</v>
      </c>
      <c r="F81" s="226">
        <v>113</v>
      </c>
      <c r="G81" s="226">
        <v>64</v>
      </c>
      <c r="H81" s="250">
        <f>tonprice/F81</f>
        <v>2137.3931303434829</v>
      </c>
      <c r="I81" s="245">
        <v>2137.3931303434829</v>
      </c>
      <c r="J81" s="226"/>
      <c r="K81" s="226"/>
      <c r="L81" s="226"/>
      <c r="M81" s="226"/>
      <c r="N81" s="226"/>
      <c r="O81" s="226"/>
      <c r="P81" s="243"/>
      <c r="T81" s="235"/>
    </row>
    <row r="82" spans="2:20">
      <c r="B82" s="246"/>
      <c r="C82" s="226" t="s">
        <v>1101</v>
      </c>
      <c r="D82" s="226" t="s">
        <v>1114</v>
      </c>
      <c r="E82" s="226">
        <v>10.199999999999999</v>
      </c>
      <c r="F82" s="226">
        <v>98</v>
      </c>
      <c r="G82" s="226">
        <v>64</v>
      </c>
      <c r="H82" s="250">
        <f>tonprice/F82</f>
        <v>2464.5451400899342</v>
      </c>
      <c r="I82" s="245">
        <v>2464.5451400899342</v>
      </c>
      <c r="J82" s="226"/>
      <c r="K82" s="226"/>
      <c r="L82" s="226"/>
      <c r="M82" s="226"/>
      <c r="N82" s="226"/>
      <c r="O82" s="226"/>
      <c r="P82" s="243"/>
      <c r="T82" s="235"/>
    </row>
    <row r="83" spans="2:20">
      <c r="B83" s="246"/>
      <c r="C83" s="226" t="s">
        <v>1106</v>
      </c>
      <c r="D83" s="226" t="s">
        <v>1114</v>
      </c>
      <c r="E83" s="226">
        <v>12.6</v>
      </c>
      <c r="F83" s="226">
        <v>79</v>
      </c>
      <c r="G83" s="226">
        <v>64</v>
      </c>
      <c r="H83" s="250">
        <f>tonprice/F83</f>
        <v>3057.2838446685259</v>
      </c>
      <c r="I83" s="245">
        <v>3057.2838446685259</v>
      </c>
      <c r="J83" s="226"/>
      <c r="K83" s="226"/>
      <c r="L83" s="226"/>
      <c r="M83" s="226"/>
      <c r="N83" s="226"/>
      <c r="O83" s="226"/>
      <c r="P83" s="243"/>
      <c r="T83" s="235"/>
    </row>
    <row r="84" spans="2:20">
      <c r="B84" s="246"/>
      <c r="C84" s="226"/>
      <c r="D84" s="226"/>
      <c r="E84" s="226"/>
      <c r="F84" s="226"/>
      <c r="G84" s="226"/>
      <c r="H84" s="250"/>
      <c r="I84" s="245"/>
      <c r="J84" s="226"/>
      <c r="K84" s="226"/>
      <c r="L84" s="226"/>
      <c r="M84" s="226"/>
      <c r="N84" s="226"/>
      <c r="O84" s="226"/>
      <c r="P84" s="243"/>
      <c r="T84" s="235"/>
    </row>
    <row r="85" spans="2:20">
      <c r="B85" s="246" t="s">
        <v>1118</v>
      </c>
      <c r="C85" s="226" t="s">
        <v>1099</v>
      </c>
      <c r="D85" s="226" t="s">
        <v>1114</v>
      </c>
      <c r="E85" s="226">
        <v>11.5</v>
      </c>
      <c r="F85" s="226">
        <v>86</v>
      </c>
      <c r="G85" s="226">
        <v>32</v>
      </c>
      <c r="H85" s="250">
        <f t="shared" ref="H85:H90" si="4">tonprice/F85</f>
        <v>2808.4351596373672</v>
      </c>
      <c r="I85" s="245">
        <v>2808.4351596373672</v>
      </c>
      <c r="J85" s="226"/>
      <c r="K85" s="226"/>
      <c r="L85" s="226"/>
      <c r="M85" s="226"/>
      <c r="N85" s="226"/>
      <c r="O85" s="226"/>
      <c r="P85" s="243"/>
      <c r="T85" s="235"/>
    </row>
    <row r="86" spans="2:20">
      <c r="B86" s="246"/>
      <c r="C86" s="226" t="s">
        <v>1100</v>
      </c>
      <c r="D86" s="226" t="s">
        <v>1114</v>
      </c>
      <c r="E86" s="226">
        <v>13.4</v>
      </c>
      <c r="F86" s="226">
        <v>74</v>
      </c>
      <c r="G86" s="226">
        <v>32</v>
      </c>
      <c r="H86" s="250">
        <f t="shared" si="4"/>
        <v>3263.8570774163995</v>
      </c>
      <c r="I86" s="245">
        <v>3263.8570774163995</v>
      </c>
      <c r="J86" s="226"/>
      <c r="K86" s="226"/>
      <c r="L86" s="226"/>
      <c r="M86" s="226"/>
      <c r="N86" s="226"/>
      <c r="O86" s="226"/>
      <c r="P86" s="243"/>
      <c r="T86" s="235"/>
    </row>
    <row r="87" spans="2:20">
      <c r="B87" s="246"/>
      <c r="C87" s="226" t="s">
        <v>1101</v>
      </c>
      <c r="D87" s="226" t="s">
        <v>1114</v>
      </c>
      <c r="E87" s="226">
        <v>15.15</v>
      </c>
      <c r="F87" s="226">
        <v>66</v>
      </c>
      <c r="G87" s="226">
        <v>32</v>
      </c>
      <c r="H87" s="250">
        <f t="shared" si="4"/>
        <v>3659.476117103236</v>
      </c>
      <c r="I87" s="245">
        <v>3659.476117103236</v>
      </c>
      <c r="J87" s="226"/>
      <c r="K87" s="226"/>
      <c r="L87" s="226"/>
      <c r="M87" s="226"/>
      <c r="N87" s="226"/>
      <c r="O87" s="226"/>
      <c r="P87" s="243"/>
      <c r="T87" s="235"/>
    </row>
    <row r="88" spans="2:20">
      <c r="B88" s="246"/>
      <c r="C88" s="226" t="s">
        <v>1102</v>
      </c>
      <c r="D88" s="226" t="s">
        <v>1114</v>
      </c>
      <c r="E88" s="226">
        <v>17.2</v>
      </c>
      <c r="F88" s="226">
        <v>58</v>
      </c>
      <c r="G88" s="226">
        <v>32</v>
      </c>
      <c r="H88" s="250">
        <f t="shared" si="4"/>
        <v>4164.2314436002334</v>
      </c>
      <c r="I88" s="245">
        <v>4164.2314436002334</v>
      </c>
      <c r="J88" s="226"/>
      <c r="K88" s="226"/>
      <c r="L88" s="226"/>
      <c r="M88" s="226"/>
      <c r="N88" s="226"/>
      <c r="O88" s="226"/>
      <c r="P88" s="243"/>
      <c r="T88" s="235"/>
    </row>
    <row r="89" spans="2:20">
      <c r="B89" s="246"/>
      <c r="C89" s="226" t="s">
        <v>1103</v>
      </c>
      <c r="D89" s="226" t="s">
        <v>1114</v>
      </c>
      <c r="E89" s="226">
        <v>17.8</v>
      </c>
      <c r="F89" s="226">
        <v>56</v>
      </c>
      <c r="G89" s="226">
        <v>32</v>
      </c>
      <c r="H89" s="250">
        <f t="shared" si="4"/>
        <v>4312.9539951573852</v>
      </c>
      <c r="I89" s="245">
        <v>4312.9539951573852</v>
      </c>
      <c r="J89" s="226"/>
      <c r="K89" s="226"/>
      <c r="L89" s="226"/>
      <c r="M89" s="226"/>
      <c r="N89" s="226"/>
      <c r="O89" s="226"/>
      <c r="P89" s="243"/>
      <c r="T89" s="235"/>
    </row>
    <row r="90" spans="2:20">
      <c r="B90" s="246"/>
      <c r="C90" s="226" t="s">
        <v>1106</v>
      </c>
      <c r="D90" s="226" t="s">
        <v>1114</v>
      </c>
      <c r="E90" s="226">
        <v>19.2</v>
      </c>
      <c r="F90" s="226">
        <v>52</v>
      </c>
      <c r="G90" s="226">
        <v>32</v>
      </c>
      <c r="H90" s="250">
        <f t="shared" si="4"/>
        <v>4644.7196870925682</v>
      </c>
      <c r="I90" s="245">
        <v>4644.7196870925682</v>
      </c>
      <c r="J90" s="226"/>
      <c r="K90" s="226"/>
      <c r="L90" s="226"/>
      <c r="M90" s="226"/>
      <c r="N90" s="226"/>
      <c r="O90" s="226"/>
      <c r="P90" s="243"/>
      <c r="T90" s="235"/>
    </row>
    <row r="91" spans="2:20">
      <c r="B91" s="246"/>
      <c r="C91" s="226"/>
      <c r="D91" s="226"/>
      <c r="E91" s="226"/>
      <c r="F91" s="226"/>
      <c r="G91" s="226"/>
      <c r="H91" s="250"/>
      <c r="I91" s="245"/>
      <c r="J91" s="226"/>
      <c r="K91" s="226"/>
      <c r="L91" s="226"/>
      <c r="M91" s="226"/>
      <c r="N91" s="226"/>
      <c r="O91" s="226"/>
      <c r="P91" s="243"/>
      <c r="T91" s="235"/>
    </row>
    <row r="92" spans="2:20">
      <c r="B92" s="246" t="s">
        <v>1119</v>
      </c>
      <c r="C92" s="226" t="s">
        <v>1106</v>
      </c>
      <c r="D92" s="226" t="s">
        <v>1114</v>
      </c>
      <c r="E92" s="226">
        <v>17</v>
      </c>
      <c r="F92" s="226">
        <v>58</v>
      </c>
      <c r="G92" s="226">
        <v>48</v>
      </c>
      <c r="H92" s="250">
        <f>tonprice/F92</f>
        <v>4164.2314436002334</v>
      </c>
      <c r="I92" s="245">
        <v>4164.2314436002334</v>
      </c>
      <c r="J92" s="226"/>
      <c r="K92" s="226"/>
      <c r="L92" s="226"/>
      <c r="M92" s="226"/>
      <c r="N92" s="226"/>
      <c r="O92" s="226"/>
      <c r="P92" s="243"/>
      <c r="T92" s="235"/>
    </row>
    <row r="93" spans="2:20">
      <c r="B93" s="246"/>
      <c r="C93" s="226"/>
      <c r="D93" s="226"/>
      <c r="E93" s="226"/>
      <c r="F93" s="226"/>
      <c r="G93" s="226"/>
      <c r="H93" s="250"/>
      <c r="I93" s="245"/>
      <c r="J93" s="226"/>
      <c r="K93" s="226"/>
      <c r="L93" s="226"/>
      <c r="M93" s="226"/>
      <c r="N93" s="226"/>
      <c r="O93" s="226"/>
      <c r="P93" s="243"/>
      <c r="T93" s="235"/>
    </row>
    <row r="94" spans="2:20">
      <c r="B94" s="246" t="s">
        <v>1120</v>
      </c>
      <c r="C94" s="226" t="s">
        <v>1099</v>
      </c>
      <c r="D94" s="226" t="s">
        <v>1114</v>
      </c>
      <c r="E94" s="226">
        <v>10</v>
      </c>
      <c r="F94" s="226">
        <v>100</v>
      </c>
      <c r="G94" s="226">
        <v>36</v>
      </c>
      <c r="H94" s="250">
        <f t="shared" ref="H94:H99" si="5">tonprice/F94</f>
        <v>2415.2542372881358</v>
      </c>
      <c r="I94" s="245">
        <v>2415.2542372881358</v>
      </c>
      <c r="J94" s="226"/>
      <c r="K94" s="226"/>
      <c r="L94" s="226"/>
      <c r="M94" s="226"/>
      <c r="N94" s="226"/>
      <c r="O94" s="226"/>
      <c r="P94" s="243"/>
      <c r="T94" s="235"/>
    </row>
    <row r="95" spans="2:20">
      <c r="B95" s="246"/>
      <c r="C95" s="226" t="s">
        <v>1100</v>
      </c>
      <c r="D95" s="226" t="s">
        <v>1114</v>
      </c>
      <c r="E95" s="226">
        <v>11.667</v>
      </c>
      <c r="F95" s="226">
        <v>85</v>
      </c>
      <c r="G95" s="226">
        <v>36</v>
      </c>
      <c r="H95" s="250">
        <f t="shared" si="5"/>
        <v>2841.4755732801596</v>
      </c>
      <c r="I95" s="245">
        <v>2841.4755732801596</v>
      </c>
      <c r="J95" s="226"/>
      <c r="K95" s="226"/>
      <c r="L95" s="226"/>
      <c r="M95" s="226"/>
      <c r="N95" s="226"/>
      <c r="O95" s="226"/>
      <c r="P95" s="243"/>
      <c r="T95" s="235"/>
    </row>
    <row r="96" spans="2:20">
      <c r="B96" s="246"/>
      <c r="C96" s="226" t="s">
        <v>1101</v>
      </c>
      <c r="D96" s="226" t="s">
        <v>1114</v>
      </c>
      <c r="E96" s="226">
        <v>13.1</v>
      </c>
      <c r="F96" s="226">
        <v>75</v>
      </c>
      <c r="G96" s="226">
        <v>36</v>
      </c>
      <c r="H96" s="250">
        <f t="shared" si="5"/>
        <v>3220.3389830508477</v>
      </c>
      <c r="I96" s="245">
        <v>3220.3389830508477</v>
      </c>
      <c r="J96" s="226"/>
      <c r="K96" s="226"/>
      <c r="L96" s="226"/>
      <c r="M96" s="226"/>
      <c r="N96" s="226"/>
      <c r="O96" s="226"/>
      <c r="P96" s="243"/>
      <c r="T96" s="235"/>
    </row>
    <row r="97" spans="2:20">
      <c r="B97" s="246"/>
      <c r="C97" s="226" t="s">
        <v>1102</v>
      </c>
      <c r="D97" s="226" t="s">
        <v>1114</v>
      </c>
      <c r="E97" s="226">
        <v>14.9</v>
      </c>
      <c r="F97" s="226">
        <v>67</v>
      </c>
      <c r="G97" s="226">
        <v>36</v>
      </c>
      <c r="H97" s="250">
        <f t="shared" si="5"/>
        <v>3604.8570705793068</v>
      </c>
      <c r="I97" s="245">
        <v>3604.8570705793068</v>
      </c>
      <c r="J97" s="226"/>
      <c r="K97" s="226"/>
      <c r="L97" s="226"/>
      <c r="M97" s="226"/>
      <c r="N97" s="226"/>
      <c r="O97" s="226"/>
      <c r="P97" s="243"/>
      <c r="T97" s="235"/>
    </row>
    <row r="98" spans="2:20">
      <c r="B98" s="246"/>
      <c r="C98" s="226" t="s">
        <v>1103</v>
      </c>
      <c r="D98" s="226" t="s">
        <v>1114</v>
      </c>
      <c r="E98" s="226">
        <v>16.611000000000001</v>
      </c>
      <c r="F98" s="226">
        <v>60</v>
      </c>
      <c r="G98" s="226">
        <v>36</v>
      </c>
      <c r="H98" s="250">
        <f t="shared" si="5"/>
        <v>4025.4237288135596</v>
      </c>
      <c r="I98" s="245">
        <v>4025.4237288135596</v>
      </c>
      <c r="J98" s="226"/>
      <c r="K98" s="226"/>
      <c r="L98" s="226"/>
      <c r="M98" s="226"/>
      <c r="N98" s="226"/>
      <c r="O98" s="226"/>
      <c r="P98" s="243"/>
      <c r="T98" s="235"/>
    </row>
    <row r="99" spans="2:20">
      <c r="B99" s="246"/>
      <c r="C99" s="226" t="s">
        <v>1106</v>
      </c>
      <c r="D99" s="226" t="s">
        <v>1114</v>
      </c>
      <c r="E99" s="226">
        <v>16.600000000000001</v>
      </c>
      <c r="F99" s="226">
        <v>57</v>
      </c>
      <c r="G99" s="226">
        <v>36</v>
      </c>
      <c r="H99" s="250">
        <f t="shared" si="5"/>
        <v>4237.2881355932204</v>
      </c>
      <c r="I99" s="245">
        <v>4237.2881355932204</v>
      </c>
      <c r="J99" s="226"/>
      <c r="K99" s="226"/>
      <c r="L99" s="226"/>
      <c r="M99" s="226"/>
      <c r="N99" s="226"/>
      <c r="O99" s="226"/>
      <c r="P99" s="243"/>
      <c r="T99" s="235"/>
    </row>
    <row r="100" spans="2:20">
      <c r="B100" s="246"/>
      <c r="C100" s="226"/>
      <c r="D100" s="226"/>
      <c r="E100" s="226"/>
      <c r="F100" s="226"/>
      <c r="G100" s="226"/>
      <c r="H100" s="250"/>
      <c r="I100" s="245"/>
      <c r="J100" s="226"/>
      <c r="K100" s="226"/>
      <c r="L100" s="226"/>
      <c r="M100" s="226"/>
      <c r="N100" s="226"/>
      <c r="O100" s="226"/>
      <c r="P100" s="243"/>
      <c r="T100" s="235"/>
    </row>
    <row r="101" spans="2:20">
      <c r="B101" s="246" t="s">
        <v>1121</v>
      </c>
      <c r="C101" s="226" t="s">
        <v>1101</v>
      </c>
      <c r="D101" s="226" t="s">
        <v>1114</v>
      </c>
      <c r="E101" s="226">
        <v>20.5</v>
      </c>
      <c r="F101" s="226">
        <v>48</v>
      </c>
      <c r="G101" s="226">
        <v>18</v>
      </c>
      <c r="H101" s="250">
        <f>tonprice/F101</f>
        <v>5031.7796610169489</v>
      </c>
      <c r="I101" s="245">
        <v>5031.7796610169489</v>
      </c>
      <c r="J101" s="226"/>
      <c r="K101" s="226"/>
      <c r="L101" s="226"/>
      <c r="M101" s="226"/>
      <c r="N101" s="226"/>
      <c r="O101" s="226"/>
      <c r="P101" s="243"/>
      <c r="T101" s="235"/>
    </row>
    <row r="102" spans="2:20">
      <c r="B102" s="246"/>
      <c r="C102" s="226" t="s">
        <v>1106</v>
      </c>
      <c r="D102" s="226" t="s">
        <v>1114</v>
      </c>
      <c r="E102" s="226">
        <v>25.6</v>
      </c>
      <c r="F102" s="226">
        <v>39</v>
      </c>
      <c r="G102" s="226">
        <v>18</v>
      </c>
      <c r="H102" s="250">
        <f>tonprice/F102</f>
        <v>6192.9595827900912</v>
      </c>
      <c r="I102" s="245">
        <v>6192.9595827900912</v>
      </c>
      <c r="J102" s="226"/>
      <c r="K102" s="226"/>
      <c r="L102" s="226"/>
      <c r="M102" s="226"/>
      <c r="N102" s="226"/>
      <c r="O102" s="226"/>
      <c r="P102" s="243"/>
      <c r="T102" s="235"/>
    </row>
    <row r="103" spans="2:20">
      <c r="B103" s="246"/>
      <c r="C103" s="226"/>
      <c r="D103" s="226"/>
      <c r="E103" s="226"/>
      <c r="F103" s="226"/>
      <c r="G103" s="226"/>
      <c r="H103" s="250"/>
      <c r="I103" s="245"/>
      <c r="J103" s="226"/>
      <c r="K103" s="226"/>
      <c r="L103" s="226"/>
      <c r="M103" s="226"/>
      <c r="N103" s="226"/>
      <c r="O103" s="226"/>
      <c r="P103" s="243"/>
      <c r="T103" s="235"/>
    </row>
    <row r="104" spans="2:20">
      <c r="B104" s="246" t="s">
        <v>1122</v>
      </c>
      <c r="C104" s="226" t="s">
        <v>1106</v>
      </c>
      <c r="D104" s="226" t="s">
        <v>1114</v>
      </c>
      <c r="E104" s="226">
        <v>38.6</v>
      </c>
      <c r="F104" s="226">
        <v>25</v>
      </c>
      <c r="G104" s="226">
        <v>12</v>
      </c>
      <c r="H104" s="250">
        <f>tonprice/F104</f>
        <v>9661.016949152543</v>
      </c>
      <c r="I104" s="251">
        <v>9661.016949152543</v>
      </c>
      <c r="J104" s="226"/>
      <c r="K104" s="226"/>
      <c r="L104" s="226"/>
      <c r="M104" s="226"/>
      <c r="N104" s="226"/>
      <c r="O104" s="226"/>
      <c r="P104" s="243"/>
      <c r="T104" s="235"/>
    </row>
    <row r="105" spans="2:20">
      <c r="B105" s="236"/>
      <c r="C105" s="237"/>
      <c r="D105" s="240"/>
      <c r="E105" s="237"/>
      <c r="F105" s="237"/>
      <c r="G105" s="237"/>
      <c r="H105" s="252"/>
      <c r="I105" s="253"/>
      <c r="J105" s="237"/>
      <c r="K105" s="237"/>
      <c r="L105" s="240"/>
      <c r="M105" s="237"/>
      <c r="N105" s="237"/>
      <c r="O105" s="237"/>
      <c r="P105" s="237"/>
      <c r="Q105" s="237"/>
      <c r="R105" s="237"/>
      <c r="S105" s="237"/>
      <c r="T105" s="241"/>
    </row>
    <row r="106" spans="2:20">
      <c r="H106" s="226"/>
      <c r="L106" s="226"/>
    </row>
    <row r="107" spans="2:20">
      <c r="H107" s="226"/>
      <c r="L107" s="226"/>
    </row>
    <row r="108" spans="2:20">
      <c r="H108" s="226"/>
      <c r="L108" s="226"/>
    </row>
    <row r="109" spans="2:20">
      <c r="H109" s="226"/>
      <c r="L109" s="226"/>
    </row>
    <row r="110" spans="2:20">
      <c r="H110" s="226"/>
      <c r="L110" s="226"/>
    </row>
    <row r="111" spans="2:20">
      <c r="H111" s="226"/>
      <c r="L111" s="226"/>
    </row>
    <row r="112" spans="2:20">
      <c r="H112" s="226"/>
      <c r="L112" s="226"/>
    </row>
    <row r="113" spans="8:12">
      <c r="H113" s="226"/>
      <c r="L113" s="226"/>
    </row>
    <row r="114" spans="8:12">
      <c r="H114" s="226"/>
      <c r="L114" s="226"/>
    </row>
    <row r="115" spans="8:12">
      <c r="H115" s="226"/>
      <c r="L115" s="226"/>
    </row>
    <row r="116" spans="8:12">
      <c r="H116" s="226"/>
      <c r="L116" s="226"/>
    </row>
    <row r="117" spans="8:12">
      <c r="H117" s="226"/>
      <c r="L117" s="226"/>
    </row>
    <row r="118" spans="8:12">
      <c r="H118" s="226"/>
      <c r="L118" s="226"/>
    </row>
    <row r="119" spans="8:12">
      <c r="H119" s="226"/>
      <c r="L119" s="226"/>
    </row>
    <row r="120" spans="8:12">
      <c r="H120" s="226"/>
      <c r="L120" s="226"/>
    </row>
    <row r="121" spans="8:12">
      <c r="H121" s="226"/>
      <c r="L121" s="226"/>
    </row>
    <row r="122" spans="8:12">
      <c r="H122" s="226"/>
      <c r="L122" s="226"/>
    </row>
    <row r="123" spans="8:12">
      <c r="H123" s="226"/>
      <c r="L123" s="226"/>
    </row>
    <row r="124" spans="8:12">
      <c r="H124" s="226"/>
      <c r="L124" s="226"/>
    </row>
    <row r="125" spans="8:12">
      <c r="H125" s="226"/>
      <c r="L125" s="226"/>
    </row>
    <row r="126" spans="8:12">
      <c r="H126" s="226"/>
      <c r="L126" s="226"/>
    </row>
    <row r="127" spans="8:12">
      <c r="H127" s="226"/>
      <c r="L127" s="226"/>
    </row>
    <row r="128" spans="8:12">
      <c r="H128" s="226"/>
      <c r="L128" s="226"/>
    </row>
    <row r="129" spans="8:12">
      <c r="H129" s="226"/>
      <c r="L129" s="226"/>
    </row>
    <row r="130" spans="8:12">
      <c r="H130" s="226"/>
      <c r="L130" s="226"/>
    </row>
    <row r="131" spans="8:12">
      <c r="H131" s="226"/>
      <c r="L131" s="226"/>
    </row>
    <row r="132" spans="8:12">
      <c r="H132" s="226"/>
      <c r="L132" s="226"/>
    </row>
    <row r="133" spans="8:12">
      <c r="H133" s="226"/>
      <c r="L133" s="226"/>
    </row>
    <row r="134" spans="8:12">
      <c r="H134" s="226"/>
      <c r="L134" s="226"/>
    </row>
    <row r="135" spans="8:12">
      <c r="H135" s="226"/>
      <c r="L135" s="226"/>
    </row>
    <row r="136" spans="8:12">
      <c r="H136" s="226"/>
      <c r="L136" s="226"/>
    </row>
    <row r="137" spans="8:12">
      <c r="H137" s="226"/>
      <c r="L137" s="226"/>
    </row>
    <row r="138" spans="8:12">
      <c r="H138" s="226"/>
      <c r="L138" s="226"/>
    </row>
    <row r="139" spans="8:12">
      <c r="H139" s="226"/>
      <c r="L139" s="226"/>
    </row>
    <row r="140" spans="8:12">
      <c r="H140" s="226"/>
      <c r="L140" s="226"/>
    </row>
    <row r="141" spans="8:12">
      <c r="H141" s="226"/>
      <c r="L141" s="226"/>
    </row>
    <row r="142" spans="8:12">
      <c r="H142" s="226"/>
      <c r="L142" s="226"/>
    </row>
    <row r="143" spans="8:12">
      <c r="H143" s="226"/>
      <c r="L143" s="226"/>
    </row>
    <row r="144" spans="8:12">
      <c r="H144" s="226"/>
      <c r="L144" s="226"/>
    </row>
    <row r="145" spans="8:12">
      <c r="H145" s="226"/>
      <c r="L145" s="226"/>
    </row>
    <row r="146" spans="8:12">
      <c r="H146" s="226"/>
      <c r="L146" s="226"/>
    </row>
    <row r="147" spans="8:12">
      <c r="H147" s="226"/>
      <c r="L147" s="226"/>
    </row>
    <row r="148" spans="8:12">
      <c r="H148" s="226"/>
      <c r="L148" s="226"/>
    </row>
    <row r="149" spans="8:12">
      <c r="H149" s="226"/>
      <c r="L149" s="226"/>
    </row>
    <row r="150" spans="8:12">
      <c r="H150" s="226"/>
      <c r="L150" s="226"/>
    </row>
    <row r="151" spans="8:12">
      <c r="H151" s="226"/>
      <c r="L151" s="226"/>
    </row>
    <row r="152" spans="8:12">
      <c r="H152" s="226"/>
      <c r="L152" s="226"/>
    </row>
    <row r="153" spans="8:12">
      <c r="H153" s="226"/>
      <c r="L153" s="226"/>
    </row>
    <row r="154" spans="8:12">
      <c r="H154" s="226"/>
      <c r="L154" s="226"/>
    </row>
    <row r="155" spans="8:12">
      <c r="H155" s="226"/>
      <c r="L155" s="226"/>
    </row>
    <row r="156" spans="8:12">
      <c r="H156" s="226"/>
      <c r="L156" s="226"/>
    </row>
    <row r="157" spans="8:12">
      <c r="H157" s="226"/>
      <c r="L157" s="226"/>
    </row>
    <row r="158" spans="8:12">
      <c r="H158" s="226"/>
      <c r="L158" s="226"/>
    </row>
    <row r="159" spans="8:12">
      <c r="H159" s="226"/>
      <c r="L159" s="226"/>
    </row>
    <row r="160" spans="8:12">
      <c r="H160" s="226"/>
      <c r="L160" s="226"/>
    </row>
    <row r="161" spans="8:12">
      <c r="H161" s="226"/>
      <c r="L161" s="226"/>
    </row>
    <row r="162" spans="8:12">
      <c r="H162" s="226"/>
      <c r="L162" s="226"/>
    </row>
    <row r="163" spans="8:12">
      <c r="H163" s="226"/>
      <c r="L163" s="226"/>
    </row>
    <row r="164" spans="8:12">
      <c r="H164" s="226"/>
      <c r="L164" s="226"/>
    </row>
    <row r="165" spans="8:12">
      <c r="H165" s="226"/>
      <c r="L165" s="226"/>
    </row>
    <row r="166" spans="8:12">
      <c r="H166" s="226"/>
      <c r="L166" s="226"/>
    </row>
    <row r="167" spans="8:12">
      <c r="H167" s="226"/>
      <c r="L167" s="226"/>
    </row>
    <row r="168" spans="8:12">
      <c r="H168" s="226"/>
      <c r="L168" s="226"/>
    </row>
    <row r="169" spans="8:12">
      <c r="H169" s="226"/>
      <c r="L169" s="226"/>
    </row>
    <row r="170" spans="8:12">
      <c r="H170" s="226"/>
      <c r="L170" s="226"/>
    </row>
    <row r="171" spans="8:12">
      <c r="H171" s="226"/>
      <c r="L171" s="226"/>
    </row>
    <row r="172" spans="8:12">
      <c r="H172" s="226"/>
      <c r="L172" s="226"/>
    </row>
    <row r="173" spans="8:12">
      <c r="H173" s="226"/>
      <c r="L173" s="226"/>
    </row>
    <row r="174" spans="8:12">
      <c r="H174" s="226"/>
      <c r="L174" s="226"/>
    </row>
    <row r="175" spans="8:12">
      <c r="H175" s="226"/>
      <c r="L175" s="226"/>
    </row>
    <row r="176" spans="8:12">
      <c r="H176" s="226"/>
      <c r="L176" s="226"/>
    </row>
    <row r="177" spans="8:12">
      <c r="H177" s="226"/>
      <c r="L177" s="226"/>
    </row>
    <row r="178" spans="8:12">
      <c r="H178" s="226"/>
      <c r="L178" s="226"/>
    </row>
    <row r="179" spans="8:12">
      <c r="H179" s="226"/>
      <c r="L179" s="226"/>
    </row>
    <row r="180" spans="8:12">
      <c r="H180" s="226"/>
      <c r="L180" s="226"/>
    </row>
    <row r="181" spans="8:12">
      <c r="H181" s="226"/>
      <c r="L181" s="226"/>
    </row>
    <row r="182" spans="8:12">
      <c r="H182" s="226"/>
      <c r="L182" s="226"/>
    </row>
    <row r="183" spans="8:12">
      <c r="H183" s="226"/>
      <c r="L183" s="226"/>
    </row>
    <row r="184" spans="8:12">
      <c r="H184" s="226"/>
      <c r="L184" s="226"/>
    </row>
    <row r="185" spans="8:12">
      <c r="H185" s="226"/>
      <c r="L185" s="226"/>
    </row>
    <row r="186" spans="8:12">
      <c r="H186" s="226"/>
      <c r="L186" s="226"/>
    </row>
    <row r="187" spans="8:12">
      <c r="H187" s="226"/>
      <c r="L187" s="226"/>
    </row>
    <row r="188" spans="8:12">
      <c r="H188" s="226"/>
      <c r="L188" s="226"/>
    </row>
    <row r="189" spans="8:12">
      <c r="H189" s="226"/>
      <c r="L189" s="226"/>
    </row>
    <row r="190" spans="8:12">
      <c r="H190" s="226"/>
      <c r="L190" s="226"/>
    </row>
    <row r="191" spans="8:12">
      <c r="H191" s="226"/>
      <c r="L191" s="226"/>
    </row>
    <row r="192" spans="8:12">
      <c r="H192" s="226"/>
      <c r="L192" s="226"/>
    </row>
    <row r="193" spans="8:12">
      <c r="H193" s="226"/>
      <c r="L193" s="226"/>
    </row>
    <row r="194" spans="8:12">
      <c r="H194" s="226"/>
      <c r="L194" s="226"/>
    </row>
    <row r="195" spans="8:12">
      <c r="H195" s="226"/>
      <c r="L195" s="226"/>
    </row>
    <row r="196" spans="8:12">
      <c r="H196" s="226"/>
      <c r="L196" s="226"/>
    </row>
    <row r="197" spans="8:12">
      <c r="H197" s="226"/>
      <c r="L197" s="226"/>
    </row>
    <row r="198" spans="8:12">
      <c r="H198" s="226"/>
      <c r="L198" s="226"/>
    </row>
    <row r="199" spans="8:12">
      <c r="H199" s="226"/>
      <c r="L199" s="226"/>
    </row>
    <row r="200" spans="8:12">
      <c r="H200" s="226"/>
      <c r="L200" s="226"/>
    </row>
    <row r="201" spans="8:12">
      <c r="H201" s="226"/>
      <c r="L201" s="226"/>
    </row>
    <row r="202" spans="8:12">
      <c r="H202" s="226"/>
      <c r="L202" s="226"/>
    </row>
    <row r="203" spans="8:12">
      <c r="H203" s="226"/>
      <c r="L203" s="226"/>
    </row>
    <row r="204" spans="8:12">
      <c r="H204" s="226"/>
      <c r="L204" s="226"/>
    </row>
    <row r="205" spans="8:12">
      <c r="H205" s="226"/>
      <c r="L205" s="226"/>
    </row>
    <row r="206" spans="8:12">
      <c r="H206" s="226"/>
      <c r="L206" s="226"/>
    </row>
    <row r="207" spans="8:12">
      <c r="H207" s="226"/>
      <c r="L207" s="226"/>
    </row>
    <row r="208" spans="8:12">
      <c r="H208" s="226"/>
      <c r="L208" s="226"/>
    </row>
    <row r="209" spans="8:12">
      <c r="H209" s="226"/>
      <c r="L209" s="226"/>
    </row>
    <row r="210" spans="8:12">
      <c r="H210" s="226"/>
      <c r="L210" s="226"/>
    </row>
    <row r="211" spans="8:12">
      <c r="H211" s="226"/>
      <c r="L211" s="226"/>
    </row>
    <row r="212" spans="8:12">
      <c r="H212" s="226"/>
      <c r="L212" s="226"/>
    </row>
    <row r="213" spans="8:12">
      <c r="H213" s="226"/>
      <c r="L213" s="226"/>
    </row>
    <row r="214" spans="8:12">
      <c r="H214" s="226"/>
      <c r="L214" s="226"/>
    </row>
    <row r="215" spans="8:12">
      <c r="H215" s="226"/>
      <c r="L215" s="226"/>
    </row>
    <row r="216" spans="8:12">
      <c r="H216" s="226"/>
      <c r="L216" s="226"/>
    </row>
    <row r="217" spans="8:12">
      <c r="H217" s="226"/>
      <c r="L217" s="226"/>
    </row>
    <row r="218" spans="8:12">
      <c r="H218" s="226"/>
      <c r="L218" s="226"/>
    </row>
    <row r="219" spans="8:12">
      <c r="H219" s="226"/>
      <c r="L219" s="226"/>
    </row>
    <row r="220" spans="8:12">
      <c r="H220" s="226"/>
      <c r="L220" s="226"/>
    </row>
    <row r="221" spans="8:12">
      <c r="H221" s="226"/>
      <c r="L221" s="226"/>
    </row>
    <row r="222" spans="8:12">
      <c r="H222" s="226"/>
      <c r="L222" s="226"/>
    </row>
    <row r="223" spans="8:12">
      <c r="H223" s="226"/>
      <c r="L223" s="226"/>
    </row>
    <row r="224" spans="8:12">
      <c r="H224" s="226"/>
      <c r="L224" s="226"/>
    </row>
    <row r="225" spans="8:12">
      <c r="H225" s="226"/>
      <c r="L225" s="226"/>
    </row>
    <row r="226" spans="8:12">
      <c r="H226" s="226"/>
      <c r="L226" s="226"/>
    </row>
    <row r="227" spans="8:12">
      <c r="H227" s="226"/>
      <c r="L227" s="226"/>
    </row>
    <row r="228" spans="8:12">
      <c r="H228" s="226"/>
      <c r="L228" s="226"/>
    </row>
    <row r="229" spans="8:12">
      <c r="H229" s="226"/>
      <c r="L229" s="226"/>
    </row>
    <row r="230" spans="8:12">
      <c r="H230" s="226"/>
      <c r="L230" s="226"/>
    </row>
    <row r="231" spans="8:12">
      <c r="H231" s="226"/>
      <c r="L231" s="226"/>
    </row>
    <row r="232" spans="8:12">
      <c r="H232" s="226"/>
      <c r="L232" s="226"/>
    </row>
    <row r="233" spans="8:12">
      <c r="H233" s="226"/>
      <c r="L233" s="226"/>
    </row>
    <row r="234" spans="8:12">
      <c r="H234" s="226"/>
      <c r="L234" s="226"/>
    </row>
    <row r="235" spans="8:12">
      <c r="H235" s="226"/>
      <c r="L235" s="226"/>
    </row>
    <row r="236" spans="8:12">
      <c r="H236" s="226"/>
      <c r="L236" s="226"/>
    </row>
    <row r="237" spans="8:12">
      <c r="H237" s="226"/>
      <c r="L237" s="226"/>
    </row>
    <row r="238" spans="8:12">
      <c r="H238" s="226"/>
      <c r="L238" s="226"/>
    </row>
    <row r="239" spans="8:12">
      <c r="H239" s="226"/>
      <c r="L239" s="226"/>
    </row>
    <row r="240" spans="8:12">
      <c r="H240" s="226"/>
      <c r="L240" s="226"/>
    </row>
    <row r="241" spans="8:12">
      <c r="H241" s="226"/>
      <c r="L241" s="226"/>
    </row>
    <row r="242" spans="8:12">
      <c r="H242" s="226"/>
      <c r="L242" s="226"/>
    </row>
    <row r="243" spans="8:12">
      <c r="H243" s="226"/>
      <c r="L243" s="226"/>
    </row>
    <row r="244" spans="8:12">
      <c r="H244" s="226"/>
      <c r="L244" s="226"/>
    </row>
    <row r="245" spans="8:12">
      <c r="H245" s="226"/>
      <c r="L245" s="226"/>
    </row>
    <row r="246" spans="8:12">
      <c r="H246" s="226"/>
      <c r="L246" s="226"/>
    </row>
    <row r="247" spans="8:12">
      <c r="H247" s="226"/>
      <c r="L247" s="226"/>
    </row>
    <row r="248" spans="8:12">
      <c r="H248" s="226"/>
      <c r="L248" s="226"/>
    </row>
    <row r="249" spans="8:12">
      <c r="H249" s="226"/>
      <c r="L249" s="226"/>
    </row>
    <row r="250" spans="8:12">
      <c r="H250" s="226"/>
      <c r="L250" s="226"/>
    </row>
    <row r="251" spans="8:12">
      <c r="H251" s="226"/>
      <c r="L251" s="226"/>
    </row>
    <row r="252" spans="8:12">
      <c r="H252" s="226"/>
      <c r="L252" s="226"/>
    </row>
    <row r="253" spans="8:12">
      <c r="H253" s="226"/>
      <c r="L253" s="226"/>
    </row>
    <row r="254" spans="8:12">
      <c r="H254" s="226"/>
      <c r="L254" s="226"/>
    </row>
    <row r="255" spans="8:12">
      <c r="H255" s="226"/>
      <c r="L255" s="226"/>
    </row>
    <row r="256" spans="8:12">
      <c r="H256" s="226"/>
      <c r="L256" s="226"/>
    </row>
    <row r="257" spans="8:12">
      <c r="H257" s="226"/>
      <c r="L257" s="226"/>
    </row>
    <row r="258" spans="8:12">
      <c r="H258" s="226"/>
      <c r="L258" s="226"/>
    </row>
    <row r="259" spans="8:12">
      <c r="H259" s="226"/>
      <c r="L259" s="226"/>
    </row>
    <row r="260" spans="8:12">
      <c r="H260" s="226"/>
      <c r="L260" s="226"/>
    </row>
    <row r="261" spans="8:12">
      <c r="H261" s="226"/>
      <c r="L261" s="226"/>
    </row>
    <row r="262" spans="8:12">
      <c r="H262" s="226"/>
      <c r="L262" s="226"/>
    </row>
    <row r="263" spans="8:12">
      <c r="H263" s="226"/>
      <c r="L263" s="226"/>
    </row>
    <row r="264" spans="8:12">
      <c r="H264" s="226"/>
      <c r="L264" s="226"/>
    </row>
    <row r="265" spans="8:12">
      <c r="H265" s="226"/>
      <c r="L265" s="226"/>
    </row>
    <row r="266" spans="8:12">
      <c r="H266" s="226"/>
      <c r="L266" s="226"/>
    </row>
    <row r="267" spans="8:12">
      <c r="H267" s="226"/>
      <c r="L267" s="226"/>
    </row>
    <row r="268" spans="8:12">
      <c r="H268" s="226"/>
      <c r="L268" s="226"/>
    </row>
    <row r="269" spans="8:12">
      <c r="H269" s="226"/>
      <c r="L269" s="226"/>
    </row>
    <row r="270" spans="8:12">
      <c r="H270" s="226"/>
      <c r="L270" s="226"/>
    </row>
    <row r="271" spans="8:12">
      <c r="H271" s="226"/>
      <c r="L271" s="226"/>
    </row>
    <row r="272" spans="8:12">
      <c r="H272" s="226"/>
      <c r="L272" s="226"/>
    </row>
    <row r="273" spans="8:12">
      <c r="H273" s="226"/>
      <c r="L273" s="226"/>
    </row>
    <row r="274" spans="8:12">
      <c r="H274" s="226"/>
      <c r="L274" s="226"/>
    </row>
    <row r="275" spans="8:12">
      <c r="H275" s="226"/>
      <c r="L275" s="226"/>
    </row>
    <row r="276" spans="8:12">
      <c r="H276" s="226"/>
      <c r="L276" s="226"/>
    </row>
    <row r="277" spans="8:12">
      <c r="H277" s="226"/>
      <c r="L277" s="226"/>
    </row>
    <row r="278" spans="8:12">
      <c r="H278" s="226"/>
      <c r="L278" s="226"/>
    </row>
    <row r="279" spans="8:12">
      <c r="H279" s="226"/>
      <c r="L279" s="226"/>
    </row>
    <row r="280" spans="8:12">
      <c r="H280" s="226"/>
      <c r="L280" s="226"/>
    </row>
    <row r="281" spans="8:12">
      <c r="H281" s="226"/>
      <c r="L281" s="226"/>
    </row>
    <row r="282" spans="8:12">
      <c r="H282" s="226"/>
      <c r="L282" s="226"/>
    </row>
    <row r="283" spans="8:12">
      <c r="H283" s="226"/>
      <c r="L283" s="226"/>
    </row>
    <row r="284" spans="8:12">
      <c r="H284" s="226"/>
      <c r="L284" s="226"/>
    </row>
    <row r="285" spans="8:12">
      <c r="H285" s="226"/>
      <c r="L285" s="226"/>
    </row>
    <row r="286" spans="8:12">
      <c r="H286" s="226"/>
      <c r="L286" s="226"/>
    </row>
    <row r="287" spans="8:12">
      <c r="H287" s="226"/>
      <c r="L287" s="226"/>
    </row>
    <row r="288" spans="8:12">
      <c r="H288" s="226"/>
      <c r="L288" s="226"/>
    </row>
    <row r="289" spans="8:12">
      <c r="H289" s="226"/>
      <c r="L289" s="226"/>
    </row>
    <row r="290" spans="8:12">
      <c r="H290" s="226"/>
      <c r="L290" s="226"/>
    </row>
    <row r="291" spans="8:12">
      <c r="H291" s="226"/>
      <c r="L291" s="226"/>
    </row>
    <row r="292" spans="8:12">
      <c r="H292" s="226"/>
      <c r="L292" s="226"/>
    </row>
    <row r="293" spans="8:12">
      <c r="H293" s="226"/>
      <c r="L293" s="226"/>
    </row>
    <row r="294" spans="8:12">
      <c r="H294" s="226"/>
      <c r="L294" s="226"/>
    </row>
    <row r="295" spans="8:12">
      <c r="H295" s="226"/>
      <c r="L295" s="226"/>
    </row>
    <row r="296" spans="8:12">
      <c r="H296" s="226"/>
      <c r="L296" s="226"/>
    </row>
    <row r="297" spans="8:12">
      <c r="H297" s="226"/>
      <c r="L297" s="226"/>
    </row>
    <row r="298" spans="8:12">
      <c r="H298" s="226"/>
      <c r="L298" s="226"/>
    </row>
    <row r="299" spans="8:12">
      <c r="H299" s="226"/>
      <c r="L299" s="226"/>
    </row>
    <row r="300" spans="8:12">
      <c r="H300" s="226"/>
      <c r="L300" s="226"/>
    </row>
    <row r="301" spans="8:12">
      <c r="H301" s="226"/>
      <c r="L301" s="226"/>
    </row>
    <row r="302" spans="8:12">
      <c r="H302" s="226"/>
      <c r="L302" s="226"/>
    </row>
    <row r="303" spans="8:12">
      <c r="H303" s="226"/>
      <c r="L303" s="226"/>
    </row>
    <row r="304" spans="8:12">
      <c r="H304" s="226"/>
      <c r="L304" s="226"/>
    </row>
    <row r="305" spans="8:12">
      <c r="H305" s="226"/>
      <c r="L305" s="226"/>
    </row>
    <row r="306" spans="8:12">
      <c r="H306" s="226"/>
      <c r="L306" s="226"/>
    </row>
    <row r="307" spans="8:12">
      <c r="H307" s="226"/>
      <c r="L307" s="226"/>
    </row>
    <row r="308" spans="8:12">
      <c r="H308" s="226"/>
      <c r="L308" s="226"/>
    </row>
    <row r="309" spans="8:12">
      <c r="H309" s="226"/>
      <c r="L309" s="226"/>
    </row>
    <row r="310" spans="8:12">
      <c r="H310" s="226"/>
      <c r="L310" s="226"/>
    </row>
    <row r="311" spans="8:12">
      <c r="H311" s="226"/>
      <c r="L311" s="226"/>
    </row>
    <row r="312" spans="8:12">
      <c r="H312" s="226"/>
      <c r="L312" s="226"/>
    </row>
    <row r="313" spans="8:12">
      <c r="H313" s="226"/>
      <c r="L313" s="226"/>
    </row>
    <row r="314" spans="8:12">
      <c r="H314" s="226"/>
      <c r="L314" s="226"/>
    </row>
    <row r="315" spans="8:12">
      <c r="H315" s="226"/>
      <c r="L315" s="226"/>
    </row>
    <row r="316" spans="8:12">
      <c r="H316" s="226"/>
      <c r="L316" s="226"/>
    </row>
    <row r="317" spans="8:12">
      <c r="H317" s="226"/>
      <c r="L317" s="226"/>
    </row>
    <row r="318" spans="8:12">
      <c r="H318" s="226"/>
      <c r="L318" s="226"/>
    </row>
    <row r="319" spans="8:12">
      <c r="H319" s="226"/>
      <c r="L319" s="226"/>
    </row>
    <row r="320" spans="8:12">
      <c r="H320" s="226"/>
      <c r="L320" s="226"/>
    </row>
    <row r="321" spans="8:12">
      <c r="H321" s="226"/>
      <c r="L321" s="226"/>
    </row>
    <row r="322" spans="8:12">
      <c r="H322" s="226"/>
      <c r="L322" s="226"/>
    </row>
    <row r="323" spans="8:12">
      <c r="H323" s="226"/>
      <c r="L323" s="226"/>
    </row>
    <row r="324" spans="8:12">
      <c r="H324" s="226"/>
      <c r="L324" s="226"/>
    </row>
    <row r="325" spans="8:12">
      <c r="H325" s="226"/>
      <c r="L325" s="226"/>
    </row>
    <row r="326" spans="8:12">
      <c r="H326" s="226"/>
      <c r="L326" s="226"/>
    </row>
    <row r="327" spans="8:12">
      <c r="H327" s="226"/>
      <c r="L327" s="226"/>
    </row>
    <row r="328" spans="8:12">
      <c r="H328" s="226"/>
      <c r="L328" s="226"/>
    </row>
    <row r="329" spans="8:12">
      <c r="H329" s="226"/>
      <c r="L329" s="226"/>
    </row>
    <row r="330" spans="8:12">
      <c r="H330" s="226"/>
      <c r="L330" s="226"/>
    </row>
    <row r="331" spans="8:12">
      <c r="H331" s="226"/>
      <c r="L331" s="226"/>
    </row>
    <row r="332" spans="8:12">
      <c r="H332" s="226"/>
      <c r="L332" s="226"/>
    </row>
    <row r="333" spans="8:12">
      <c r="H333" s="226"/>
      <c r="L333" s="226"/>
    </row>
    <row r="334" spans="8:12">
      <c r="H334" s="226"/>
      <c r="L334" s="226"/>
    </row>
    <row r="335" spans="8:12">
      <c r="H335" s="226"/>
      <c r="L335" s="226"/>
    </row>
    <row r="336" spans="8:12">
      <c r="H336" s="226"/>
      <c r="L336" s="226"/>
    </row>
    <row r="337" spans="8:12">
      <c r="H337" s="226"/>
      <c r="L337" s="226"/>
    </row>
    <row r="338" spans="8:12">
      <c r="H338" s="226"/>
      <c r="L338" s="226"/>
    </row>
    <row r="339" spans="8:12">
      <c r="H339" s="226"/>
      <c r="L339" s="226"/>
    </row>
    <row r="340" spans="8:12">
      <c r="H340" s="226"/>
      <c r="L340" s="226"/>
    </row>
    <row r="341" spans="8:12">
      <c r="H341" s="226"/>
      <c r="L341" s="226"/>
    </row>
    <row r="342" spans="8:12">
      <c r="H342" s="226"/>
      <c r="L342" s="226"/>
    </row>
    <row r="343" spans="8:12">
      <c r="H343" s="226"/>
      <c r="L343" s="226"/>
    </row>
    <row r="344" spans="8:12">
      <c r="H344" s="226"/>
      <c r="L344" s="226"/>
    </row>
    <row r="345" spans="8:12">
      <c r="H345" s="226"/>
      <c r="L345" s="226"/>
    </row>
    <row r="346" spans="8:12">
      <c r="H346" s="226"/>
      <c r="L346" s="226"/>
    </row>
    <row r="347" spans="8:12">
      <c r="H347" s="226"/>
      <c r="L347" s="226"/>
    </row>
    <row r="348" spans="8:12">
      <c r="H348" s="226"/>
      <c r="L348" s="226"/>
    </row>
    <row r="349" spans="8:12">
      <c r="H349" s="226"/>
      <c r="L349" s="226"/>
    </row>
    <row r="350" spans="8:12">
      <c r="H350" s="226"/>
      <c r="L350" s="226"/>
    </row>
    <row r="351" spans="8:12">
      <c r="H351" s="226"/>
      <c r="L351" s="226"/>
    </row>
    <row r="352" spans="8:12">
      <c r="H352" s="226"/>
      <c r="L352" s="226"/>
    </row>
    <row r="353" spans="8:12">
      <c r="H353" s="226"/>
      <c r="L353" s="226"/>
    </row>
    <row r="354" spans="8:12">
      <c r="H354" s="226"/>
      <c r="L354" s="226"/>
    </row>
    <row r="355" spans="8:12">
      <c r="H355" s="226"/>
      <c r="L355" s="226"/>
    </row>
    <row r="356" spans="8:12">
      <c r="H356" s="226"/>
      <c r="L356" s="226"/>
    </row>
    <row r="357" spans="8:12">
      <c r="H357" s="226"/>
      <c r="L357" s="226"/>
    </row>
    <row r="358" spans="8:12">
      <c r="H358" s="226"/>
      <c r="L358" s="226"/>
    </row>
    <row r="359" spans="8:12">
      <c r="H359" s="226"/>
      <c r="L359" s="226"/>
    </row>
    <row r="360" spans="8:12">
      <c r="H360" s="226"/>
      <c r="L360" s="226"/>
    </row>
    <row r="361" spans="8:12">
      <c r="H361" s="226"/>
      <c r="L361" s="226"/>
    </row>
    <row r="362" spans="8:12">
      <c r="H362" s="226"/>
      <c r="L362" s="226"/>
    </row>
    <row r="363" spans="8:12">
      <c r="H363" s="226"/>
      <c r="L363" s="226"/>
    </row>
    <row r="364" spans="8:12">
      <c r="H364" s="226"/>
      <c r="L364" s="226"/>
    </row>
    <row r="365" spans="8:12">
      <c r="H365" s="226"/>
      <c r="L365" s="226"/>
    </row>
    <row r="366" spans="8:12">
      <c r="H366" s="226"/>
      <c r="L366" s="226"/>
    </row>
    <row r="367" spans="8:12">
      <c r="H367" s="226"/>
      <c r="L367" s="226"/>
    </row>
    <row r="368" spans="8:12">
      <c r="H368" s="226"/>
      <c r="L368" s="226"/>
    </row>
    <row r="369" spans="8:12">
      <c r="H369" s="226"/>
      <c r="L369" s="226"/>
    </row>
    <row r="370" spans="8:12">
      <c r="H370" s="226"/>
      <c r="L370" s="226"/>
    </row>
    <row r="371" spans="8:12">
      <c r="H371" s="226"/>
      <c r="L371" s="226"/>
    </row>
    <row r="372" spans="8:12">
      <c r="H372" s="226"/>
      <c r="L372" s="226"/>
    </row>
    <row r="373" spans="8:12">
      <c r="H373" s="226"/>
      <c r="L373" s="226"/>
    </row>
    <row r="374" spans="8:12">
      <c r="H374" s="226"/>
      <c r="L374" s="226"/>
    </row>
    <row r="375" spans="8:12">
      <c r="H375" s="226"/>
      <c r="L375" s="226"/>
    </row>
    <row r="376" spans="8:12">
      <c r="H376" s="226"/>
      <c r="L376" s="226"/>
    </row>
    <row r="377" spans="8:12">
      <c r="H377" s="226"/>
      <c r="L377" s="226"/>
    </row>
    <row r="378" spans="8:12">
      <c r="H378" s="226"/>
      <c r="L378" s="226"/>
    </row>
    <row r="379" spans="8:12">
      <c r="H379" s="226"/>
      <c r="L379" s="226"/>
    </row>
    <row r="380" spans="8:12">
      <c r="H380" s="226"/>
      <c r="L380" s="226"/>
    </row>
    <row r="381" spans="8:12">
      <c r="H381" s="226"/>
      <c r="L381" s="226"/>
    </row>
    <row r="382" spans="8:12">
      <c r="H382" s="226"/>
      <c r="L382" s="226"/>
    </row>
    <row r="383" spans="8:12">
      <c r="H383" s="226"/>
      <c r="L383" s="226"/>
    </row>
    <row r="384" spans="8:12">
      <c r="H384" s="226"/>
      <c r="L384" s="226"/>
    </row>
    <row r="385" spans="8:12">
      <c r="H385" s="226"/>
      <c r="L385" s="226"/>
    </row>
    <row r="386" spans="8:12">
      <c r="H386" s="226"/>
      <c r="L386" s="226"/>
    </row>
    <row r="387" spans="8:12">
      <c r="H387" s="226"/>
      <c r="L387" s="226"/>
    </row>
    <row r="388" spans="8:12">
      <c r="H388" s="226"/>
      <c r="L388" s="226"/>
    </row>
    <row r="389" spans="8:12">
      <c r="H389" s="226"/>
      <c r="L389" s="226"/>
    </row>
    <row r="390" spans="8:12">
      <c r="H390" s="226"/>
      <c r="L390" s="226"/>
    </row>
    <row r="391" spans="8:12">
      <c r="H391" s="226"/>
      <c r="L391" s="226"/>
    </row>
    <row r="392" spans="8:12">
      <c r="H392" s="226"/>
      <c r="L392" s="226"/>
    </row>
    <row r="393" spans="8:12">
      <c r="H393" s="226"/>
      <c r="L393" s="226"/>
    </row>
    <row r="394" spans="8:12">
      <c r="H394" s="226"/>
      <c r="L394" s="226"/>
    </row>
    <row r="395" spans="8:12">
      <c r="H395" s="226"/>
      <c r="L395" s="226"/>
    </row>
    <row r="396" spans="8:12">
      <c r="H396" s="226"/>
      <c r="L396" s="226"/>
    </row>
    <row r="397" spans="8:12">
      <c r="H397" s="226"/>
      <c r="L397" s="226"/>
    </row>
    <row r="398" spans="8:12">
      <c r="H398" s="226"/>
      <c r="L398" s="226"/>
    </row>
    <row r="399" spans="8:12">
      <c r="H399" s="226"/>
      <c r="L399" s="226"/>
    </row>
    <row r="400" spans="8:12">
      <c r="H400" s="226"/>
      <c r="L400" s="226"/>
    </row>
    <row r="401" spans="8:12">
      <c r="H401" s="226"/>
      <c r="L401" s="226"/>
    </row>
    <row r="402" spans="8:12">
      <c r="H402" s="226"/>
      <c r="L402" s="226"/>
    </row>
    <row r="403" spans="8:12">
      <c r="H403" s="226"/>
      <c r="L403" s="226"/>
    </row>
    <row r="404" spans="8:12">
      <c r="H404" s="226"/>
      <c r="L404" s="226"/>
    </row>
    <row r="405" spans="8:12">
      <c r="H405" s="226"/>
      <c r="L405" s="226"/>
    </row>
    <row r="406" spans="8:12">
      <c r="H406" s="226"/>
      <c r="L406" s="226"/>
    </row>
    <row r="407" spans="8:12">
      <c r="H407" s="226"/>
      <c r="L407" s="226"/>
    </row>
    <row r="408" spans="8:12">
      <c r="H408" s="226"/>
      <c r="L408" s="226"/>
    </row>
    <row r="409" spans="8:12">
      <c r="H409" s="226"/>
      <c r="L409" s="226"/>
    </row>
    <row r="410" spans="8:12">
      <c r="H410" s="226"/>
      <c r="L410" s="226"/>
    </row>
    <row r="411" spans="8:12">
      <c r="H411" s="226"/>
      <c r="L411" s="226"/>
    </row>
    <row r="412" spans="8:12">
      <c r="H412" s="226"/>
      <c r="L412" s="226"/>
    </row>
    <row r="413" spans="8:12">
      <c r="H413" s="226"/>
      <c r="L413" s="226"/>
    </row>
    <row r="414" spans="8:12">
      <c r="H414" s="226"/>
      <c r="L414" s="226"/>
    </row>
    <row r="415" spans="8:12">
      <c r="H415" s="226"/>
      <c r="L415" s="226"/>
    </row>
    <row r="416" spans="8:12">
      <c r="H416" s="226"/>
      <c r="L416" s="226"/>
    </row>
    <row r="417" spans="8:12">
      <c r="H417" s="226"/>
      <c r="L417" s="226"/>
    </row>
    <row r="418" spans="8:12">
      <c r="H418" s="226"/>
      <c r="L418" s="226"/>
    </row>
    <row r="419" spans="8:12">
      <c r="H419" s="226"/>
      <c r="L419" s="226"/>
    </row>
    <row r="420" spans="8:12">
      <c r="H420" s="226"/>
      <c r="L420" s="226"/>
    </row>
    <row r="421" spans="8:12">
      <c r="H421" s="226"/>
      <c r="L421" s="226"/>
    </row>
    <row r="422" spans="8:12">
      <c r="H422" s="226"/>
      <c r="L422" s="226"/>
    </row>
    <row r="423" spans="8:12">
      <c r="H423" s="226"/>
      <c r="L423" s="226"/>
    </row>
    <row r="424" spans="8:12">
      <c r="H424" s="226"/>
      <c r="L424" s="226"/>
    </row>
    <row r="425" spans="8:12">
      <c r="H425" s="226"/>
      <c r="L425" s="226"/>
    </row>
    <row r="426" spans="8:12">
      <c r="H426" s="226"/>
      <c r="L426" s="226"/>
    </row>
    <row r="427" spans="8:12">
      <c r="H427" s="226"/>
      <c r="L427" s="226"/>
    </row>
    <row r="428" spans="8:12">
      <c r="H428" s="226"/>
      <c r="L428" s="226"/>
    </row>
    <row r="429" spans="8:12">
      <c r="H429" s="226"/>
      <c r="L429" s="226"/>
    </row>
    <row r="430" spans="8:12">
      <c r="H430" s="226"/>
      <c r="L430" s="226"/>
    </row>
    <row r="431" spans="8:12">
      <c r="H431" s="226"/>
      <c r="L431" s="226"/>
    </row>
    <row r="432" spans="8:12">
      <c r="H432" s="226"/>
      <c r="L432" s="226"/>
    </row>
    <row r="433" spans="8:12">
      <c r="H433" s="226"/>
      <c r="L433" s="226"/>
    </row>
    <row r="434" spans="8:12">
      <c r="H434" s="226"/>
      <c r="L434" s="226"/>
    </row>
    <row r="435" spans="8:12">
      <c r="H435" s="226"/>
      <c r="L435" s="226"/>
    </row>
    <row r="436" spans="8:12">
      <c r="H436" s="226"/>
      <c r="L436" s="226"/>
    </row>
    <row r="437" spans="8:12">
      <c r="H437" s="226"/>
      <c r="L437" s="226"/>
    </row>
    <row r="438" spans="8:12">
      <c r="H438" s="226"/>
      <c r="L438" s="226"/>
    </row>
    <row r="439" spans="8:12">
      <c r="H439" s="226"/>
      <c r="L439" s="226"/>
    </row>
    <row r="440" spans="8:12">
      <c r="H440" s="226"/>
      <c r="L440" s="226"/>
    </row>
    <row r="441" spans="8:12">
      <c r="H441" s="226"/>
      <c r="L441" s="226"/>
    </row>
    <row r="442" spans="8:12">
      <c r="H442" s="226"/>
      <c r="L442" s="226"/>
    </row>
    <row r="443" spans="8:12">
      <c r="H443" s="226"/>
      <c r="L443" s="226"/>
    </row>
    <row r="444" spans="8:12">
      <c r="H444" s="226"/>
      <c r="L444" s="226"/>
    </row>
    <row r="445" spans="8:12">
      <c r="H445" s="226"/>
      <c r="L445" s="226"/>
    </row>
    <row r="446" spans="8:12">
      <c r="H446" s="226"/>
      <c r="L446" s="226"/>
    </row>
    <row r="447" spans="8:12">
      <c r="H447" s="226"/>
      <c r="L447" s="226"/>
    </row>
    <row r="448" spans="8:12">
      <c r="H448" s="226"/>
      <c r="L448" s="226"/>
    </row>
    <row r="449" spans="8:12">
      <c r="H449" s="226"/>
      <c r="L449" s="226"/>
    </row>
    <row r="450" spans="8:12">
      <c r="H450" s="226"/>
      <c r="L450" s="226"/>
    </row>
    <row r="451" spans="8:12">
      <c r="H451" s="226"/>
      <c r="L451" s="226"/>
    </row>
    <row r="452" spans="8:12">
      <c r="H452" s="226"/>
      <c r="L452" s="226"/>
    </row>
    <row r="453" spans="8:12">
      <c r="H453" s="226"/>
      <c r="L453" s="226"/>
    </row>
    <row r="454" spans="8:12">
      <c r="H454" s="226"/>
      <c r="L454" s="226"/>
    </row>
    <row r="455" spans="8:12">
      <c r="H455" s="226"/>
      <c r="L455" s="226"/>
    </row>
    <row r="456" spans="8:12">
      <c r="H456" s="226"/>
      <c r="L456" s="226"/>
    </row>
    <row r="457" spans="8:12">
      <c r="H457" s="226"/>
      <c r="L457" s="226"/>
    </row>
    <row r="458" spans="8:12">
      <c r="H458" s="226"/>
      <c r="L458" s="226"/>
    </row>
    <row r="459" spans="8:12">
      <c r="H459" s="226"/>
      <c r="L459" s="226"/>
    </row>
    <row r="460" spans="8:12">
      <c r="H460" s="226"/>
      <c r="L460" s="226"/>
    </row>
    <row r="461" spans="8:12">
      <c r="H461" s="226"/>
      <c r="L461" s="226"/>
    </row>
    <row r="462" spans="8:12">
      <c r="H462" s="226"/>
      <c r="L462" s="226"/>
    </row>
    <row r="463" spans="8:12">
      <c r="H463" s="226"/>
      <c r="L463" s="226"/>
    </row>
    <row r="464" spans="8:12">
      <c r="H464" s="226"/>
      <c r="L464" s="226"/>
    </row>
    <row r="465" spans="8:12">
      <c r="H465" s="226"/>
      <c r="L465" s="226"/>
    </row>
    <row r="466" spans="8:12">
      <c r="H466" s="226"/>
      <c r="L466" s="226"/>
    </row>
    <row r="467" spans="8:12">
      <c r="H467" s="226"/>
      <c r="L467" s="226"/>
    </row>
    <row r="468" spans="8:12">
      <c r="H468" s="226"/>
      <c r="L468" s="226"/>
    </row>
    <row r="469" spans="8:12">
      <c r="H469" s="226"/>
      <c r="L469" s="226"/>
    </row>
    <row r="470" spans="8:12">
      <c r="H470" s="226"/>
      <c r="L470" s="226"/>
    </row>
    <row r="471" spans="8:12">
      <c r="H471" s="226"/>
      <c r="L471" s="226"/>
    </row>
    <row r="472" spans="8:12">
      <c r="H472" s="226"/>
      <c r="L472" s="226"/>
    </row>
    <row r="473" spans="8:12">
      <c r="H473" s="226"/>
      <c r="L473" s="226"/>
    </row>
    <row r="474" spans="8:12">
      <c r="H474" s="226"/>
      <c r="L474" s="226"/>
    </row>
    <row r="475" spans="8:12">
      <c r="H475" s="226"/>
      <c r="L475" s="226"/>
    </row>
    <row r="476" spans="8:12">
      <c r="H476" s="226"/>
      <c r="L476" s="226"/>
    </row>
    <row r="477" spans="8:12">
      <c r="H477" s="226"/>
      <c r="L477" s="226"/>
    </row>
    <row r="478" spans="8:12">
      <c r="H478" s="226"/>
      <c r="L478" s="226"/>
    </row>
    <row r="479" spans="8:12">
      <c r="H479" s="226"/>
      <c r="L479" s="226"/>
    </row>
    <row r="480" spans="8:12">
      <c r="H480" s="226"/>
      <c r="L480" s="226"/>
    </row>
    <row r="481" spans="8:12">
      <c r="H481" s="226"/>
      <c r="L481" s="226"/>
    </row>
    <row r="482" spans="8:12">
      <c r="H482" s="226"/>
      <c r="L482" s="226"/>
    </row>
    <row r="483" spans="8:12">
      <c r="H483" s="226"/>
      <c r="L483" s="226"/>
    </row>
    <row r="484" spans="8:12">
      <c r="H484" s="226"/>
      <c r="L484" s="226"/>
    </row>
    <row r="485" spans="8:12">
      <c r="H485" s="226"/>
      <c r="L485" s="226"/>
    </row>
    <row r="486" spans="8:12">
      <c r="H486" s="226"/>
      <c r="L486" s="226"/>
    </row>
    <row r="487" spans="8:12">
      <c r="H487" s="226"/>
      <c r="L487" s="226"/>
    </row>
    <row r="488" spans="8:12">
      <c r="H488" s="226"/>
      <c r="L488" s="226"/>
    </row>
    <row r="489" spans="8:12">
      <c r="H489" s="226"/>
      <c r="L489" s="226"/>
    </row>
    <row r="490" spans="8:12">
      <c r="H490" s="226"/>
      <c r="L490" s="226"/>
    </row>
    <row r="491" spans="8:12">
      <c r="H491" s="226"/>
      <c r="L491" s="226"/>
    </row>
    <row r="492" spans="8:12">
      <c r="H492" s="226"/>
      <c r="L492" s="226"/>
    </row>
    <row r="493" spans="8:12">
      <c r="H493" s="226"/>
      <c r="L493" s="226"/>
    </row>
    <row r="494" spans="8:12">
      <c r="H494" s="226"/>
      <c r="L494" s="226"/>
    </row>
    <row r="495" spans="8:12">
      <c r="H495" s="226"/>
      <c r="L495" s="226"/>
    </row>
    <row r="496" spans="8:12">
      <c r="H496" s="226"/>
      <c r="L496" s="226"/>
    </row>
    <row r="497" spans="8:12">
      <c r="H497" s="226"/>
      <c r="L497" s="226"/>
    </row>
    <row r="498" spans="8:12">
      <c r="H498" s="226"/>
      <c r="L498" s="226"/>
    </row>
    <row r="499" spans="8:12">
      <c r="H499" s="226"/>
      <c r="L499" s="226"/>
    </row>
    <row r="500" spans="8:12">
      <c r="H500" s="226"/>
      <c r="L500" s="226"/>
    </row>
    <row r="501" spans="8:12">
      <c r="H501" s="226"/>
      <c r="L501" s="226"/>
    </row>
    <row r="502" spans="8:12">
      <c r="H502" s="226"/>
      <c r="L502" s="226"/>
    </row>
    <row r="503" spans="8:12">
      <c r="H503" s="226"/>
      <c r="L503" s="226"/>
    </row>
    <row r="504" spans="8:12">
      <c r="H504" s="226"/>
      <c r="L504" s="226"/>
    </row>
    <row r="505" spans="8:12">
      <c r="H505" s="226"/>
      <c r="L505" s="226"/>
    </row>
    <row r="506" spans="8:12">
      <c r="H506" s="226"/>
      <c r="L506" s="226"/>
    </row>
    <row r="507" spans="8:12">
      <c r="H507" s="226"/>
      <c r="L507" s="226"/>
    </row>
    <row r="508" spans="8:12">
      <c r="H508" s="226"/>
      <c r="L508" s="226"/>
    </row>
    <row r="509" spans="8:12">
      <c r="H509" s="226"/>
      <c r="L509" s="226"/>
    </row>
    <row r="510" spans="8:12">
      <c r="H510" s="226"/>
      <c r="L510" s="226"/>
    </row>
    <row r="511" spans="8:12">
      <c r="H511" s="226"/>
      <c r="L511" s="226"/>
    </row>
    <row r="512" spans="8:12">
      <c r="H512" s="226"/>
      <c r="L512" s="226"/>
    </row>
    <row r="513" spans="8:12">
      <c r="H513" s="226"/>
      <c r="L513" s="226"/>
    </row>
    <row r="514" spans="8:12">
      <c r="H514" s="226"/>
      <c r="L514" s="226"/>
    </row>
    <row r="515" spans="8:12">
      <c r="H515" s="226"/>
      <c r="L515" s="226"/>
    </row>
    <row r="516" spans="8:12">
      <c r="H516" s="226"/>
      <c r="L516" s="226"/>
    </row>
    <row r="517" spans="8:12">
      <c r="H517" s="226"/>
      <c r="L517" s="226"/>
    </row>
    <row r="518" spans="8:12">
      <c r="H518" s="226"/>
      <c r="L518" s="226"/>
    </row>
    <row r="519" spans="8:12">
      <c r="H519" s="226"/>
      <c r="L519" s="226"/>
    </row>
    <row r="520" spans="8:12">
      <c r="H520" s="226"/>
      <c r="L520" s="226"/>
    </row>
    <row r="521" spans="8:12">
      <c r="H521" s="226"/>
      <c r="L521" s="226"/>
    </row>
    <row r="522" spans="8:12">
      <c r="H522" s="226"/>
      <c r="L522" s="226"/>
    </row>
    <row r="523" spans="8:12">
      <c r="H523" s="226"/>
      <c r="L523" s="226"/>
    </row>
    <row r="524" spans="8:12">
      <c r="H524" s="226"/>
      <c r="L524" s="226"/>
    </row>
    <row r="525" spans="8:12">
      <c r="H525" s="226"/>
      <c r="L525" s="226"/>
    </row>
    <row r="526" spans="8:12">
      <c r="H526" s="226"/>
      <c r="L526" s="226"/>
    </row>
    <row r="527" spans="8:12">
      <c r="H527" s="226"/>
      <c r="L527" s="226"/>
    </row>
    <row r="528" spans="8:12">
      <c r="H528" s="226"/>
      <c r="L528" s="226"/>
    </row>
    <row r="529" spans="8:12">
      <c r="H529" s="226"/>
      <c r="L529" s="226"/>
    </row>
    <row r="530" spans="8:12">
      <c r="H530" s="226"/>
      <c r="L530" s="226"/>
    </row>
    <row r="531" spans="8:12">
      <c r="H531" s="226"/>
      <c r="L531" s="226"/>
    </row>
    <row r="532" spans="8:12">
      <c r="H532" s="226"/>
      <c r="L532" s="226"/>
    </row>
    <row r="533" spans="8:12">
      <c r="H533" s="226"/>
      <c r="L533" s="226"/>
    </row>
    <row r="534" spans="8:12">
      <c r="H534" s="226"/>
      <c r="L534" s="226"/>
    </row>
    <row r="535" spans="8:12">
      <c r="H535" s="226"/>
      <c r="L535" s="226"/>
    </row>
    <row r="536" spans="8:12">
      <c r="H536" s="226"/>
      <c r="L536" s="226"/>
    </row>
    <row r="537" spans="8:12">
      <c r="H537" s="226"/>
      <c r="L537" s="226"/>
    </row>
    <row r="538" spans="8:12">
      <c r="H538" s="226"/>
      <c r="L538" s="226"/>
    </row>
    <row r="539" spans="8:12">
      <c r="H539" s="226"/>
      <c r="L539" s="226"/>
    </row>
    <row r="540" spans="8:12">
      <c r="H540" s="226"/>
      <c r="L540" s="226"/>
    </row>
    <row r="541" spans="8:12">
      <c r="H541" s="226"/>
      <c r="L541" s="226"/>
    </row>
    <row r="542" spans="8:12">
      <c r="H542" s="226"/>
      <c r="L542" s="226"/>
    </row>
    <row r="543" spans="8:12">
      <c r="H543" s="226"/>
      <c r="L543" s="226"/>
    </row>
    <row r="544" spans="8:12">
      <c r="H544" s="226"/>
      <c r="L544" s="226"/>
    </row>
    <row r="545" spans="8:12">
      <c r="H545" s="226"/>
      <c r="L545" s="226"/>
    </row>
    <row r="546" spans="8:12">
      <c r="H546" s="226"/>
      <c r="L546" s="226"/>
    </row>
    <row r="547" spans="8:12">
      <c r="H547" s="226"/>
      <c r="L547" s="226"/>
    </row>
    <row r="548" spans="8:12">
      <c r="H548" s="226"/>
      <c r="L548" s="226"/>
    </row>
    <row r="549" spans="8:12">
      <c r="H549" s="226"/>
      <c r="L549" s="226"/>
    </row>
    <row r="550" spans="8:12">
      <c r="H550" s="226"/>
      <c r="L550" s="226"/>
    </row>
    <row r="551" spans="8:12">
      <c r="H551" s="226"/>
      <c r="L551" s="226"/>
    </row>
    <row r="552" spans="8:12">
      <c r="H552" s="226"/>
      <c r="L552" s="226"/>
    </row>
    <row r="553" spans="8:12">
      <c r="H553" s="226"/>
      <c r="L553" s="226"/>
    </row>
    <row r="554" spans="8:12">
      <c r="H554" s="226"/>
      <c r="L554" s="226"/>
    </row>
    <row r="555" spans="8:12">
      <c r="H555" s="226"/>
      <c r="L555" s="226"/>
    </row>
    <row r="556" spans="8:12">
      <c r="H556" s="226"/>
      <c r="L556" s="226"/>
    </row>
    <row r="557" spans="8:12">
      <c r="H557" s="226"/>
      <c r="L557" s="226"/>
    </row>
    <row r="558" spans="8:12">
      <c r="H558" s="226"/>
      <c r="L558" s="226"/>
    </row>
    <row r="559" spans="8:12">
      <c r="H559" s="226"/>
      <c r="L559" s="226"/>
    </row>
    <row r="560" spans="8:12">
      <c r="H560" s="226"/>
      <c r="L560" s="226"/>
    </row>
    <row r="561" spans="8:12">
      <c r="H561" s="226"/>
      <c r="L561" s="226"/>
    </row>
    <row r="562" spans="8:12">
      <c r="H562" s="226"/>
      <c r="L562" s="226"/>
    </row>
    <row r="563" spans="8:12">
      <c r="H563" s="226"/>
      <c r="L563" s="226"/>
    </row>
    <row r="564" spans="8:12">
      <c r="H564" s="226"/>
      <c r="L564" s="226"/>
    </row>
    <row r="565" spans="8:12">
      <c r="H565" s="226"/>
      <c r="L565" s="226"/>
    </row>
    <row r="566" spans="8:12">
      <c r="H566" s="226"/>
      <c r="L566" s="226"/>
    </row>
    <row r="567" spans="8:12">
      <c r="H567" s="226"/>
      <c r="L567" s="226"/>
    </row>
    <row r="568" spans="8:12">
      <c r="H568" s="226"/>
      <c r="L568" s="226"/>
    </row>
    <row r="569" spans="8:12">
      <c r="H569" s="226"/>
      <c r="L569" s="226"/>
    </row>
    <row r="570" spans="8:12">
      <c r="H570" s="226"/>
      <c r="L570" s="226"/>
    </row>
    <row r="571" spans="8:12">
      <c r="H571" s="226"/>
      <c r="L571" s="226"/>
    </row>
    <row r="572" spans="8:12">
      <c r="H572" s="226"/>
      <c r="L572" s="226"/>
    </row>
    <row r="573" spans="8:12">
      <c r="H573" s="226"/>
      <c r="L573" s="226"/>
    </row>
    <row r="574" spans="8:12">
      <c r="H574" s="226"/>
      <c r="L574" s="226"/>
    </row>
    <row r="575" spans="8:12">
      <c r="H575" s="226"/>
      <c r="L575" s="226"/>
    </row>
    <row r="576" spans="8:12">
      <c r="H576" s="226"/>
      <c r="L576" s="226"/>
    </row>
    <row r="577" spans="8:12">
      <c r="H577" s="226"/>
      <c r="L577" s="226"/>
    </row>
    <row r="578" spans="8:12">
      <c r="H578" s="226"/>
      <c r="L578" s="226"/>
    </row>
    <row r="579" spans="8:12">
      <c r="H579" s="226"/>
      <c r="L579" s="226"/>
    </row>
    <row r="580" spans="8:12">
      <c r="H580" s="226"/>
      <c r="L580" s="226"/>
    </row>
    <row r="581" spans="8:12">
      <c r="H581" s="226"/>
      <c r="L581" s="226"/>
    </row>
    <row r="582" spans="8:12">
      <c r="H582" s="226"/>
      <c r="L582" s="226"/>
    </row>
    <row r="583" spans="8:12">
      <c r="H583" s="226"/>
      <c r="L583" s="226"/>
    </row>
    <row r="584" spans="8:12">
      <c r="H584" s="226"/>
      <c r="L584" s="226"/>
    </row>
    <row r="585" spans="8:12">
      <c r="H585" s="226"/>
      <c r="L585" s="226"/>
    </row>
    <row r="586" spans="8:12">
      <c r="H586" s="226"/>
      <c r="L586" s="226"/>
    </row>
    <row r="587" spans="8:12">
      <c r="H587" s="226"/>
      <c r="L587" s="226"/>
    </row>
    <row r="588" spans="8:12">
      <c r="H588" s="226"/>
      <c r="L588" s="226"/>
    </row>
    <row r="589" spans="8:12">
      <c r="H589" s="226"/>
      <c r="L589" s="226"/>
    </row>
    <row r="590" spans="8:12">
      <c r="H590" s="226"/>
      <c r="L590" s="226"/>
    </row>
    <row r="591" spans="8:12">
      <c r="H591" s="226"/>
      <c r="L591" s="226"/>
    </row>
    <row r="592" spans="8:12">
      <c r="H592" s="226"/>
      <c r="L592" s="226"/>
    </row>
    <row r="593" spans="8:12">
      <c r="H593" s="226"/>
      <c r="L593" s="226"/>
    </row>
    <row r="594" spans="8:12">
      <c r="H594" s="226"/>
      <c r="L594" s="226"/>
    </row>
    <row r="595" spans="8:12">
      <c r="H595" s="226"/>
      <c r="L595" s="226"/>
    </row>
    <row r="596" spans="8:12">
      <c r="H596" s="226"/>
      <c r="L596" s="226"/>
    </row>
    <row r="597" spans="8:12">
      <c r="H597" s="226"/>
      <c r="L597" s="226"/>
    </row>
    <row r="598" spans="8:12">
      <c r="H598" s="226"/>
      <c r="L598" s="226"/>
    </row>
    <row r="599" spans="8:12">
      <c r="H599" s="226"/>
      <c r="L599" s="226"/>
    </row>
    <row r="600" spans="8:12">
      <c r="H600" s="226"/>
      <c r="L600" s="226"/>
    </row>
    <row r="601" spans="8:12">
      <c r="H601" s="226"/>
      <c r="L601" s="226"/>
    </row>
    <row r="602" spans="8:12">
      <c r="H602" s="226"/>
      <c r="L602" s="226"/>
    </row>
    <row r="603" spans="8:12">
      <c r="H603" s="226"/>
      <c r="L603" s="226"/>
    </row>
    <row r="604" spans="8:12">
      <c r="H604" s="226"/>
      <c r="L604" s="226"/>
    </row>
    <row r="605" spans="8:12">
      <c r="H605" s="226"/>
      <c r="L605" s="226"/>
    </row>
    <row r="606" spans="8:12">
      <c r="H606" s="226"/>
      <c r="L606" s="226"/>
    </row>
    <row r="607" spans="8:12">
      <c r="H607" s="226"/>
      <c r="L607" s="226"/>
    </row>
    <row r="608" spans="8:12">
      <c r="H608" s="226"/>
      <c r="L608" s="226"/>
    </row>
    <row r="609" spans="8:12">
      <c r="H609" s="226"/>
      <c r="L609" s="226"/>
    </row>
    <row r="610" spans="8:12">
      <c r="H610" s="226"/>
      <c r="L610" s="226"/>
    </row>
    <row r="611" spans="8:12">
      <c r="H611" s="226"/>
      <c r="L611" s="226"/>
    </row>
    <row r="612" spans="8:12">
      <c r="H612" s="226"/>
      <c r="L612" s="226"/>
    </row>
    <row r="613" spans="8:12">
      <c r="H613" s="226"/>
      <c r="L613" s="226"/>
    </row>
    <row r="614" spans="8:12">
      <c r="H614" s="226"/>
      <c r="L614" s="226"/>
    </row>
    <row r="615" spans="8:12">
      <c r="H615" s="226"/>
      <c r="L615" s="226"/>
    </row>
    <row r="616" spans="8:12">
      <c r="H616" s="226"/>
      <c r="L616" s="226"/>
    </row>
    <row r="617" spans="8:12">
      <c r="H617" s="226"/>
      <c r="L617" s="226"/>
    </row>
    <row r="618" spans="8:12">
      <c r="H618" s="226"/>
      <c r="L618" s="226"/>
    </row>
    <row r="619" spans="8:12">
      <c r="H619" s="226"/>
      <c r="L619" s="226"/>
    </row>
    <row r="620" spans="8:12">
      <c r="H620" s="226"/>
      <c r="L620" s="226"/>
    </row>
    <row r="621" spans="8:12">
      <c r="H621" s="226"/>
      <c r="L621" s="226"/>
    </row>
    <row r="622" spans="8:12">
      <c r="H622" s="226"/>
      <c r="L622" s="226"/>
    </row>
    <row r="623" spans="8:12">
      <c r="H623" s="226"/>
      <c r="L623" s="226"/>
    </row>
    <row r="624" spans="8:12">
      <c r="H624" s="226"/>
      <c r="L624" s="226"/>
    </row>
    <row r="625" spans="8:12">
      <c r="H625" s="226"/>
      <c r="L625" s="226"/>
    </row>
    <row r="626" spans="8:12">
      <c r="H626" s="226"/>
      <c r="L626" s="226"/>
    </row>
    <row r="627" spans="8:12">
      <c r="H627" s="226"/>
      <c r="L627" s="226"/>
    </row>
    <row r="628" spans="8:12">
      <c r="H628" s="226"/>
      <c r="L628" s="226"/>
    </row>
    <row r="629" spans="8:12">
      <c r="H629" s="226"/>
      <c r="L629" s="226"/>
    </row>
    <row r="630" spans="8:12">
      <c r="H630" s="226"/>
      <c r="L630" s="226"/>
    </row>
    <row r="631" spans="8:12">
      <c r="H631" s="226"/>
      <c r="L631" s="226"/>
    </row>
    <row r="632" spans="8:12">
      <c r="H632" s="226"/>
      <c r="L632" s="226"/>
    </row>
    <row r="633" spans="8:12">
      <c r="H633" s="226"/>
      <c r="L633" s="226"/>
    </row>
    <row r="634" spans="8:12">
      <c r="H634" s="226"/>
      <c r="L634" s="226"/>
    </row>
    <row r="635" spans="8:12">
      <c r="H635" s="226"/>
      <c r="L635" s="226"/>
    </row>
    <row r="636" spans="8:12">
      <c r="H636" s="226"/>
      <c r="L636" s="226"/>
    </row>
    <row r="637" spans="8:12">
      <c r="H637" s="226"/>
      <c r="L637" s="226"/>
    </row>
    <row r="638" spans="8:12">
      <c r="H638" s="226"/>
      <c r="L638" s="226"/>
    </row>
    <row r="639" spans="8:12">
      <c r="H639" s="226"/>
      <c r="L639" s="226"/>
    </row>
    <row r="640" spans="8:12">
      <c r="H640" s="226"/>
      <c r="L640" s="226"/>
    </row>
    <row r="641" spans="8:12">
      <c r="H641" s="226"/>
      <c r="L641" s="226"/>
    </row>
    <row r="642" spans="8:12">
      <c r="H642" s="226"/>
      <c r="L642" s="226"/>
    </row>
    <row r="643" spans="8:12">
      <c r="H643" s="226"/>
      <c r="L643" s="226"/>
    </row>
    <row r="644" spans="8:12">
      <c r="H644" s="226"/>
      <c r="L644" s="226"/>
    </row>
    <row r="645" spans="8:12">
      <c r="H645" s="226"/>
      <c r="L645" s="226"/>
    </row>
    <row r="646" spans="8:12">
      <c r="H646" s="226"/>
      <c r="L646" s="226"/>
    </row>
    <row r="647" spans="8:12">
      <c r="H647" s="226"/>
      <c r="L647" s="226"/>
    </row>
    <row r="648" spans="8:12">
      <c r="H648" s="226"/>
      <c r="L648" s="226"/>
    </row>
    <row r="649" spans="8:12">
      <c r="H649" s="226"/>
      <c r="L649" s="226"/>
    </row>
    <row r="650" spans="8:12">
      <c r="H650" s="226"/>
      <c r="L650" s="226"/>
    </row>
    <row r="651" spans="8:12">
      <c r="H651" s="226"/>
      <c r="L651" s="226"/>
    </row>
    <row r="652" spans="8:12">
      <c r="H652" s="226"/>
      <c r="L652" s="226"/>
    </row>
    <row r="653" spans="8:12">
      <c r="H653" s="226"/>
      <c r="L653" s="226"/>
    </row>
    <row r="654" spans="8:12">
      <c r="H654" s="226"/>
      <c r="L654" s="226"/>
    </row>
    <row r="655" spans="8:12">
      <c r="H655" s="226"/>
      <c r="L655" s="226"/>
    </row>
    <row r="656" spans="8:12">
      <c r="H656" s="226"/>
      <c r="L656" s="226"/>
    </row>
    <row r="657" spans="8:12">
      <c r="H657" s="226"/>
      <c r="L657" s="226"/>
    </row>
    <row r="658" spans="8:12">
      <c r="H658" s="226"/>
      <c r="L658" s="226"/>
    </row>
    <row r="659" spans="8:12">
      <c r="H659" s="226"/>
      <c r="L659" s="226"/>
    </row>
    <row r="660" spans="8:12">
      <c r="H660" s="226"/>
      <c r="L660" s="226"/>
    </row>
    <row r="661" spans="8:12">
      <c r="H661" s="226"/>
      <c r="L661" s="226"/>
    </row>
    <row r="662" spans="8:12">
      <c r="H662" s="226"/>
      <c r="L662" s="226"/>
    </row>
    <row r="663" spans="8:12">
      <c r="H663" s="226"/>
      <c r="L663" s="226"/>
    </row>
    <row r="664" spans="8:12">
      <c r="H664" s="226"/>
      <c r="L664" s="226"/>
    </row>
    <row r="665" spans="8:12">
      <c r="H665" s="226"/>
      <c r="L665" s="226"/>
    </row>
    <row r="666" spans="8:12">
      <c r="H666" s="226"/>
      <c r="L666" s="226"/>
    </row>
    <row r="667" spans="8:12">
      <c r="H667" s="226"/>
      <c r="L667" s="226"/>
    </row>
    <row r="668" spans="8:12">
      <c r="H668" s="226"/>
      <c r="L668" s="226"/>
    </row>
    <row r="669" spans="8:12">
      <c r="H669" s="226"/>
      <c r="L669" s="226"/>
    </row>
    <row r="670" spans="8:12">
      <c r="H670" s="226"/>
      <c r="L670" s="226"/>
    </row>
    <row r="671" spans="8:12">
      <c r="H671" s="226"/>
      <c r="L671" s="226"/>
    </row>
    <row r="672" spans="8:12">
      <c r="H672" s="226"/>
      <c r="L672" s="226"/>
    </row>
    <row r="673" spans="8:12">
      <c r="H673" s="226"/>
      <c r="L673" s="226"/>
    </row>
    <row r="674" spans="8:12">
      <c r="H674" s="226"/>
      <c r="L674" s="226"/>
    </row>
    <row r="675" spans="8:12">
      <c r="H675" s="226"/>
      <c r="L675" s="226"/>
    </row>
    <row r="676" spans="8:12">
      <c r="H676" s="226"/>
      <c r="L676" s="226"/>
    </row>
    <row r="677" spans="8:12">
      <c r="H677" s="226"/>
      <c r="L677" s="226"/>
    </row>
    <row r="678" spans="8:12">
      <c r="H678" s="226"/>
      <c r="L678" s="226"/>
    </row>
    <row r="679" spans="8:12">
      <c r="H679" s="226"/>
      <c r="L679" s="226"/>
    </row>
    <row r="680" spans="8:12">
      <c r="H680" s="226"/>
      <c r="L680" s="226"/>
    </row>
    <row r="681" spans="8:12">
      <c r="H681" s="226"/>
      <c r="L681" s="226"/>
    </row>
    <row r="682" spans="8:12">
      <c r="H682" s="226"/>
      <c r="L682" s="226"/>
    </row>
    <row r="683" spans="8:12">
      <c r="H683" s="226"/>
      <c r="L683" s="226"/>
    </row>
    <row r="684" spans="8:12">
      <c r="H684" s="226"/>
      <c r="L684" s="226"/>
    </row>
    <row r="685" spans="8:12">
      <c r="H685" s="226"/>
      <c r="L685" s="226"/>
    </row>
    <row r="686" spans="8:12">
      <c r="H686" s="226"/>
      <c r="L686" s="226"/>
    </row>
    <row r="687" spans="8:12">
      <c r="H687" s="226"/>
      <c r="L687" s="226"/>
    </row>
    <row r="688" spans="8:12">
      <c r="H688" s="226"/>
      <c r="L688" s="226"/>
    </row>
    <row r="689" spans="8:12">
      <c r="H689" s="226"/>
      <c r="L689" s="226"/>
    </row>
    <row r="690" spans="8:12">
      <c r="H690" s="226"/>
      <c r="L690" s="226"/>
    </row>
    <row r="691" spans="8:12">
      <c r="H691" s="226"/>
      <c r="L691" s="226"/>
    </row>
    <row r="692" spans="8:12">
      <c r="H692" s="226"/>
      <c r="L692" s="226"/>
    </row>
    <row r="693" spans="8:12">
      <c r="H693" s="226"/>
      <c r="L693" s="226"/>
    </row>
    <row r="694" spans="8:12">
      <c r="H694" s="226"/>
      <c r="L694" s="226"/>
    </row>
    <row r="695" spans="8:12">
      <c r="H695" s="226"/>
      <c r="L695" s="226"/>
    </row>
    <row r="696" spans="8:12">
      <c r="H696" s="226"/>
      <c r="L696" s="226"/>
    </row>
    <row r="697" spans="8:12">
      <c r="H697" s="226"/>
      <c r="L697" s="226"/>
    </row>
    <row r="698" spans="8:12">
      <c r="H698" s="226"/>
      <c r="L698" s="226"/>
    </row>
    <row r="699" spans="8:12">
      <c r="H699" s="226"/>
      <c r="L699" s="226"/>
    </row>
    <row r="700" spans="8:12">
      <c r="H700" s="226"/>
      <c r="L700" s="226"/>
    </row>
    <row r="701" spans="8:12">
      <c r="H701" s="226"/>
      <c r="L701" s="226"/>
    </row>
    <row r="702" spans="8:12">
      <c r="H702" s="226"/>
      <c r="L702" s="226"/>
    </row>
    <row r="703" spans="8:12">
      <c r="H703" s="226"/>
      <c r="L703" s="226"/>
    </row>
    <row r="704" spans="8:12">
      <c r="H704" s="226"/>
      <c r="L704" s="226"/>
    </row>
    <row r="705" spans="8:12">
      <c r="H705" s="226"/>
      <c r="L705" s="226"/>
    </row>
    <row r="706" spans="8:12">
      <c r="H706" s="226"/>
      <c r="L706" s="226"/>
    </row>
    <row r="707" spans="8:12">
      <c r="H707" s="226"/>
      <c r="L707" s="226"/>
    </row>
    <row r="708" spans="8:12">
      <c r="H708" s="226"/>
      <c r="L708" s="226"/>
    </row>
    <row r="709" spans="8:12">
      <c r="H709" s="226"/>
      <c r="L709" s="226"/>
    </row>
    <row r="710" spans="8:12">
      <c r="H710" s="226"/>
      <c r="L710" s="226"/>
    </row>
    <row r="711" spans="8:12">
      <c r="H711" s="226"/>
      <c r="L711" s="226"/>
    </row>
    <row r="712" spans="8:12">
      <c r="H712" s="226"/>
      <c r="L712" s="226"/>
    </row>
    <row r="713" spans="8:12">
      <c r="H713" s="226"/>
      <c r="L713" s="226"/>
    </row>
    <row r="714" spans="8:12">
      <c r="H714" s="226"/>
      <c r="L714" s="226"/>
    </row>
    <row r="715" spans="8:12">
      <c r="H715" s="226"/>
      <c r="L715" s="226"/>
    </row>
    <row r="716" spans="8:12">
      <c r="H716" s="226"/>
      <c r="L716" s="226"/>
    </row>
    <row r="717" spans="8:12">
      <c r="H717" s="226"/>
      <c r="L717" s="226"/>
    </row>
    <row r="718" spans="8:12">
      <c r="H718" s="226"/>
      <c r="L718" s="226"/>
    </row>
    <row r="719" spans="8:12">
      <c r="H719" s="226"/>
      <c r="L719" s="226"/>
    </row>
    <row r="720" spans="8:12">
      <c r="H720" s="226"/>
      <c r="L720" s="226"/>
    </row>
    <row r="721" spans="8:12">
      <c r="H721" s="226"/>
      <c r="L721" s="226"/>
    </row>
    <row r="722" spans="8:12">
      <c r="H722" s="226"/>
      <c r="L722" s="226"/>
    </row>
    <row r="723" spans="8:12">
      <c r="H723" s="226"/>
      <c r="L723" s="226"/>
    </row>
    <row r="724" spans="8:12">
      <c r="H724" s="226"/>
      <c r="L724" s="226"/>
    </row>
    <row r="725" spans="8:12">
      <c r="H725" s="226"/>
      <c r="L725" s="226"/>
    </row>
    <row r="726" spans="8:12">
      <c r="H726" s="226"/>
      <c r="L726" s="226"/>
    </row>
    <row r="727" spans="8:12">
      <c r="H727" s="226"/>
      <c r="L727" s="226"/>
    </row>
    <row r="728" spans="8:12">
      <c r="H728" s="226"/>
      <c r="L728" s="226"/>
    </row>
    <row r="729" spans="8:12">
      <c r="H729" s="226"/>
      <c r="L729" s="226"/>
    </row>
    <row r="730" spans="8:12">
      <c r="H730" s="226"/>
      <c r="L730" s="226"/>
    </row>
    <row r="731" spans="8:12">
      <c r="H731" s="226"/>
      <c r="L731" s="226"/>
    </row>
    <row r="732" spans="8:12">
      <c r="H732" s="226"/>
      <c r="L732" s="226"/>
    </row>
    <row r="733" spans="8:12">
      <c r="H733" s="226"/>
      <c r="L733" s="226"/>
    </row>
    <row r="734" spans="8:12">
      <c r="H734" s="226"/>
      <c r="L734" s="226"/>
    </row>
    <row r="735" spans="8:12">
      <c r="H735" s="226"/>
      <c r="L735" s="226"/>
    </row>
    <row r="736" spans="8:12">
      <c r="H736" s="226"/>
      <c r="L736" s="226"/>
    </row>
    <row r="737" spans="8:12">
      <c r="H737" s="226"/>
      <c r="L737" s="226"/>
    </row>
    <row r="738" spans="8:12">
      <c r="H738" s="226"/>
      <c r="L738" s="226"/>
    </row>
    <row r="739" spans="8:12">
      <c r="H739" s="226"/>
      <c r="L739" s="226"/>
    </row>
    <row r="740" spans="8:12">
      <c r="H740" s="226"/>
      <c r="L740" s="226"/>
    </row>
    <row r="741" spans="8:12">
      <c r="H741" s="226"/>
      <c r="L741" s="226"/>
    </row>
    <row r="742" spans="8:12">
      <c r="H742" s="226"/>
      <c r="L742" s="226"/>
    </row>
    <row r="743" spans="8:12">
      <c r="H743" s="226"/>
      <c r="L743" s="226"/>
    </row>
    <row r="744" spans="8:12">
      <c r="H744" s="226"/>
      <c r="L744" s="226"/>
    </row>
    <row r="745" spans="8:12">
      <c r="H745" s="226"/>
      <c r="L745" s="226"/>
    </row>
    <row r="746" spans="8:12">
      <c r="H746" s="226"/>
      <c r="L746" s="226"/>
    </row>
    <row r="747" spans="8:12">
      <c r="H747" s="226"/>
      <c r="L747" s="226"/>
    </row>
    <row r="748" spans="8:12">
      <c r="H748" s="226"/>
      <c r="L748" s="226"/>
    </row>
    <row r="749" spans="8:12">
      <c r="H749" s="226"/>
      <c r="L749" s="226"/>
    </row>
    <row r="750" spans="8:12">
      <c r="H750" s="226"/>
      <c r="L750" s="226"/>
    </row>
    <row r="751" spans="8:12">
      <c r="H751" s="226"/>
      <c r="L751" s="226"/>
    </row>
    <row r="752" spans="8:12">
      <c r="H752" s="226"/>
      <c r="L752" s="226"/>
    </row>
    <row r="753" spans="8:12">
      <c r="H753" s="226"/>
      <c r="L753" s="226"/>
    </row>
    <row r="754" spans="8:12">
      <c r="H754" s="226"/>
      <c r="L754" s="226"/>
    </row>
    <row r="755" spans="8:12">
      <c r="H755" s="226"/>
      <c r="L755" s="226"/>
    </row>
    <row r="756" spans="8:12">
      <c r="H756" s="226"/>
      <c r="L756" s="226"/>
    </row>
    <row r="757" spans="8:12">
      <c r="H757" s="226"/>
      <c r="L757" s="226"/>
    </row>
    <row r="758" spans="8:12">
      <c r="H758" s="226"/>
      <c r="L758" s="226"/>
    </row>
    <row r="759" spans="8:12">
      <c r="H759" s="226"/>
      <c r="L759" s="226"/>
    </row>
    <row r="760" spans="8:12">
      <c r="H760" s="226"/>
      <c r="L760" s="226"/>
    </row>
    <row r="761" spans="8:12">
      <c r="H761" s="226"/>
      <c r="L761" s="226"/>
    </row>
    <row r="762" spans="8:12">
      <c r="H762" s="226"/>
      <c r="L762" s="226"/>
    </row>
    <row r="763" spans="8:12">
      <c r="H763" s="226"/>
      <c r="L763" s="226"/>
    </row>
    <row r="764" spans="8:12">
      <c r="H764" s="226"/>
      <c r="L764" s="226"/>
    </row>
    <row r="765" spans="8:12">
      <c r="H765" s="226"/>
      <c r="L765" s="226"/>
    </row>
    <row r="766" spans="8:12">
      <c r="H766" s="226"/>
      <c r="L766" s="226"/>
    </row>
    <row r="767" spans="8:12">
      <c r="H767" s="226"/>
      <c r="L767" s="226"/>
    </row>
    <row r="768" spans="8:12">
      <c r="H768" s="226"/>
      <c r="L768" s="226"/>
    </row>
    <row r="769" spans="8:12">
      <c r="H769" s="226"/>
      <c r="L769" s="226"/>
    </row>
    <row r="770" spans="8:12">
      <c r="H770" s="226"/>
      <c r="L770" s="226"/>
    </row>
    <row r="771" spans="8:12">
      <c r="H771" s="226"/>
      <c r="L771" s="226"/>
    </row>
    <row r="772" spans="8:12">
      <c r="H772" s="226"/>
      <c r="L772" s="226"/>
    </row>
    <row r="773" spans="8:12">
      <c r="H773" s="226"/>
      <c r="L773" s="226"/>
    </row>
    <row r="774" spans="8:12">
      <c r="H774" s="226"/>
      <c r="L774" s="226"/>
    </row>
    <row r="775" spans="8:12">
      <c r="H775" s="226"/>
      <c r="L775" s="226"/>
    </row>
    <row r="776" spans="8:12">
      <c r="H776" s="226"/>
      <c r="L776" s="226"/>
    </row>
    <row r="777" spans="8:12">
      <c r="H777" s="226"/>
      <c r="L777" s="226"/>
    </row>
    <row r="778" spans="8:12">
      <c r="H778" s="226"/>
      <c r="L778" s="226"/>
    </row>
    <row r="779" spans="8:12">
      <c r="H779" s="226"/>
      <c r="L779" s="226"/>
    </row>
    <row r="780" spans="8:12">
      <c r="H780" s="226"/>
      <c r="L780" s="226"/>
    </row>
    <row r="781" spans="8:12">
      <c r="H781" s="226"/>
      <c r="L781" s="226"/>
    </row>
    <row r="782" spans="8:12">
      <c r="H782" s="226"/>
      <c r="L782" s="226"/>
    </row>
    <row r="783" spans="8:12">
      <c r="H783" s="226"/>
      <c r="L783" s="226"/>
    </row>
    <row r="784" spans="8:12">
      <c r="H784" s="226"/>
      <c r="L784" s="226"/>
    </row>
    <row r="785" spans="8:12">
      <c r="H785" s="226"/>
      <c r="L785" s="226"/>
    </row>
    <row r="786" spans="8:12">
      <c r="H786" s="226"/>
      <c r="L786" s="226"/>
    </row>
    <row r="787" spans="8:12">
      <c r="H787" s="226"/>
      <c r="L787" s="226"/>
    </row>
    <row r="788" spans="8:12">
      <c r="H788" s="226"/>
      <c r="L788" s="226"/>
    </row>
    <row r="789" spans="8:12">
      <c r="H789" s="226"/>
      <c r="L789" s="226"/>
    </row>
    <row r="790" spans="8:12">
      <c r="H790" s="226"/>
      <c r="L790" s="226"/>
    </row>
    <row r="791" spans="8:12">
      <c r="H791" s="226"/>
      <c r="L791" s="226"/>
    </row>
    <row r="792" spans="8:12">
      <c r="H792" s="226"/>
      <c r="L792" s="226"/>
    </row>
    <row r="793" spans="8:12">
      <c r="H793" s="226"/>
      <c r="L793" s="226"/>
    </row>
    <row r="794" spans="8:12">
      <c r="H794" s="226"/>
      <c r="L794" s="226"/>
    </row>
    <row r="795" spans="8:12">
      <c r="H795" s="226"/>
      <c r="L795" s="226"/>
    </row>
    <row r="796" spans="8:12">
      <c r="H796" s="226"/>
      <c r="L796" s="226"/>
    </row>
    <row r="797" spans="8:12">
      <c r="H797" s="226"/>
      <c r="L797" s="226"/>
    </row>
    <row r="798" spans="8:12">
      <c r="H798" s="226"/>
      <c r="L798" s="226"/>
    </row>
    <row r="799" spans="8:12">
      <c r="H799" s="226"/>
      <c r="L799" s="226"/>
    </row>
    <row r="800" spans="8:12">
      <c r="H800" s="226"/>
      <c r="L800" s="226"/>
    </row>
    <row r="801" spans="8:12">
      <c r="H801" s="226"/>
      <c r="L801" s="226"/>
    </row>
    <row r="802" spans="8:12">
      <c r="H802" s="226"/>
      <c r="L802" s="226"/>
    </row>
    <row r="803" spans="8:12">
      <c r="H803" s="226"/>
      <c r="L803" s="226"/>
    </row>
    <row r="804" spans="8:12">
      <c r="H804" s="226"/>
      <c r="L804" s="226"/>
    </row>
    <row r="805" spans="8:12">
      <c r="H805" s="226"/>
      <c r="L805" s="226"/>
    </row>
    <row r="806" spans="8:12">
      <c r="H806" s="226"/>
      <c r="L806" s="226"/>
    </row>
    <row r="807" spans="8:12">
      <c r="H807" s="226"/>
      <c r="L807" s="226"/>
    </row>
    <row r="808" spans="8:12">
      <c r="H808" s="226"/>
      <c r="L808" s="226"/>
    </row>
    <row r="809" spans="8:12">
      <c r="H809" s="226"/>
      <c r="L809" s="226"/>
    </row>
    <row r="810" spans="8:12">
      <c r="H810" s="226"/>
      <c r="L810" s="226"/>
    </row>
    <row r="811" spans="8:12">
      <c r="H811" s="226"/>
      <c r="L811" s="226"/>
    </row>
    <row r="812" spans="8:12">
      <c r="H812" s="226"/>
      <c r="L812" s="226"/>
    </row>
    <row r="813" spans="8:12">
      <c r="H813" s="226"/>
      <c r="L813" s="226"/>
    </row>
    <row r="814" spans="8:12">
      <c r="H814" s="226"/>
      <c r="L814" s="226"/>
    </row>
    <row r="815" spans="8:12">
      <c r="H815" s="226"/>
      <c r="L815" s="226"/>
    </row>
    <row r="816" spans="8:12">
      <c r="H816" s="226"/>
      <c r="L816" s="226"/>
    </row>
    <row r="817" spans="8:12">
      <c r="H817" s="226"/>
      <c r="L817" s="226"/>
    </row>
    <row r="818" spans="8:12">
      <c r="H818" s="226"/>
      <c r="L818" s="226"/>
    </row>
    <row r="819" spans="8:12">
      <c r="H819" s="226"/>
      <c r="L819" s="226"/>
    </row>
    <row r="820" spans="8:12">
      <c r="H820" s="226"/>
      <c r="L820" s="226"/>
    </row>
    <row r="821" spans="8:12">
      <c r="H821" s="226"/>
      <c r="L821" s="226"/>
    </row>
    <row r="822" spans="8:12">
      <c r="H822" s="226"/>
      <c r="L822" s="226"/>
    </row>
    <row r="823" spans="8:12">
      <c r="H823" s="226"/>
      <c r="L823" s="226"/>
    </row>
    <row r="824" spans="8:12">
      <c r="H824" s="226"/>
      <c r="L824" s="226"/>
    </row>
    <row r="825" spans="8:12">
      <c r="H825" s="226"/>
      <c r="L825" s="226"/>
    </row>
    <row r="826" spans="8:12">
      <c r="H826" s="226"/>
      <c r="L826" s="226"/>
    </row>
    <row r="827" spans="8:12">
      <c r="H827" s="226"/>
      <c r="L827" s="226"/>
    </row>
    <row r="828" spans="8:12">
      <c r="H828" s="226"/>
      <c r="L828" s="226"/>
    </row>
    <row r="829" spans="8:12">
      <c r="H829" s="226"/>
      <c r="L829" s="226"/>
    </row>
    <row r="830" spans="8:12">
      <c r="H830" s="226"/>
      <c r="L830" s="226"/>
    </row>
    <row r="831" spans="8:12">
      <c r="H831" s="226"/>
      <c r="L831" s="226"/>
    </row>
    <row r="832" spans="8:12">
      <c r="H832" s="226"/>
      <c r="L832" s="226"/>
    </row>
    <row r="833" spans="8:12">
      <c r="H833" s="226"/>
      <c r="L833" s="226"/>
    </row>
    <row r="834" spans="8:12">
      <c r="H834" s="226"/>
      <c r="L834" s="226"/>
    </row>
    <row r="835" spans="8:12">
      <c r="H835" s="226"/>
      <c r="L835" s="226"/>
    </row>
    <row r="836" spans="8:12">
      <c r="H836" s="226"/>
      <c r="L836" s="226"/>
    </row>
    <row r="837" spans="8:12">
      <c r="H837" s="226"/>
      <c r="L837" s="226"/>
    </row>
    <row r="838" spans="8:12">
      <c r="H838" s="226"/>
      <c r="L838" s="226"/>
    </row>
    <row r="839" spans="8:12">
      <c r="H839" s="226"/>
      <c r="L839" s="226"/>
    </row>
    <row r="840" spans="8:12">
      <c r="H840" s="226"/>
      <c r="L840" s="226"/>
    </row>
    <row r="841" spans="8:12">
      <c r="H841" s="226"/>
      <c r="L841" s="226"/>
    </row>
    <row r="842" spans="8:12">
      <c r="H842" s="226"/>
      <c r="L842" s="226"/>
    </row>
    <row r="843" spans="8:12">
      <c r="H843" s="226"/>
      <c r="L843" s="226"/>
    </row>
    <row r="844" spans="8:12">
      <c r="H844" s="226"/>
      <c r="L844" s="226"/>
    </row>
    <row r="845" spans="8:12">
      <c r="H845" s="226"/>
      <c r="L845" s="226"/>
    </row>
    <row r="846" spans="8:12">
      <c r="H846" s="226"/>
      <c r="L846" s="226"/>
    </row>
    <row r="847" spans="8:12">
      <c r="H847" s="226"/>
      <c r="L847" s="226"/>
    </row>
    <row r="848" spans="8:12">
      <c r="H848" s="226"/>
      <c r="L848" s="226"/>
    </row>
    <row r="849" spans="8:12">
      <c r="H849" s="226"/>
      <c r="L849" s="226"/>
    </row>
    <row r="850" spans="8:12">
      <c r="H850" s="226"/>
      <c r="L850" s="226"/>
    </row>
    <row r="851" spans="8:12">
      <c r="H851" s="226"/>
      <c r="L851" s="226"/>
    </row>
    <row r="852" spans="8:12">
      <c r="H852" s="226"/>
      <c r="L852" s="226"/>
    </row>
    <row r="853" spans="8:12">
      <c r="H853" s="226"/>
      <c r="L853" s="226"/>
    </row>
    <row r="854" spans="8:12">
      <c r="H854" s="226"/>
      <c r="L854" s="226"/>
    </row>
    <row r="855" spans="8:12">
      <c r="H855" s="226"/>
      <c r="L855" s="226"/>
    </row>
    <row r="856" spans="8:12">
      <c r="H856" s="226"/>
      <c r="L856" s="226"/>
    </row>
    <row r="857" spans="8:12">
      <c r="H857" s="226"/>
      <c r="L857" s="226"/>
    </row>
    <row r="858" spans="8:12">
      <c r="H858" s="226"/>
      <c r="L858" s="226"/>
    </row>
    <row r="859" spans="8:12">
      <c r="H859" s="226"/>
      <c r="L859" s="226"/>
    </row>
    <row r="860" spans="8:12">
      <c r="H860" s="226"/>
      <c r="L860" s="226"/>
    </row>
    <row r="861" spans="8:12">
      <c r="H861" s="226"/>
      <c r="L861" s="226"/>
    </row>
    <row r="862" spans="8:12">
      <c r="H862" s="226"/>
      <c r="L862" s="226"/>
    </row>
    <row r="863" spans="8:12">
      <c r="H863" s="226"/>
      <c r="L863" s="226"/>
    </row>
    <row r="864" spans="8:12">
      <c r="H864" s="226"/>
      <c r="L864" s="226"/>
    </row>
    <row r="865" spans="8:12">
      <c r="H865" s="226"/>
      <c r="L865" s="226"/>
    </row>
    <row r="866" spans="8:12">
      <c r="H866" s="226"/>
      <c r="L866" s="226"/>
    </row>
    <row r="867" spans="8:12">
      <c r="H867" s="226"/>
      <c r="L867" s="226"/>
    </row>
    <row r="868" spans="8:12">
      <c r="H868" s="226"/>
      <c r="L868" s="226"/>
    </row>
    <row r="869" spans="8:12">
      <c r="H869" s="226"/>
      <c r="L869" s="226"/>
    </row>
    <row r="870" spans="8:12">
      <c r="H870" s="226"/>
      <c r="L870" s="226"/>
    </row>
    <row r="871" spans="8:12">
      <c r="H871" s="226"/>
      <c r="L871" s="226"/>
    </row>
    <row r="872" spans="8:12">
      <c r="H872" s="226"/>
      <c r="L872" s="226"/>
    </row>
    <row r="873" spans="8:12">
      <c r="H873" s="226"/>
      <c r="L873" s="226"/>
    </row>
    <row r="874" spans="8:12">
      <c r="H874" s="226"/>
      <c r="L874" s="226"/>
    </row>
    <row r="875" spans="8:12">
      <c r="H875" s="226"/>
      <c r="L875" s="226"/>
    </row>
    <row r="876" spans="8:12">
      <c r="H876" s="226"/>
      <c r="L876" s="226"/>
    </row>
    <row r="877" spans="8:12">
      <c r="H877" s="226"/>
      <c r="L877" s="226"/>
    </row>
    <row r="878" spans="8:12">
      <c r="H878" s="226"/>
      <c r="L878" s="226"/>
    </row>
    <row r="879" spans="8:12">
      <c r="H879" s="226"/>
      <c r="L879" s="226"/>
    </row>
    <row r="880" spans="8:12">
      <c r="H880" s="226"/>
      <c r="L880" s="226"/>
    </row>
    <row r="881" spans="8:12">
      <c r="H881" s="226"/>
      <c r="L881" s="226"/>
    </row>
    <row r="882" spans="8:12">
      <c r="H882" s="226"/>
      <c r="L882" s="226"/>
    </row>
    <row r="883" spans="8:12">
      <c r="H883" s="226"/>
      <c r="L883" s="226"/>
    </row>
    <row r="884" spans="8:12">
      <c r="H884" s="226"/>
      <c r="L884" s="226"/>
    </row>
    <row r="885" spans="8:12">
      <c r="H885" s="226"/>
      <c r="L885" s="226"/>
    </row>
    <row r="886" spans="8:12">
      <c r="H886" s="226"/>
      <c r="L886" s="226"/>
    </row>
    <row r="887" spans="8:12">
      <c r="H887" s="226"/>
      <c r="L887" s="226"/>
    </row>
    <row r="888" spans="8:12">
      <c r="H888" s="226"/>
      <c r="L888" s="226"/>
    </row>
    <row r="889" spans="8:12">
      <c r="H889" s="226"/>
      <c r="L889" s="226"/>
    </row>
    <row r="890" spans="8:12">
      <c r="H890" s="226"/>
      <c r="L890" s="226"/>
    </row>
    <row r="891" spans="8:12">
      <c r="H891" s="226"/>
      <c r="L891" s="226"/>
    </row>
    <row r="892" spans="8:12">
      <c r="H892" s="226"/>
      <c r="L892" s="226"/>
    </row>
    <row r="893" spans="8:12">
      <c r="H893" s="226"/>
      <c r="L893" s="226"/>
    </row>
    <row r="894" spans="8:12">
      <c r="H894" s="226"/>
      <c r="L894" s="226"/>
    </row>
    <row r="895" spans="8:12">
      <c r="H895" s="226"/>
      <c r="L895" s="226"/>
    </row>
    <row r="896" spans="8:12">
      <c r="H896" s="226"/>
      <c r="L896" s="226"/>
    </row>
    <row r="897" spans="8:12">
      <c r="H897" s="226"/>
      <c r="L897" s="226"/>
    </row>
    <row r="898" spans="8:12">
      <c r="H898" s="226"/>
      <c r="L898" s="226"/>
    </row>
    <row r="899" spans="8:12">
      <c r="H899" s="226"/>
      <c r="L899" s="226"/>
    </row>
    <row r="900" spans="8:12">
      <c r="H900" s="226"/>
      <c r="L900" s="226"/>
    </row>
    <row r="901" spans="8:12">
      <c r="H901" s="226"/>
      <c r="L901" s="226"/>
    </row>
    <row r="902" spans="8:12">
      <c r="H902" s="226"/>
      <c r="L902" s="226"/>
    </row>
    <row r="903" spans="8:12">
      <c r="H903" s="226"/>
      <c r="L903" s="226"/>
    </row>
    <row r="904" spans="8:12">
      <c r="H904" s="226"/>
      <c r="L904" s="226"/>
    </row>
    <row r="905" spans="8:12">
      <c r="H905" s="226"/>
      <c r="L905" s="226"/>
    </row>
    <row r="906" spans="8:12">
      <c r="H906" s="226"/>
      <c r="L906" s="226"/>
    </row>
    <row r="907" spans="8:12">
      <c r="H907" s="226"/>
      <c r="L907" s="226"/>
    </row>
    <row r="908" spans="8:12">
      <c r="H908" s="226"/>
      <c r="L908" s="226"/>
    </row>
    <row r="909" spans="8:12">
      <c r="H909" s="226"/>
      <c r="L909" s="226"/>
    </row>
    <row r="910" spans="8:12">
      <c r="H910" s="226"/>
      <c r="L910" s="226"/>
    </row>
    <row r="911" spans="8:12">
      <c r="H911" s="226"/>
      <c r="L911" s="226"/>
    </row>
    <row r="912" spans="8:12">
      <c r="H912" s="226"/>
      <c r="L912" s="226"/>
    </row>
    <row r="913" spans="8:12">
      <c r="H913" s="226"/>
      <c r="L913" s="226"/>
    </row>
    <row r="914" spans="8:12">
      <c r="H914" s="226"/>
      <c r="L914" s="226"/>
    </row>
    <row r="915" spans="8:12">
      <c r="H915" s="226"/>
      <c r="L915" s="226"/>
    </row>
    <row r="916" spans="8:12">
      <c r="H916" s="226"/>
      <c r="L916" s="226"/>
    </row>
    <row r="917" spans="8:12">
      <c r="H917" s="226"/>
      <c r="L917" s="226"/>
    </row>
    <row r="918" spans="8:12">
      <c r="H918" s="226"/>
      <c r="L918" s="226"/>
    </row>
    <row r="919" spans="8:12">
      <c r="H919" s="226"/>
      <c r="L919" s="226"/>
    </row>
    <row r="920" spans="8:12">
      <c r="H920" s="226"/>
      <c r="L920" s="226"/>
    </row>
    <row r="921" spans="8:12">
      <c r="H921" s="226"/>
      <c r="L921" s="226"/>
    </row>
    <row r="922" spans="8:12">
      <c r="H922" s="226"/>
      <c r="L922" s="226"/>
    </row>
    <row r="923" spans="8:12">
      <c r="H923" s="226"/>
      <c r="L923" s="226"/>
    </row>
    <row r="924" spans="8:12">
      <c r="H924" s="226"/>
      <c r="L924" s="226"/>
    </row>
    <row r="925" spans="8:12">
      <c r="H925" s="226"/>
      <c r="L925" s="226"/>
    </row>
    <row r="926" spans="8:12">
      <c r="H926" s="226"/>
      <c r="L926" s="226"/>
    </row>
    <row r="927" spans="8:12">
      <c r="H927" s="226"/>
      <c r="L927" s="226"/>
    </row>
    <row r="928" spans="8:12">
      <c r="H928" s="226"/>
      <c r="L928" s="226"/>
    </row>
    <row r="929" spans="8:12">
      <c r="H929" s="226"/>
      <c r="L929" s="226"/>
    </row>
    <row r="930" spans="8:12">
      <c r="H930" s="226"/>
      <c r="L930" s="226"/>
    </row>
    <row r="931" spans="8:12">
      <c r="H931" s="226"/>
      <c r="L931" s="226"/>
    </row>
    <row r="932" spans="8:12">
      <c r="H932" s="226"/>
      <c r="L932" s="226"/>
    </row>
    <row r="933" spans="8:12">
      <c r="H933" s="226"/>
      <c r="L933" s="226"/>
    </row>
    <row r="934" spans="8:12">
      <c r="H934" s="226"/>
      <c r="L934" s="226"/>
    </row>
    <row r="935" spans="8:12">
      <c r="H935" s="226"/>
      <c r="L935" s="226"/>
    </row>
    <row r="936" spans="8:12">
      <c r="H936" s="226"/>
      <c r="L936" s="226"/>
    </row>
    <row r="937" spans="8:12">
      <c r="H937" s="226"/>
      <c r="L937" s="226"/>
    </row>
    <row r="938" spans="8:12">
      <c r="H938" s="226"/>
      <c r="L938" s="226"/>
    </row>
    <row r="939" spans="8:12">
      <c r="H939" s="226"/>
      <c r="L939" s="226"/>
    </row>
    <row r="940" spans="8:12">
      <c r="H940" s="226"/>
      <c r="L940" s="226"/>
    </row>
    <row r="941" spans="8:12">
      <c r="H941" s="226"/>
      <c r="L941" s="226"/>
    </row>
    <row r="942" spans="8:12">
      <c r="H942" s="226"/>
      <c r="L942" s="226"/>
    </row>
    <row r="943" spans="8:12">
      <c r="H943" s="226"/>
      <c r="L943" s="226"/>
    </row>
    <row r="944" spans="8:12">
      <c r="H944" s="226"/>
      <c r="L944" s="226"/>
    </row>
    <row r="945" spans="8:12">
      <c r="H945" s="226"/>
      <c r="L945" s="226"/>
    </row>
    <row r="946" spans="8:12">
      <c r="H946" s="226"/>
      <c r="L946" s="226"/>
    </row>
    <row r="947" spans="8:12">
      <c r="H947" s="226"/>
      <c r="L947" s="226"/>
    </row>
    <row r="948" spans="8:12">
      <c r="H948" s="226"/>
      <c r="L948" s="226"/>
    </row>
    <row r="949" spans="8:12">
      <c r="H949" s="226"/>
      <c r="L949" s="226"/>
    </row>
    <row r="950" spans="8:12">
      <c r="H950" s="226"/>
      <c r="L950" s="226"/>
    </row>
    <row r="951" spans="8:12">
      <c r="H951" s="226"/>
      <c r="L951" s="226"/>
    </row>
    <row r="952" spans="8:12">
      <c r="H952" s="226"/>
      <c r="L952" s="226"/>
    </row>
    <row r="953" spans="8:12">
      <c r="H953" s="226"/>
      <c r="L953" s="226"/>
    </row>
    <row r="954" spans="8:12">
      <c r="H954" s="226"/>
      <c r="L954" s="226"/>
    </row>
    <row r="955" spans="8:12">
      <c r="H955" s="226"/>
      <c r="L955" s="226"/>
    </row>
    <row r="956" spans="8:12">
      <c r="H956" s="226"/>
      <c r="L956" s="226"/>
    </row>
    <row r="957" spans="8:12">
      <c r="H957" s="226"/>
      <c r="L957" s="226"/>
    </row>
    <row r="958" spans="8:12">
      <c r="H958" s="226"/>
      <c r="L958" s="226"/>
    </row>
    <row r="959" spans="8:12">
      <c r="H959" s="226"/>
      <c r="L959" s="226"/>
    </row>
    <row r="960" spans="8:12">
      <c r="H960" s="226"/>
      <c r="L960" s="226"/>
    </row>
    <row r="961" spans="8:12">
      <c r="H961" s="226"/>
      <c r="L961" s="226"/>
    </row>
    <row r="962" spans="8:12">
      <c r="H962" s="226"/>
      <c r="L962" s="226"/>
    </row>
    <row r="963" spans="8:12">
      <c r="H963" s="226"/>
      <c r="L963" s="226"/>
    </row>
    <row r="964" spans="8:12">
      <c r="H964" s="226"/>
      <c r="L964" s="226"/>
    </row>
    <row r="965" spans="8:12">
      <c r="H965" s="226"/>
      <c r="L965" s="226"/>
    </row>
    <row r="966" spans="8:12">
      <c r="H966" s="226"/>
      <c r="L966" s="226"/>
    </row>
    <row r="967" spans="8:12">
      <c r="H967" s="226"/>
      <c r="L967" s="226"/>
    </row>
    <row r="968" spans="8:12">
      <c r="H968" s="226"/>
      <c r="L968" s="226"/>
    </row>
    <row r="969" spans="8:12">
      <c r="H969" s="226"/>
      <c r="L969" s="226"/>
    </row>
    <row r="970" spans="8:12">
      <c r="H970" s="226"/>
      <c r="L970" s="226"/>
    </row>
    <row r="971" spans="8:12">
      <c r="H971" s="226"/>
      <c r="L971" s="226"/>
    </row>
    <row r="972" spans="8:12">
      <c r="H972" s="226"/>
      <c r="L972" s="226"/>
    </row>
    <row r="973" spans="8:12">
      <c r="H973" s="226"/>
      <c r="L973" s="226"/>
    </row>
    <row r="974" spans="8:12">
      <c r="H974" s="226"/>
      <c r="L974" s="226"/>
    </row>
    <row r="975" spans="8:12">
      <c r="H975" s="226"/>
      <c r="L975" s="226"/>
    </row>
    <row r="976" spans="8:12">
      <c r="H976" s="226"/>
      <c r="L976" s="226"/>
    </row>
    <row r="977" spans="8:12">
      <c r="H977" s="226"/>
      <c r="L977" s="226"/>
    </row>
    <row r="978" spans="8:12">
      <c r="H978" s="226"/>
      <c r="L978" s="226"/>
    </row>
    <row r="979" spans="8:12">
      <c r="H979" s="226"/>
      <c r="L979" s="226"/>
    </row>
    <row r="980" spans="8:12">
      <c r="H980" s="226"/>
      <c r="L980" s="226"/>
    </row>
    <row r="981" spans="8:12">
      <c r="H981" s="226"/>
      <c r="L981" s="226"/>
    </row>
    <row r="982" spans="8:12">
      <c r="H982" s="226"/>
      <c r="L982" s="226"/>
    </row>
    <row r="983" spans="8:12">
      <c r="H983" s="226"/>
      <c r="L983" s="226"/>
    </row>
    <row r="984" spans="8:12">
      <c r="H984" s="226"/>
      <c r="L984" s="226"/>
    </row>
    <row r="985" spans="8:12">
      <c r="H985" s="226"/>
      <c r="L985" s="226"/>
    </row>
    <row r="986" spans="8:12">
      <c r="H986" s="226"/>
      <c r="L986" s="226"/>
    </row>
    <row r="987" spans="8:12">
      <c r="H987" s="226"/>
      <c r="L987" s="226"/>
    </row>
    <row r="988" spans="8:12">
      <c r="H988" s="226"/>
      <c r="L988" s="226"/>
    </row>
    <row r="989" spans="8:12">
      <c r="H989" s="226"/>
      <c r="L989" s="226"/>
    </row>
    <row r="990" spans="8:12">
      <c r="H990" s="226"/>
      <c r="L990" s="226"/>
    </row>
    <row r="991" spans="8:12">
      <c r="H991" s="226"/>
      <c r="L991" s="226"/>
    </row>
    <row r="992" spans="8:12">
      <c r="H992" s="226"/>
      <c r="L992" s="226"/>
    </row>
    <row r="993" spans="8:12">
      <c r="H993" s="226"/>
      <c r="L993" s="226"/>
    </row>
    <row r="994" spans="8:12">
      <c r="H994" s="226"/>
      <c r="L994" s="226"/>
    </row>
    <row r="995" spans="8:12">
      <c r="H995" s="226"/>
      <c r="L995" s="226"/>
    </row>
    <row r="996" spans="8:12">
      <c r="H996" s="226"/>
      <c r="L996" s="226"/>
    </row>
    <row r="997" spans="8:12">
      <c r="H997" s="226"/>
      <c r="L997" s="226"/>
    </row>
    <row r="998" spans="8:12">
      <c r="H998" s="226"/>
      <c r="L998" s="226"/>
    </row>
    <row r="999" spans="8:12">
      <c r="H999" s="226"/>
      <c r="L999" s="226"/>
    </row>
    <row r="1000" spans="8:12">
      <c r="H1000" s="226"/>
      <c r="L1000" s="226"/>
    </row>
  </sheetData>
  <mergeCells count="4">
    <mergeCell ref="B3:H3"/>
    <mergeCell ref="I3:T3"/>
    <mergeCell ref="B57:H57"/>
    <mergeCell ref="I57:T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ColWidth="14.5" defaultRowHeight="15" customHeight="1"/>
  <cols>
    <col min="1" max="1" width="1.83203125" customWidth="1"/>
    <col min="2" max="2" width="14.1640625" customWidth="1"/>
    <col min="3" max="3" width="67.5" customWidth="1"/>
    <col min="4" max="4" width="9.33203125" customWidth="1"/>
    <col min="5" max="5" width="11.33203125" customWidth="1"/>
    <col min="6" max="6" width="16.33203125" customWidth="1"/>
    <col min="7" max="15" width="13.5" customWidth="1"/>
    <col min="16" max="16" width="28.1640625" customWidth="1"/>
    <col min="17" max="18" width="12.83203125" customWidth="1"/>
    <col min="19" max="19" width="9.6640625" customWidth="1"/>
    <col min="20" max="22" width="8.6640625" customWidth="1"/>
  </cols>
  <sheetData>
    <row r="1" spans="1:22" ht="15.75" customHeight="1">
      <c r="A1" s="1"/>
      <c r="B1" s="2" t="s">
        <v>390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1"/>
      <c r="B2" s="53"/>
      <c r="C2" s="1"/>
      <c r="D2" s="3"/>
      <c r="E2" s="3"/>
      <c r="F2" s="1"/>
      <c r="G2" s="1">
        <v>6</v>
      </c>
      <c r="H2" s="1">
        <v>7</v>
      </c>
      <c r="I2" s="1">
        <v>8</v>
      </c>
      <c r="J2" s="1">
        <v>9</v>
      </c>
      <c r="K2" s="1"/>
      <c r="L2" s="1"/>
      <c r="M2" s="1">
        <v>9</v>
      </c>
      <c r="N2" s="1"/>
      <c r="O2" s="1"/>
      <c r="P2" s="1"/>
      <c r="Q2" s="1"/>
      <c r="R2" s="1"/>
      <c r="S2" s="1"/>
      <c r="T2" s="1"/>
      <c r="U2" s="1"/>
      <c r="V2" s="1"/>
    </row>
    <row r="3" spans="1:22" ht="44.25" customHeight="1">
      <c r="A3" s="14"/>
      <c r="B3" s="144" t="s">
        <v>1</v>
      </c>
      <c r="C3" s="254" t="s">
        <v>2</v>
      </c>
      <c r="D3" s="148" t="s">
        <v>3</v>
      </c>
      <c r="E3" s="149" t="s">
        <v>4</v>
      </c>
      <c r="F3" s="150" t="s">
        <v>5</v>
      </c>
      <c r="G3" s="151">
        <v>45107</v>
      </c>
      <c r="H3" s="151">
        <v>45138</v>
      </c>
      <c r="I3" s="151">
        <v>45169</v>
      </c>
      <c r="J3" s="151">
        <v>45199</v>
      </c>
      <c r="K3" s="151">
        <v>45230</v>
      </c>
      <c r="L3" s="151">
        <v>45260</v>
      </c>
      <c r="M3" s="151">
        <v>45283</v>
      </c>
      <c r="N3" s="151">
        <v>45314</v>
      </c>
      <c r="O3" s="151">
        <v>45345</v>
      </c>
      <c r="P3" s="152" t="s">
        <v>6</v>
      </c>
      <c r="Q3" s="14"/>
      <c r="R3" s="14"/>
      <c r="S3" s="14"/>
      <c r="T3" s="14"/>
      <c r="U3" s="14"/>
      <c r="V3" s="14"/>
    </row>
    <row r="4" spans="1:22" ht="24.75" hidden="1" customHeight="1">
      <c r="A4" s="14"/>
      <c r="B4" s="153"/>
      <c r="C4" s="154"/>
      <c r="D4" s="157"/>
      <c r="E4" s="158"/>
      <c r="F4" s="159"/>
      <c r="G4" s="160"/>
      <c r="H4" s="160"/>
      <c r="I4" s="160"/>
      <c r="J4" s="160"/>
      <c r="K4" s="160"/>
      <c r="L4" s="160"/>
      <c r="M4" s="160"/>
      <c r="N4" s="160"/>
      <c r="O4" s="160"/>
      <c r="P4" s="161"/>
      <c r="Q4" s="14"/>
      <c r="R4" s="14"/>
      <c r="S4" s="14"/>
      <c r="T4" s="14"/>
      <c r="U4" s="14"/>
      <c r="V4" s="14"/>
    </row>
    <row r="5" spans="1:22" ht="24.75" customHeight="1">
      <c r="A5" s="1"/>
      <c r="B5" s="162">
        <v>1</v>
      </c>
      <c r="C5" s="90" t="s">
        <v>1123</v>
      </c>
      <c r="D5" s="166">
        <v>1</v>
      </c>
      <c r="E5" s="167" t="s">
        <v>43</v>
      </c>
      <c r="F5" s="168"/>
      <c r="G5" s="25"/>
      <c r="H5" s="25"/>
      <c r="I5" s="25"/>
      <c r="J5" s="25"/>
      <c r="K5" s="25"/>
      <c r="L5" s="25"/>
      <c r="M5" s="25"/>
      <c r="N5" s="25"/>
      <c r="O5" s="26">
        <v>12000</v>
      </c>
      <c r="P5" s="169" t="s">
        <v>1124</v>
      </c>
      <c r="Q5" s="1"/>
      <c r="R5" s="1"/>
      <c r="S5" s="170">
        <f t="shared" ref="S5:S9" si="0">IF((D5)=0,"",(B4+1))</f>
        <v>1</v>
      </c>
      <c r="T5" s="1"/>
      <c r="U5" s="1"/>
      <c r="V5" s="1"/>
    </row>
    <row r="6" spans="1:22" ht="24.75" customHeight="1">
      <c r="A6" s="1"/>
      <c r="B6" s="162">
        <v>2</v>
      </c>
      <c r="C6" s="255" t="s">
        <v>1125</v>
      </c>
      <c r="D6" s="166">
        <v>1</v>
      </c>
      <c r="E6" s="167" t="s">
        <v>43</v>
      </c>
      <c r="F6" s="168"/>
      <c r="G6" s="25"/>
      <c r="H6" s="25"/>
      <c r="I6" s="25"/>
      <c r="J6" s="25"/>
      <c r="K6" s="25"/>
      <c r="L6" s="25"/>
      <c r="M6" s="25"/>
      <c r="N6" s="25"/>
      <c r="O6" s="25"/>
      <c r="P6" s="169" t="s">
        <v>44</v>
      </c>
      <c r="Q6" s="1"/>
      <c r="R6" s="1"/>
      <c r="S6" s="170">
        <f t="shared" si="0"/>
        <v>2</v>
      </c>
      <c r="T6" s="1"/>
      <c r="U6" s="1"/>
      <c r="V6" s="1"/>
    </row>
    <row r="7" spans="1:22" ht="24.75" customHeight="1">
      <c r="A7" s="1"/>
      <c r="B7" s="162">
        <v>3</v>
      </c>
      <c r="C7" s="90" t="s">
        <v>1126</v>
      </c>
      <c r="D7" s="166">
        <v>1</v>
      </c>
      <c r="E7" s="167" t="s">
        <v>10</v>
      </c>
      <c r="F7" s="168"/>
      <c r="G7" s="25"/>
      <c r="H7" s="25"/>
      <c r="I7" s="25"/>
      <c r="J7" s="26">
        <v>2150</v>
      </c>
      <c r="K7" s="26"/>
      <c r="L7" s="26"/>
      <c r="M7" s="26"/>
      <c r="N7" s="26">
        <v>8500</v>
      </c>
      <c r="O7" s="26"/>
      <c r="P7" s="130"/>
      <c r="Q7" s="1"/>
      <c r="R7" s="1"/>
      <c r="S7" s="170">
        <f t="shared" si="0"/>
        <v>3</v>
      </c>
      <c r="T7" s="1"/>
      <c r="U7" s="1"/>
      <c r="V7" s="1"/>
    </row>
    <row r="8" spans="1:22" ht="24.75" customHeight="1">
      <c r="A8" s="1"/>
      <c r="B8" s="162">
        <v>4</v>
      </c>
      <c r="C8" s="90" t="s">
        <v>1127</v>
      </c>
      <c r="D8" s="166">
        <v>1</v>
      </c>
      <c r="E8" s="167" t="s">
        <v>10</v>
      </c>
      <c r="F8" s="168"/>
      <c r="G8" s="25"/>
      <c r="H8" s="25"/>
      <c r="I8" s="25"/>
      <c r="J8" s="25"/>
      <c r="K8" s="25"/>
      <c r="L8" s="25"/>
      <c r="M8" s="25"/>
      <c r="N8" s="26">
        <v>18500</v>
      </c>
      <c r="O8" s="26"/>
      <c r="P8" s="130"/>
      <c r="Q8" s="1"/>
      <c r="R8" s="1"/>
      <c r="S8" s="170">
        <f t="shared" si="0"/>
        <v>4</v>
      </c>
      <c r="T8" s="1"/>
      <c r="U8" s="1"/>
      <c r="V8" s="1"/>
    </row>
    <row r="9" spans="1:22" ht="24.75" customHeight="1">
      <c r="A9" s="1"/>
      <c r="B9" s="162">
        <v>5</v>
      </c>
      <c r="C9" s="76" t="s">
        <v>21</v>
      </c>
      <c r="D9" s="166">
        <v>1</v>
      </c>
      <c r="E9" s="256" t="s">
        <v>22</v>
      </c>
      <c r="F9" s="179"/>
      <c r="G9" s="32"/>
      <c r="H9" s="32">
        <v>2149.9899999999998</v>
      </c>
      <c r="I9" s="32"/>
      <c r="J9" s="257">
        <v>2050</v>
      </c>
      <c r="K9" s="32"/>
      <c r="L9" s="32">
        <v>2050</v>
      </c>
      <c r="M9" s="31"/>
      <c r="N9" s="32">
        <f>2450/1.18</f>
        <v>2076.2711864406779</v>
      </c>
      <c r="O9" s="32">
        <f>2290/1.18</f>
        <v>1940.6779661016951</v>
      </c>
      <c r="P9" s="181" t="s">
        <v>1128</v>
      </c>
      <c r="Q9" s="112"/>
      <c r="R9" s="112"/>
      <c r="S9" s="170">
        <f t="shared" si="0"/>
        <v>5</v>
      </c>
      <c r="T9" s="112"/>
      <c r="U9" s="112"/>
      <c r="V9" s="112"/>
    </row>
    <row r="10" spans="1:22" ht="24.75" customHeight="1">
      <c r="A10" s="1"/>
      <c r="B10" s="162">
        <v>6</v>
      </c>
      <c r="C10" s="76" t="s">
        <v>25</v>
      </c>
      <c r="D10" s="258">
        <v>1</v>
      </c>
      <c r="E10" s="259" t="s">
        <v>26</v>
      </c>
      <c r="F10" s="187"/>
      <c r="G10" s="32"/>
      <c r="H10" s="32"/>
      <c r="I10" s="32">
        <v>37391.300000000003</v>
      </c>
      <c r="J10" s="32">
        <v>37391.300000000003</v>
      </c>
      <c r="K10" s="32"/>
      <c r="L10" s="32">
        <v>35652.17</v>
      </c>
      <c r="M10" s="32">
        <v>35652.17</v>
      </c>
      <c r="N10" s="32"/>
      <c r="O10" s="32"/>
      <c r="P10" s="181"/>
      <c r="Q10" s="112"/>
      <c r="R10" s="112"/>
      <c r="S10" s="170" t="e">
        <f>IF((D10)=0,"",(#REF!+1))</f>
        <v>#REF!</v>
      </c>
      <c r="T10" s="112"/>
      <c r="U10" s="112"/>
      <c r="V10" s="112"/>
    </row>
    <row r="11" spans="1:22" ht="24.75" customHeight="1">
      <c r="A11" s="1"/>
      <c r="B11" s="162">
        <v>7</v>
      </c>
      <c r="C11" s="76" t="s">
        <v>28</v>
      </c>
      <c r="D11" s="258">
        <v>1</v>
      </c>
      <c r="E11" s="259" t="s">
        <v>29</v>
      </c>
      <c r="F11" s="187"/>
      <c r="G11" s="32"/>
      <c r="H11" s="32"/>
      <c r="I11" s="32"/>
      <c r="J11" s="32"/>
      <c r="K11" s="32"/>
      <c r="L11" s="32"/>
      <c r="M11" s="32"/>
      <c r="N11" s="32">
        <v>250</v>
      </c>
      <c r="O11" s="32"/>
      <c r="P11" s="181"/>
      <c r="Q11" s="112"/>
      <c r="R11" s="112"/>
      <c r="S11" s="170">
        <f t="shared" ref="S11:S54" si="1">IF((D11)=0,"",(B10+1))</f>
        <v>7</v>
      </c>
      <c r="T11" s="112"/>
      <c r="U11" s="112"/>
      <c r="V11" s="112"/>
    </row>
    <row r="12" spans="1:22" ht="24.75" customHeight="1">
      <c r="A12" s="1"/>
      <c r="B12" s="162">
        <v>8</v>
      </c>
      <c r="C12" s="76" t="s">
        <v>31</v>
      </c>
      <c r="D12" s="258">
        <v>1</v>
      </c>
      <c r="E12" s="259" t="s">
        <v>29</v>
      </c>
      <c r="F12" s="187"/>
      <c r="G12" s="32"/>
      <c r="H12" s="32"/>
      <c r="I12" s="32"/>
      <c r="J12" s="32"/>
      <c r="K12" s="32"/>
      <c r="L12" s="32"/>
      <c r="M12" s="32"/>
      <c r="N12" s="32">
        <v>1300</v>
      </c>
      <c r="O12" s="32"/>
      <c r="P12" s="181"/>
      <c r="Q12" s="112"/>
      <c r="R12" s="112"/>
      <c r="S12" s="170">
        <f t="shared" si="1"/>
        <v>8</v>
      </c>
      <c r="T12" s="112"/>
      <c r="U12" s="112"/>
      <c r="V12" s="112"/>
    </row>
    <row r="13" spans="1:22" ht="24.75" customHeight="1">
      <c r="A13" s="1"/>
      <c r="B13" s="162">
        <v>9</v>
      </c>
      <c r="C13" s="76" t="s">
        <v>1129</v>
      </c>
      <c r="D13" s="166">
        <v>1</v>
      </c>
      <c r="E13" s="167" t="s">
        <v>10</v>
      </c>
      <c r="F13" s="187"/>
      <c r="G13" s="32"/>
      <c r="H13" s="32"/>
      <c r="I13" s="32"/>
      <c r="J13" s="32"/>
      <c r="K13" s="32"/>
      <c r="L13" s="32"/>
      <c r="M13" s="32"/>
      <c r="N13" s="32">
        <v>10000</v>
      </c>
      <c r="O13" s="32"/>
      <c r="P13" s="181"/>
      <c r="Q13" s="112"/>
      <c r="R13" s="112"/>
      <c r="S13" s="170">
        <f t="shared" si="1"/>
        <v>9</v>
      </c>
      <c r="T13" s="112"/>
      <c r="U13" s="112"/>
      <c r="V13" s="112"/>
    </row>
    <row r="14" spans="1:22" ht="24.75" customHeight="1">
      <c r="A14" s="1"/>
      <c r="B14" s="162">
        <v>10</v>
      </c>
      <c r="C14" s="76" t="s">
        <v>1130</v>
      </c>
      <c r="D14" s="166">
        <v>1</v>
      </c>
      <c r="E14" s="167" t="s">
        <v>10</v>
      </c>
      <c r="F14" s="187"/>
      <c r="G14" s="32"/>
      <c r="H14" s="32">
        <v>28500</v>
      </c>
      <c r="I14" s="32"/>
      <c r="J14" s="32">
        <v>8500</v>
      </c>
      <c r="K14" s="32"/>
      <c r="L14" s="32"/>
      <c r="M14" s="32"/>
      <c r="N14" s="32">
        <v>20000</v>
      </c>
      <c r="O14" s="32"/>
      <c r="P14" s="181"/>
      <c r="Q14" s="112"/>
      <c r="R14" s="112"/>
      <c r="S14" s="170">
        <f t="shared" si="1"/>
        <v>10</v>
      </c>
      <c r="T14" s="112"/>
      <c r="U14" s="112"/>
      <c r="V14" s="112">
        <f>25000/2.83</f>
        <v>8833.9222614840983</v>
      </c>
    </row>
    <row r="15" spans="1:22" ht="24.75" customHeight="1">
      <c r="A15" s="1"/>
      <c r="B15" s="162">
        <v>11</v>
      </c>
      <c r="C15" s="76" t="s">
        <v>1131</v>
      </c>
      <c r="D15" s="166">
        <v>1</v>
      </c>
      <c r="E15" s="167" t="s">
        <v>43</v>
      </c>
      <c r="F15" s="187"/>
      <c r="G15" s="32"/>
      <c r="H15" s="32"/>
      <c r="I15" s="32"/>
      <c r="J15" s="32"/>
      <c r="K15" s="32">
        <v>22250</v>
      </c>
      <c r="L15" s="32">
        <v>22250</v>
      </c>
      <c r="M15" s="32"/>
      <c r="N15" s="32">
        <v>20000</v>
      </c>
      <c r="O15" s="32"/>
      <c r="P15" s="181"/>
      <c r="Q15" s="112"/>
      <c r="R15" s="112"/>
      <c r="S15" s="170">
        <f t="shared" si="1"/>
        <v>11</v>
      </c>
      <c r="T15" s="112"/>
      <c r="U15" s="112"/>
      <c r="V15" s="112"/>
    </row>
    <row r="16" spans="1:22" ht="24.75" customHeight="1">
      <c r="A16" s="1"/>
      <c r="B16" s="162">
        <v>12</v>
      </c>
      <c r="C16" s="76" t="s">
        <v>1132</v>
      </c>
      <c r="D16" s="166">
        <v>1</v>
      </c>
      <c r="E16" s="167" t="s">
        <v>43</v>
      </c>
      <c r="F16" s="187"/>
      <c r="G16" s="32"/>
      <c r="H16" s="32"/>
      <c r="I16" s="32"/>
      <c r="J16" s="32">
        <v>6750</v>
      </c>
      <c r="K16" s="32"/>
      <c r="L16" s="32"/>
      <c r="M16" s="32"/>
      <c r="N16" s="32">
        <v>11000</v>
      </c>
      <c r="O16" s="32"/>
      <c r="P16" s="181" t="s">
        <v>1133</v>
      </c>
      <c r="Q16" s="112"/>
      <c r="R16" s="112"/>
      <c r="S16" s="170">
        <f t="shared" si="1"/>
        <v>12</v>
      </c>
      <c r="T16" s="112"/>
      <c r="U16" s="112"/>
      <c r="V16" s="112">
        <f>19000/2.83</f>
        <v>6713.7809187279154</v>
      </c>
    </row>
    <row r="17" spans="1:22" ht="24.75" hidden="1" customHeight="1">
      <c r="A17" s="1"/>
      <c r="B17" s="162">
        <v>13</v>
      </c>
      <c r="C17" s="188" t="s">
        <v>42</v>
      </c>
      <c r="D17" s="166">
        <v>1</v>
      </c>
      <c r="E17" s="167" t="s">
        <v>43</v>
      </c>
      <c r="F17" s="187"/>
      <c r="G17" s="32"/>
      <c r="H17" s="32"/>
      <c r="I17" s="32"/>
      <c r="J17" s="32"/>
      <c r="K17" s="32"/>
      <c r="L17" s="32"/>
      <c r="M17" s="32"/>
      <c r="N17" s="32"/>
      <c r="O17" s="32"/>
      <c r="P17" s="181" t="s">
        <v>44</v>
      </c>
      <c r="Q17" s="112"/>
      <c r="R17" s="112"/>
      <c r="S17" s="170">
        <f t="shared" si="1"/>
        <v>13</v>
      </c>
      <c r="T17" s="112"/>
      <c r="U17" s="112"/>
      <c r="V17" s="112"/>
    </row>
    <row r="18" spans="1:22" ht="24.75" customHeight="1">
      <c r="A18" s="1"/>
      <c r="B18" s="162">
        <v>14</v>
      </c>
      <c r="C18" s="76" t="s">
        <v>46</v>
      </c>
      <c r="D18" s="166">
        <v>1</v>
      </c>
      <c r="E18" s="167" t="s">
        <v>43</v>
      </c>
      <c r="F18" s="187"/>
      <c r="G18" s="32"/>
      <c r="H18" s="32"/>
      <c r="I18" s="32"/>
      <c r="J18" s="32"/>
      <c r="K18" s="32">
        <v>24625</v>
      </c>
      <c r="L18" s="32">
        <v>24625</v>
      </c>
      <c r="M18" s="32">
        <v>24625</v>
      </c>
      <c r="N18" s="32">
        <v>24625</v>
      </c>
      <c r="O18" s="32"/>
      <c r="P18" s="181" t="s">
        <v>1134</v>
      </c>
      <c r="Q18" s="112" t="s">
        <v>1135</v>
      </c>
      <c r="R18" s="112"/>
      <c r="S18" s="170">
        <f t="shared" si="1"/>
        <v>14</v>
      </c>
      <c r="T18" s="112"/>
      <c r="U18" s="112"/>
      <c r="V18" s="112"/>
    </row>
    <row r="19" spans="1:22" ht="24.75" customHeight="1">
      <c r="A19" s="1"/>
      <c r="B19" s="162">
        <v>15</v>
      </c>
      <c r="C19" s="76" t="s">
        <v>47</v>
      </c>
      <c r="D19" s="166">
        <v>1</v>
      </c>
      <c r="E19" s="167" t="s">
        <v>43</v>
      </c>
      <c r="F19" s="187"/>
      <c r="G19" s="32"/>
      <c r="H19" s="32"/>
      <c r="I19" s="32"/>
      <c r="J19" s="32">
        <v>26000</v>
      </c>
      <c r="K19" s="32">
        <v>25575</v>
      </c>
      <c r="L19" s="32">
        <v>25575</v>
      </c>
      <c r="M19" s="32">
        <v>25575</v>
      </c>
      <c r="N19" s="32">
        <v>25575</v>
      </c>
      <c r="O19" s="32"/>
      <c r="P19" s="181" t="s">
        <v>1134</v>
      </c>
      <c r="Q19" s="112" t="s">
        <v>1136</v>
      </c>
      <c r="R19" s="112"/>
      <c r="S19" s="170">
        <f t="shared" si="1"/>
        <v>15</v>
      </c>
      <c r="T19" s="112"/>
      <c r="U19" s="112"/>
      <c r="V19" s="112"/>
    </row>
    <row r="20" spans="1:22" ht="24.75" customHeight="1">
      <c r="A20" s="1"/>
      <c r="B20" s="162">
        <v>16</v>
      </c>
      <c r="C20" s="76" t="s">
        <v>48</v>
      </c>
      <c r="D20" s="166">
        <v>1</v>
      </c>
      <c r="E20" s="167" t="s">
        <v>43</v>
      </c>
      <c r="F20" s="187"/>
      <c r="G20" s="32"/>
      <c r="H20" s="32"/>
      <c r="I20" s="32"/>
      <c r="J20" s="32">
        <v>28000</v>
      </c>
      <c r="K20" s="32">
        <v>26375</v>
      </c>
      <c r="L20" s="32">
        <v>26375</v>
      </c>
      <c r="M20" s="32">
        <v>26375</v>
      </c>
      <c r="N20" s="32">
        <v>26375</v>
      </c>
      <c r="O20" s="32"/>
      <c r="P20" s="181" t="s">
        <v>1134</v>
      </c>
      <c r="Q20" s="112" t="s">
        <v>1137</v>
      </c>
      <c r="R20" s="112"/>
      <c r="S20" s="170">
        <f t="shared" si="1"/>
        <v>16</v>
      </c>
      <c r="T20" s="112"/>
      <c r="U20" s="112"/>
      <c r="V20" s="112"/>
    </row>
    <row r="21" spans="1:22" ht="24.75" customHeight="1">
      <c r="A21" s="1"/>
      <c r="B21" s="162">
        <v>17</v>
      </c>
      <c r="C21" s="76" t="s">
        <v>49</v>
      </c>
      <c r="D21" s="166">
        <v>1</v>
      </c>
      <c r="E21" s="167" t="s">
        <v>43</v>
      </c>
      <c r="F21" s="187"/>
      <c r="G21" s="32"/>
      <c r="H21" s="32">
        <v>27900</v>
      </c>
      <c r="I21" s="32"/>
      <c r="J21" s="32"/>
      <c r="K21" s="32">
        <v>27325</v>
      </c>
      <c r="L21" s="32">
        <v>27325</v>
      </c>
      <c r="M21" s="32">
        <v>27325</v>
      </c>
      <c r="N21" s="32">
        <v>27325</v>
      </c>
      <c r="O21" s="32"/>
      <c r="P21" s="181" t="s">
        <v>1134</v>
      </c>
      <c r="Q21" s="112" t="s">
        <v>1138</v>
      </c>
      <c r="R21" s="112"/>
      <c r="S21" s="170">
        <f t="shared" si="1"/>
        <v>17</v>
      </c>
      <c r="T21" s="112"/>
      <c r="U21" s="112"/>
      <c r="V21" s="112"/>
    </row>
    <row r="22" spans="1:22" ht="24.75" customHeight="1">
      <c r="A22" s="1"/>
      <c r="B22" s="162">
        <v>18</v>
      </c>
      <c r="C22" s="76" t="s">
        <v>77</v>
      </c>
      <c r="D22" s="166">
        <v>1</v>
      </c>
      <c r="E22" s="167" t="s">
        <v>89</v>
      </c>
      <c r="F22" s="187"/>
      <c r="G22" s="32"/>
      <c r="H22" s="32"/>
      <c r="I22" s="32"/>
      <c r="J22" s="32"/>
      <c r="K22" s="32"/>
      <c r="L22" s="32"/>
      <c r="M22" s="32"/>
      <c r="N22" s="32">
        <v>90</v>
      </c>
      <c r="O22" s="32"/>
      <c r="P22" s="181"/>
      <c r="Q22" s="112"/>
      <c r="R22" s="112"/>
      <c r="S22" s="170">
        <f t="shared" si="1"/>
        <v>18</v>
      </c>
      <c r="T22" s="112"/>
      <c r="U22" s="112"/>
      <c r="V22" s="112"/>
    </row>
    <row r="23" spans="1:22" ht="24.75" customHeight="1">
      <c r="A23" s="1"/>
      <c r="B23" s="162">
        <v>19</v>
      </c>
      <c r="C23" s="76" t="s">
        <v>82</v>
      </c>
      <c r="D23" s="166">
        <v>1</v>
      </c>
      <c r="E23" s="167" t="s">
        <v>89</v>
      </c>
      <c r="F23" s="187"/>
      <c r="G23" s="32"/>
      <c r="H23" s="32"/>
      <c r="I23" s="32"/>
      <c r="J23" s="32">
        <v>35</v>
      </c>
      <c r="K23" s="32"/>
      <c r="L23" s="32"/>
      <c r="M23" s="32"/>
      <c r="N23" s="32">
        <v>180</v>
      </c>
      <c r="O23" s="32"/>
      <c r="P23" s="181"/>
      <c r="Q23" s="112"/>
      <c r="R23" s="112"/>
      <c r="S23" s="170">
        <f t="shared" si="1"/>
        <v>19</v>
      </c>
      <c r="T23" s="112"/>
      <c r="U23" s="112"/>
      <c r="V23" s="112"/>
    </row>
    <row r="24" spans="1:22" ht="24.75" customHeight="1">
      <c r="A24" s="1"/>
      <c r="B24" s="162">
        <v>20</v>
      </c>
      <c r="C24" s="76" t="s">
        <v>86</v>
      </c>
      <c r="D24" s="166">
        <v>1</v>
      </c>
      <c r="E24" s="167" t="s">
        <v>89</v>
      </c>
      <c r="F24" s="187"/>
      <c r="G24" s="32"/>
      <c r="H24" s="32"/>
      <c r="I24" s="32"/>
      <c r="J24" s="32">
        <v>80</v>
      </c>
      <c r="K24" s="32"/>
      <c r="L24" s="32"/>
      <c r="M24" s="32"/>
      <c r="N24" s="32">
        <v>250</v>
      </c>
      <c r="O24" s="32"/>
      <c r="P24" s="181"/>
      <c r="Q24" s="112"/>
      <c r="R24" s="112"/>
      <c r="S24" s="170">
        <f t="shared" si="1"/>
        <v>20</v>
      </c>
      <c r="T24" s="112"/>
      <c r="U24" s="112"/>
      <c r="V24" s="112"/>
    </row>
    <row r="25" spans="1:22" ht="24.75" customHeight="1">
      <c r="A25" s="1"/>
      <c r="B25" s="162">
        <v>21</v>
      </c>
      <c r="C25" s="76" t="s">
        <v>1139</v>
      </c>
      <c r="D25" s="166">
        <v>1</v>
      </c>
      <c r="E25" s="167" t="s">
        <v>89</v>
      </c>
      <c r="F25" s="187"/>
      <c r="G25" s="32"/>
      <c r="H25" s="32"/>
      <c r="I25" s="32"/>
      <c r="J25" s="32"/>
      <c r="K25" s="32"/>
      <c r="L25" s="32"/>
      <c r="M25" s="32"/>
      <c r="N25" s="32"/>
      <c r="O25" s="32"/>
      <c r="P25" s="181"/>
      <c r="Q25" s="112"/>
      <c r="R25" s="112"/>
      <c r="S25" s="170">
        <f t="shared" si="1"/>
        <v>21</v>
      </c>
      <c r="T25" s="112"/>
      <c r="U25" s="112"/>
      <c r="V25" s="112"/>
    </row>
    <row r="26" spans="1:22" ht="24.75" customHeight="1">
      <c r="A26" s="1"/>
      <c r="B26" s="162">
        <v>22</v>
      </c>
      <c r="C26" s="76" t="s">
        <v>1140</v>
      </c>
      <c r="D26" s="166">
        <v>1</v>
      </c>
      <c r="E26" s="167" t="s">
        <v>89</v>
      </c>
      <c r="F26" s="187"/>
      <c r="G26" s="32"/>
      <c r="H26" s="32"/>
      <c r="I26" s="32"/>
      <c r="J26" s="32"/>
      <c r="K26" s="32"/>
      <c r="L26" s="32"/>
      <c r="M26" s="32"/>
      <c r="N26" s="32"/>
      <c r="O26" s="32"/>
      <c r="P26" s="181"/>
      <c r="Q26" s="112"/>
      <c r="R26" s="112"/>
      <c r="S26" s="170">
        <f t="shared" si="1"/>
        <v>22</v>
      </c>
      <c r="T26" s="112"/>
      <c r="U26" s="112"/>
      <c r="V26" s="112"/>
    </row>
    <row r="27" spans="1:22" ht="24.75" customHeight="1">
      <c r="A27" s="1"/>
      <c r="B27" s="162">
        <v>23</v>
      </c>
      <c r="C27" s="76" t="s">
        <v>1141</v>
      </c>
      <c r="D27" s="166">
        <v>1</v>
      </c>
      <c r="E27" s="167" t="s">
        <v>52</v>
      </c>
      <c r="F27" s="187"/>
      <c r="G27" s="32"/>
      <c r="H27" s="32"/>
      <c r="I27" s="32"/>
      <c r="J27" s="32"/>
      <c r="K27" s="32"/>
      <c r="L27" s="32"/>
      <c r="M27" s="32"/>
      <c r="N27" s="32">
        <v>6500</v>
      </c>
      <c r="O27" s="32"/>
      <c r="P27" s="181"/>
      <c r="Q27" s="112"/>
      <c r="R27" s="112"/>
      <c r="S27" s="170">
        <f t="shared" si="1"/>
        <v>23</v>
      </c>
      <c r="T27" s="112"/>
      <c r="U27" s="112"/>
      <c r="V27" s="112"/>
    </row>
    <row r="28" spans="1:22" ht="24.75" customHeight="1">
      <c r="A28" s="1"/>
      <c r="B28" s="162">
        <v>24</v>
      </c>
      <c r="C28" s="76" t="s">
        <v>1142</v>
      </c>
      <c r="D28" s="166">
        <v>1</v>
      </c>
      <c r="E28" s="167" t="s">
        <v>52</v>
      </c>
      <c r="F28" s="179"/>
      <c r="G28" s="32"/>
      <c r="H28" s="39"/>
      <c r="I28" s="31"/>
      <c r="J28" s="32">
        <v>7500</v>
      </c>
      <c r="K28" s="31"/>
      <c r="L28" s="31"/>
      <c r="M28" s="31"/>
      <c r="N28" s="32">
        <f>7000*108%</f>
        <v>7560.0000000000009</v>
      </c>
      <c r="O28" s="32"/>
      <c r="P28" s="181"/>
      <c r="Q28" s="112"/>
      <c r="R28" s="112"/>
      <c r="S28" s="170">
        <f t="shared" si="1"/>
        <v>24</v>
      </c>
      <c r="T28" s="112"/>
      <c r="U28" s="112"/>
      <c r="V28" s="112"/>
    </row>
    <row r="29" spans="1:22" ht="24.75" customHeight="1">
      <c r="A29" s="1"/>
      <c r="B29" s="162">
        <v>25</v>
      </c>
      <c r="C29" s="188" t="s">
        <v>1143</v>
      </c>
      <c r="D29" s="166">
        <v>1</v>
      </c>
      <c r="E29" s="167" t="s">
        <v>52</v>
      </c>
      <c r="F29" s="187"/>
      <c r="G29" s="32"/>
      <c r="H29" s="32"/>
      <c r="I29" s="32"/>
      <c r="J29" s="32"/>
      <c r="K29" s="32"/>
      <c r="L29" s="32"/>
      <c r="M29" s="32"/>
      <c r="N29" s="32"/>
      <c r="O29" s="32"/>
      <c r="P29" s="181" t="s">
        <v>1144</v>
      </c>
      <c r="Q29" s="112"/>
      <c r="R29" s="112"/>
      <c r="S29" s="170">
        <f t="shared" si="1"/>
        <v>25</v>
      </c>
      <c r="T29" s="112"/>
      <c r="U29" s="112"/>
      <c r="V29" s="112"/>
    </row>
    <row r="30" spans="1:22" ht="24.75" customHeight="1">
      <c r="A30" s="1"/>
      <c r="B30" s="162">
        <v>26</v>
      </c>
      <c r="C30" s="188" t="s">
        <v>92</v>
      </c>
      <c r="D30" s="166">
        <v>1</v>
      </c>
      <c r="E30" s="167" t="s">
        <v>52</v>
      </c>
      <c r="F30" s="187"/>
      <c r="G30" s="32"/>
      <c r="H30" s="39"/>
      <c r="I30" s="31"/>
      <c r="J30" s="31"/>
      <c r="K30" s="31"/>
      <c r="L30" s="31"/>
      <c r="M30" s="31"/>
      <c r="N30" s="31"/>
      <c r="O30" s="31"/>
      <c r="P30" s="260" t="s">
        <v>1144</v>
      </c>
      <c r="Q30" s="112"/>
      <c r="R30" s="112"/>
      <c r="S30" s="170">
        <f t="shared" si="1"/>
        <v>26</v>
      </c>
      <c r="T30" s="112"/>
      <c r="U30" s="112"/>
      <c r="V30" s="112"/>
    </row>
    <row r="31" spans="1:22" ht="24.75" customHeight="1">
      <c r="A31" s="1"/>
      <c r="B31" s="162">
        <v>27</v>
      </c>
      <c r="C31" s="200" t="s">
        <v>184</v>
      </c>
      <c r="D31" s="202">
        <v>1</v>
      </c>
      <c r="E31" s="191" t="s">
        <v>29</v>
      </c>
      <c r="F31" s="187"/>
      <c r="G31" s="40"/>
      <c r="H31" s="40"/>
      <c r="I31" s="40"/>
      <c r="J31" s="40">
        <v>450</v>
      </c>
      <c r="K31" s="40"/>
      <c r="L31" s="40"/>
      <c r="M31" s="40"/>
      <c r="N31" s="40">
        <v>450</v>
      </c>
      <c r="O31" s="40"/>
      <c r="P31" s="189"/>
      <c r="Q31" s="112"/>
      <c r="R31" s="112"/>
      <c r="S31" s="170">
        <f t="shared" si="1"/>
        <v>27</v>
      </c>
      <c r="T31" s="112"/>
      <c r="U31" s="112"/>
      <c r="V31" s="112"/>
    </row>
    <row r="32" spans="1:22" ht="24.75" customHeight="1">
      <c r="A32" s="1"/>
      <c r="B32" s="162">
        <v>28</v>
      </c>
      <c r="C32" s="200" t="s">
        <v>1145</v>
      </c>
      <c r="D32" s="202">
        <v>1</v>
      </c>
      <c r="E32" s="191" t="s">
        <v>89</v>
      </c>
      <c r="F32" s="187"/>
      <c r="G32" s="40"/>
      <c r="H32" s="40"/>
      <c r="I32" s="40"/>
      <c r="J32" s="40"/>
      <c r="K32" s="40"/>
      <c r="L32" s="40"/>
      <c r="M32" s="40"/>
      <c r="N32" s="40">
        <v>225</v>
      </c>
      <c r="O32" s="40"/>
      <c r="P32" s="189"/>
      <c r="Q32" s="112"/>
      <c r="R32" s="112"/>
      <c r="S32" s="170">
        <f t="shared" si="1"/>
        <v>28</v>
      </c>
      <c r="T32" s="112"/>
      <c r="U32" s="112"/>
      <c r="V32" s="112"/>
    </row>
    <row r="33" spans="1:22" ht="24.75" customHeight="1">
      <c r="A33" s="1"/>
      <c r="B33" s="162">
        <v>29</v>
      </c>
      <c r="C33" s="261" t="s">
        <v>1146</v>
      </c>
      <c r="D33" s="202">
        <v>1</v>
      </c>
      <c r="E33" s="191" t="s">
        <v>1147</v>
      </c>
      <c r="F33" s="187"/>
      <c r="G33" s="40"/>
      <c r="H33" s="40"/>
      <c r="I33" s="40"/>
      <c r="J33" s="40"/>
      <c r="K33" s="40"/>
      <c r="L33" s="40"/>
      <c r="M33" s="40"/>
      <c r="N33" s="40"/>
      <c r="O33" s="40"/>
      <c r="P33" s="189" t="s">
        <v>44</v>
      </c>
      <c r="Q33" s="112"/>
      <c r="R33" s="112"/>
      <c r="S33" s="170">
        <f t="shared" si="1"/>
        <v>29</v>
      </c>
      <c r="T33" s="112"/>
      <c r="U33" s="112"/>
      <c r="V33" s="112"/>
    </row>
    <row r="34" spans="1:22" ht="24.75" customHeight="1">
      <c r="A34" s="1"/>
      <c r="B34" s="162">
        <v>30</v>
      </c>
      <c r="C34" s="261" t="s">
        <v>1148</v>
      </c>
      <c r="D34" s="202">
        <v>1</v>
      </c>
      <c r="E34" s="191" t="s">
        <v>1149</v>
      </c>
      <c r="F34" s="187"/>
      <c r="G34" s="40"/>
      <c r="H34" s="40"/>
      <c r="I34" s="40"/>
      <c r="J34" s="40"/>
      <c r="K34" s="40"/>
      <c r="L34" s="40"/>
      <c r="M34" s="40"/>
      <c r="N34" s="40"/>
      <c r="O34" s="40"/>
      <c r="P34" s="189" t="s">
        <v>1150</v>
      </c>
      <c r="Q34" s="112"/>
      <c r="R34" s="112"/>
      <c r="S34" s="170">
        <f t="shared" si="1"/>
        <v>30</v>
      </c>
      <c r="T34" s="112"/>
      <c r="U34" s="112"/>
      <c r="V34" s="112"/>
    </row>
    <row r="35" spans="1:22" ht="24.75" customHeight="1">
      <c r="A35" s="1"/>
      <c r="B35" s="162">
        <v>31</v>
      </c>
      <c r="C35" s="76" t="s">
        <v>123</v>
      </c>
      <c r="D35" s="166">
        <v>1</v>
      </c>
      <c r="E35" s="167" t="s">
        <v>26</v>
      </c>
      <c r="F35" s="187"/>
      <c r="G35" s="32"/>
      <c r="H35" s="32"/>
      <c r="I35" s="32"/>
      <c r="J35" s="32">
        <v>280000</v>
      </c>
      <c r="K35" s="32"/>
      <c r="L35" s="32">
        <v>239796.42</v>
      </c>
      <c r="M35" s="32"/>
      <c r="N35" s="32">
        <v>245000</v>
      </c>
      <c r="O35" s="32"/>
      <c r="P35" s="181" t="s">
        <v>1151</v>
      </c>
      <c r="Q35" s="112"/>
      <c r="R35" s="112"/>
      <c r="S35" s="170">
        <f t="shared" si="1"/>
        <v>31</v>
      </c>
      <c r="T35" s="112"/>
      <c r="U35" s="112"/>
      <c r="V35" s="112"/>
    </row>
    <row r="36" spans="1:22" ht="24.75" customHeight="1">
      <c r="A36" s="1"/>
      <c r="B36" s="162">
        <v>32</v>
      </c>
      <c r="C36" s="76" t="s">
        <v>125</v>
      </c>
      <c r="D36" s="166">
        <v>1</v>
      </c>
      <c r="E36" s="167" t="s">
        <v>26</v>
      </c>
      <c r="F36" s="187"/>
      <c r="G36" s="32"/>
      <c r="H36" s="32"/>
      <c r="I36" s="32"/>
      <c r="J36" s="32">
        <v>280000</v>
      </c>
      <c r="K36" s="32"/>
      <c r="L36" s="32">
        <v>239796.42</v>
      </c>
      <c r="M36" s="32"/>
      <c r="N36" s="32">
        <v>245000</v>
      </c>
      <c r="O36" s="32"/>
      <c r="P36" s="181" t="s">
        <v>1151</v>
      </c>
      <c r="Q36" s="112"/>
      <c r="R36" s="112"/>
      <c r="S36" s="170">
        <f t="shared" si="1"/>
        <v>32</v>
      </c>
      <c r="T36" s="112"/>
      <c r="U36" s="112"/>
      <c r="V36" s="112"/>
    </row>
    <row r="37" spans="1:22" ht="24.75" customHeight="1">
      <c r="A37" s="1"/>
      <c r="B37" s="162">
        <v>33</v>
      </c>
      <c r="C37" s="76" t="s">
        <v>126</v>
      </c>
      <c r="D37" s="166">
        <v>1</v>
      </c>
      <c r="E37" s="167" t="s">
        <v>26</v>
      </c>
      <c r="F37" s="187"/>
      <c r="G37" s="32"/>
      <c r="H37" s="32"/>
      <c r="I37" s="32"/>
      <c r="J37" s="32">
        <v>280000</v>
      </c>
      <c r="K37" s="32"/>
      <c r="L37" s="32">
        <v>239796.42</v>
      </c>
      <c r="M37" s="32"/>
      <c r="N37" s="32">
        <v>245000</v>
      </c>
      <c r="O37" s="32"/>
      <c r="P37" s="181" t="s">
        <v>1151</v>
      </c>
      <c r="Q37" s="112"/>
      <c r="R37" s="112"/>
      <c r="S37" s="170">
        <f t="shared" si="1"/>
        <v>33</v>
      </c>
      <c r="T37" s="112"/>
      <c r="U37" s="112"/>
      <c r="V37" s="112"/>
    </row>
    <row r="38" spans="1:22" ht="24.75" customHeight="1">
      <c r="A38" s="1"/>
      <c r="B38" s="162">
        <v>34</v>
      </c>
      <c r="C38" s="76" t="s">
        <v>127</v>
      </c>
      <c r="D38" s="166">
        <v>1</v>
      </c>
      <c r="E38" s="167" t="s">
        <v>26</v>
      </c>
      <c r="F38" s="187"/>
      <c r="G38" s="32"/>
      <c r="H38" s="32"/>
      <c r="I38" s="32"/>
      <c r="J38" s="32">
        <v>280000</v>
      </c>
      <c r="K38" s="32"/>
      <c r="L38" s="32">
        <v>239796.42</v>
      </c>
      <c r="M38" s="32"/>
      <c r="N38" s="32">
        <v>245000</v>
      </c>
      <c r="O38" s="32"/>
      <c r="P38" s="181" t="s">
        <v>1151</v>
      </c>
      <c r="Q38" s="112"/>
      <c r="R38" s="112"/>
      <c r="S38" s="170">
        <f t="shared" si="1"/>
        <v>34</v>
      </c>
      <c r="T38" s="112"/>
      <c r="U38" s="112"/>
      <c r="V38" s="112"/>
    </row>
    <row r="39" spans="1:22" ht="24.75" customHeight="1">
      <c r="A39" s="1"/>
      <c r="B39" s="162">
        <v>35</v>
      </c>
      <c r="C39" s="76" t="s">
        <v>128</v>
      </c>
      <c r="D39" s="166">
        <v>1</v>
      </c>
      <c r="E39" s="167" t="s">
        <v>26</v>
      </c>
      <c r="F39" s="187"/>
      <c r="G39" s="32"/>
      <c r="H39" s="32"/>
      <c r="I39" s="32"/>
      <c r="J39" s="32">
        <v>280000</v>
      </c>
      <c r="K39" s="32"/>
      <c r="L39" s="32">
        <v>239796.42</v>
      </c>
      <c r="M39" s="32"/>
      <c r="N39" s="32">
        <v>245000</v>
      </c>
      <c r="O39" s="32"/>
      <c r="P39" s="181" t="s">
        <v>1151</v>
      </c>
      <c r="Q39" s="112"/>
      <c r="R39" s="112"/>
      <c r="S39" s="170">
        <f t="shared" si="1"/>
        <v>35</v>
      </c>
      <c r="T39" s="112"/>
      <c r="U39" s="112"/>
      <c r="V39" s="112"/>
    </row>
    <row r="40" spans="1:22" ht="24.75" customHeight="1">
      <c r="A40" s="1"/>
      <c r="B40" s="162">
        <v>36</v>
      </c>
      <c r="C40" s="76" t="s">
        <v>129</v>
      </c>
      <c r="D40" s="166">
        <v>1</v>
      </c>
      <c r="E40" s="167" t="s">
        <v>26</v>
      </c>
      <c r="F40" s="187"/>
      <c r="G40" s="32"/>
      <c r="H40" s="32"/>
      <c r="I40" s="32"/>
      <c r="J40" s="32">
        <v>280000</v>
      </c>
      <c r="K40" s="32"/>
      <c r="L40" s="32">
        <v>239796.42</v>
      </c>
      <c r="M40" s="32"/>
      <c r="N40" s="32">
        <v>245000</v>
      </c>
      <c r="O40" s="32"/>
      <c r="P40" s="181" t="s">
        <v>1151</v>
      </c>
      <c r="Q40" s="112"/>
      <c r="R40" s="112"/>
      <c r="S40" s="170">
        <f t="shared" si="1"/>
        <v>36</v>
      </c>
      <c r="T40" s="112"/>
      <c r="U40" s="112"/>
      <c r="V40" s="112"/>
    </row>
    <row r="41" spans="1:22" ht="24.75" customHeight="1">
      <c r="A41" s="1"/>
      <c r="B41" s="162">
        <v>37</v>
      </c>
      <c r="C41" s="188" t="s">
        <v>1152</v>
      </c>
      <c r="D41" s="166">
        <v>1</v>
      </c>
      <c r="E41" s="167" t="s">
        <v>26</v>
      </c>
      <c r="F41" s="187"/>
      <c r="G41" s="32"/>
      <c r="H41" s="32"/>
      <c r="I41" s="32"/>
      <c r="J41" s="32"/>
      <c r="K41" s="32"/>
      <c r="L41" s="32"/>
      <c r="M41" s="32"/>
      <c r="N41" s="32"/>
      <c r="O41" s="32"/>
      <c r="P41" s="181" t="s">
        <v>44</v>
      </c>
      <c r="Q41" s="112"/>
      <c r="R41" s="112"/>
      <c r="S41" s="170">
        <f t="shared" si="1"/>
        <v>37</v>
      </c>
      <c r="T41" s="112"/>
      <c r="U41" s="112"/>
      <c r="V41" s="112"/>
    </row>
    <row r="42" spans="1:22" ht="24.75" customHeight="1">
      <c r="A42" s="1"/>
      <c r="B42" s="162">
        <v>38</v>
      </c>
      <c r="C42" s="200" t="s">
        <v>186</v>
      </c>
      <c r="D42" s="202">
        <v>1</v>
      </c>
      <c r="E42" s="191" t="s">
        <v>29</v>
      </c>
      <c r="F42" s="187"/>
      <c r="G42" s="40"/>
      <c r="H42" s="40"/>
      <c r="I42" s="40"/>
      <c r="J42" s="40">
        <v>350</v>
      </c>
      <c r="K42" s="40"/>
      <c r="L42" s="40"/>
      <c r="M42" s="40"/>
      <c r="N42" s="40">
        <v>600</v>
      </c>
      <c r="O42" s="40"/>
      <c r="P42" s="189"/>
      <c r="Q42" s="112"/>
      <c r="R42" s="112"/>
      <c r="S42" s="170">
        <f t="shared" si="1"/>
        <v>38</v>
      </c>
      <c r="T42" s="112"/>
      <c r="U42" s="112"/>
      <c r="V42" s="112"/>
    </row>
    <row r="43" spans="1:22" ht="24.75" customHeight="1">
      <c r="A43" s="1"/>
      <c r="B43" s="162">
        <v>39</v>
      </c>
      <c r="C43" s="76" t="s">
        <v>1153</v>
      </c>
      <c r="D43" s="166">
        <v>1</v>
      </c>
      <c r="E43" s="167" t="s">
        <v>52</v>
      </c>
      <c r="F43" s="187"/>
      <c r="G43" s="32"/>
      <c r="H43" s="32"/>
      <c r="I43" s="32"/>
      <c r="J43" s="32">
        <v>25</v>
      </c>
      <c r="K43" s="32"/>
      <c r="L43" s="32"/>
      <c r="M43" s="32"/>
      <c r="N43" s="32">
        <v>24</v>
      </c>
      <c r="O43" s="32"/>
      <c r="P43" s="181" t="s">
        <v>1154</v>
      </c>
      <c r="Q43" s="112"/>
      <c r="R43" s="112"/>
      <c r="S43" s="170">
        <f t="shared" si="1"/>
        <v>39</v>
      </c>
      <c r="T43" s="112"/>
      <c r="U43" s="112"/>
      <c r="V43" s="112"/>
    </row>
    <row r="44" spans="1:22" ht="24.75" customHeight="1">
      <c r="A44" s="1"/>
      <c r="B44" s="162">
        <v>40</v>
      </c>
      <c r="C44" s="188" t="s">
        <v>1155</v>
      </c>
      <c r="D44" s="166">
        <v>1</v>
      </c>
      <c r="E44" s="167" t="s">
        <v>52</v>
      </c>
      <c r="F44" s="187"/>
      <c r="G44" s="32"/>
      <c r="H44" s="32"/>
      <c r="I44" s="32"/>
      <c r="J44" s="32"/>
      <c r="K44" s="32"/>
      <c r="L44" s="32"/>
      <c r="M44" s="32"/>
      <c r="N44" s="32"/>
      <c r="O44" s="32"/>
      <c r="P44" s="181"/>
      <c r="Q44" s="112"/>
      <c r="R44" s="112"/>
      <c r="S44" s="170">
        <f t="shared" si="1"/>
        <v>40</v>
      </c>
      <c r="T44" s="112"/>
      <c r="U44" s="112"/>
      <c r="V44" s="112"/>
    </row>
    <row r="45" spans="1:22" ht="24.75" customHeight="1">
      <c r="A45" s="1"/>
      <c r="B45" s="162">
        <v>41</v>
      </c>
      <c r="C45" s="188" t="s">
        <v>1156</v>
      </c>
      <c r="D45" s="166">
        <v>1</v>
      </c>
      <c r="E45" s="167" t="s">
        <v>52</v>
      </c>
      <c r="F45" s="187"/>
      <c r="G45" s="32"/>
      <c r="H45" s="32"/>
      <c r="I45" s="32"/>
      <c r="J45" s="32"/>
      <c r="K45" s="32"/>
      <c r="L45" s="32"/>
      <c r="M45" s="32"/>
      <c r="N45" s="32"/>
      <c r="O45" s="32"/>
      <c r="P45" s="181" t="s">
        <v>1157</v>
      </c>
      <c r="Q45" s="112"/>
      <c r="R45" s="112"/>
      <c r="S45" s="170">
        <f t="shared" si="1"/>
        <v>41</v>
      </c>
      <c r="T45" s="112"/>
      <c r="U45" s="112"/>
      <c r="V45" s="112"/>
    </row>
    <row r="46" spans="1:22" ht="24.75" customHeight="1">
      <c r="A46" s="1"/>
      <c r="B46" s="162">
        <v>42</v>
      </c>
      <c r="C46" s="76" t="s">
        <v>54</v>
      </c>
      <c r="D46" s="195">
        <v>1</v>
      </c>
      <c r="E46" s="196" t="s">
        <v>52</v>
      </c>
      <c r="F46" s="187"/>
      <c r="G46" s="32"/>
      <c r="H46" s="32"/>
      <c r="I46" s="32"/>
      <c r="J46" s="32">
        <v>110</v>
      </c>
      <c r="K46" s="32"/>
      <c r="L46" s="32"/>
      <c r="M46" s="32"/>
      <c r="N46" s="32">
        <v>121.1864406779661</v>
      </c>
      <c r="O46" s="32"/>
      <c r="P46" s="181" t="s">
        <v>55</v>
      </c>
      <c r="Q46" s="112" t="s">
        <v>1158</v>
      </c>
      <c r="R46" s="112">
        <f>143/1.18</f>
        <v>121.1864406779661</v>
      </c>
      <c r="S46" s="170">
        <f t="shared" si="1"/>
        <v>42</v>
      </c>
      <c r="T46" s="112"/>
      <c r="U46" s="112"/>
      <c r="V46" s="112"/>
    </row>
    <row r="47" spans="1:22" ht="24.75" customHeight="1">
      <c r="A47" s="1"/>
      <c r="B47" s="162">
        <v>43</v>
      </c>
      <c r="C47" s="76" t="s">
        <v>56</v>
      </c>
      <c r="D47" s="195">
        <v>1</v>
      </c>
      <c r="E47" s="196" t="s">
        <v>52</v>
      </c>
      <c r="F47" s="187"/>
      <c r="G47" s="32"/>
      <c r="H47" s="32"/>
      <c r="I47" s="32"/>
      <c r="J47" s="32">
        <v>169</v>
      </c>
      <c r="K47" s="32"/>
      <c r="L47" s="32"/>
      <c r="M47" s="32"/>
      <c r="N47" s="32">
        <v>164.40677966101697</v>
      </c>
      <c r="O47" s="32"/>
      <c r="P47" s="181" t="s">
        <v>55</v>
      </c>
      <c r="Q47" s="112" t="s">
        <v>1159</v>
      </c>
      <c r="R47" s="112">
        <f>194/1.18</f>
        <v>164.40677966101697</v>
      </c>
      <c r="S47" s="170">
        <f t="shared" si="1"/>
        <v>43</v>
      </c>
      <c r="T47" s="112"/>
      <c r="U47" s="112"/>
      <c r="V47" s="112"/>
    </row>
    <row r="48" spans="1:22" ht="24.75" customHeight="1">
      <c r="A48" s="1"/>
      <c r="B48" s="162">
        <v>44</v>
      </c>
      <c r="C48" s="76" t="s">
        <v>57</v>
      </c>
      <c r="D48" s="195">
        <v>1</v>
      </c>
      <c r="E48" s="196" t="s">
        <v>52</v>
      </c>
      <c r="F48" s="187"/>
      <c r="G48" s="32"/>
      <c r="H48" s="32"/>
      <c r="I48" s="32"/>
      <c r="J48" s="32">
        <v>238</v>
      </c>
      <c r="K48" s="32"/>
      <c r="L48" s="32"/>
      <c r="M48" s="32"/>
      <c r="N48" s="32">
        <v>216.10169491525426</v>
      </c>
      <c r="O48" s="32"/>
      <c r="P48" s="181" t="s">
        <v>55</v>
      </c>
      <c r="Q48" s="112" t="s">
        <v>1160</v>
      </c>
      <c r="R48" s="112">
        <f>255/1.18</f>
        <v>216.10169491525426</v>
      </c>
      <c r="S48" s="170">
        <f t="shared" si="1"/>
        <v>44</v>
      </c>
      <c r="T48" s="112"/>
      <c r="U48" s="112"/>
      <c r="V48" s="112"/>
    </row>
    <row r="49" spans="1:22" ht="24.75" customHeight="1">
      <c r="A49" s="1"/>
      <c r="B49" s="162">
        <v>45</v>
      </c>
      <c r="C49" s="76" t="s">
        <v>1161</v>
      </c>
      <c r="D49" s="195">
        <v>1</v>
      </c>
      <c r="E49" s="196" t="s">
        <v>52</v>
      </c>
      <c r="F49" s="187"/>
      <c r="G49" s="32"/>
      <c r="H49" s="32"/>
      <c r="I49" s="32"/>
      <c r="J49" s="257">
        <v>157</v>
      </c>
      <c r="K49" s="32"/>
      <c r="L49" s="32"/>
      <c r="M49" s="32"/>
      <c r="N49" s="32">
        <v>143.22033898305085</v>
      </c>
      <c r="O49" s="32"/>
      <c r="P49" s="181" t="s">
        <v>55</v>
      </c>
      <c r="Q49" s="112" t="s">
        <v>1162</v>
      </c>
      <c r="R49" s="112">
        <f>169/1.18</f>
        <v>143.22033898305085</v>
      </c>
      <c r="S49" s="170">
        <f t="shared" si="1"/>
        <v>45</v>
      </c>
      <c r="T49" s="112"/>
      <c r="U49" s="112"/>
      <c r="V49" s="112"/>
    </row>
    <row r="50" spans="1:22" ht="24.75" customHeight="1">
      <c r="A50" s="1"/>
      <c r="B50" s="162">
        <v>46</v>
      </c>
      <c r="C50" s="76" t="s">
        <v>1163</v>
      </c>
      <c r="D50" s="195">
        <v>1</v>
      </c>
      <c r="E50" s="196" t="s">
        <v>52</v>
      </c>
      <c r="F50" s="187"/>
      <c r="G50" s="32"/>
      <c r="H50" s="32"/>
      <c r="I50" s="32"/>
      <c r="J50" s="257">
        <v>232</v>
      </c>
      <c r="K50" s="32"/>
      <c r="L50" s="32"/>
      <c r="M50" s="32"/>
      <c r="N50" s="32">
        <v>207.62711864406782</v>
      </c>
      <c r="O50" s="32"/>
      <c r="P50" s="181" t="s">
        <v>55</v>
      </c>
      <c r="Q50" s="112" t="s">
        <v>1164</v>
      </c>
      <c r="R50" s="112">
        <f>245/1.18</f>
        <v>207.62711864406782</v>
      </c>
      <c r="S50" s="170">
        <f t="shared" si="1"/>
        <v>46</v>
      </c>
      <c r="T50" s="112"/>
      <c r="U50" s="112"/>
      <c r="V50" s="112"/>
    </row>
    <row r="51" spans="1:22" ht="24.75" customHeight="1">
      <c r="A51" s="1"/>
      <c r="B51" s="162">
        <v>47</v>
      </c>
      <c r="C51" s="76" t="s">
        <v>60</v>
      </c>
      <c r="D51" s="195">
        <v>1</v>
      </c>
      <c r="E51" s="196" t="s">
        <v>52</v>
      </c>
      <c r="F51" s="187"/>
      <c r="G51" s="32"/>
      <c r="H51" s="32"/>
      <c r="I51" s="32"/>
      <c r="J51" s="257">
        <v>309</v>
      </c>
      <c r="K51" s="32"/>
      <c r="L51" s="32"/>
      <c r="M51" s="32"/>
      <c r="N51" s="32">
        <v>266.94915254237287</v>
      </c>
      <c r="O51" s="32"/>
      <c r="P51" s="181" t="s">
        <v>55</v>
      </c>
      <c r="Q51" s="112" t="s">
        <v>1165</v>
      </c>
      <c r="R51" s="112">
        <f>315/1.18</f>
        <v>266.94915254237287</v>
      </c>
      <c r="S51" s="170">
        <f t="shared" si="1"/>
        <v>47</v>
      </c>
      <c r="T51" s="112"/>
      <c r="U51" s="112"/>
      <c r="V51" s="112"/>
    </row>
    <row r="52" spans="1:22" ht="24.75" customHeight="1">
      <c r="A52" s="1"/>
      <c r="B52" s="162">
        <v>48</v>
      </c>
      <c r="C52" s="76" t="s">
        <v>1166</v>
      </c>
      <c r="D52" s="195">
        <v>1</v>
      </c>
      <c r="E52" s="196" t="s">
        <v>52</v>
      </c>
      <c r="F52" s="187"/>
      <c r="G52" s="32"/>
      <c r="H52" s="32"/>
      <c r="I52" s="32"/>
      <c r="J52" s="32">
        <v>325</v>
      </c>
      <c r="K52" s="32"/>
      <c r="L52" s="32"/>
      <c r="M52" s="32"/>
      <c r="N52" s="32"/>
      <c r="O52" s="32"/>
      <c r="P52" s="181" t="s">
        <v>1167</v>
      </c>
      <c r="Q52" s="112"/>
      <c r="R52" s="112"/>
      <c r="S52" s="170">
        <f t="shared" si="1"/>
        <v>48</v>
      </c>
      <c r="T52" s="112"/>
      <c r="U52" s="112"/>
      <c r="V52" s="112"/>
    </row>
    <row r="53" spans="1:22" ht="24.75" customHeight="1">
      <c r="A53" s="1"/>
      <c r="B53" s="162">
        <v>49</v>
      </c>
      <c r="C53" s="76" t="s">
        <v>1168</v>
      </c>
      <c r="D53" s="195">
        <v>1</v>
      </c>
      <c r="E53" s="196" t="s">
        <v>52</v>
      </c>
      <c r="F53" s="187"/>
      <c r="G53" s="32"/>
      <c r="H53" s="32"/>
      <c r="I53" s="32"/>
      <c r="J53" s="32">
        <v>490</v>
      </c>
      <c r="K53" s="32"/>
      <c r="L53" s="32"/>
      <c r="M53" s="32"/>
      <c r="N53" s="32"/>
      <c r="O53" s="32"/>
      <c r="P53" s="181" t="s">
        <v>1167</v>
      </c>
      <c r="Q53" s="112"/>
      <c r="R53" s="112"/>
      <c r="S53" s="170">
        <f t="shared" si="1"/>
        <v>49</v>
      </c>
      <c r="T53" s="112"/>
      <c r="U53" s="112"/>
      <c r="V53" s="112"/>
    </row>
    <row r="54" spans="1:22" ht="24.75" customHeight="1">
      <c r="A54" s="1"/>
      <c r="B54" s="162">
        <v>50</v>
      </c>
      <c r="C54" s="76" t="s">
        <v>1169</v>
      </c>
      <c r="D54" s="195">
        <v>1</v>
      </c>
      <c r="E54" s="196" t="s">
        <v>52</v>
      </c>
      <c r="F54" s="187"/>
      <c r="G54" s="32"/>
      <c r="H54" s="32"/>
      <c r="I54" s="32"/>
      <c r="J54" s="32">
        <v>652</v>
      </c>
      <c r="K54" s="32"/>
      <c r="L54" s="32"/>
      <c r="M54" s="32"/>
      <c r="N54" s="32"/>
      <c r="O54" s="32"/>
      <c r="P54" s="181" t="s">
        <v>1167</v>
      </c>
      <c r="Q54" s="112"/>
      <c r="R54" s="112"/>
      <c r="S54" s="170">
        <f t="shared" si="1"/>
        <v>50</v>
      </c>
      <c r="T54" s="112"/>
      <c r="U54" s="112"/>
      <c r="V54" s="112"/>
    </row>
    <row r="55" spans="1:22" ht="21.75" customHeight="1">
      <c r="A55" s="1"/>
      <c r="B55" s="162">
        <v>51</v>
      </c>
      <c r="C55" s="90" t="s">
        <v>205</v>
      </c>
      <c r="D55" s="166">
        <v>1</v>
      </c>
      <c r="E55" s="196" t="s">
        <v>69</v>
      </c>
      <c r="F55" s="187"/>
      <c r="G55" s="32"/>
      <c r="H55" s="32"/>
      <c r="I55" s="32"/>
      <c r="J55" s="32" t="s">
        <v>206</v>
      </c>
      <c r="K55" s="32"/>
      <c r="L55" s="32"/>
      <c r="M55" s="32"/>
      <c r="N55" s="32">
        <v>350</v>
      </c>
      <c r="O55" s="32"/>
      <c r="P55" s="181" t="s">
        <v>1170</v>
      </c>
      <c r="Q55" s="1"/>
      <c r="R55" s="1"/>
      <c r="S55" s="170">
        <f>IF((D55)=0,"",(B51+1))</f>
        <v>48</v>
      </c>
      <c r="T55" s="1"/>
      <c r="U55" s="1"/>
      <c r="V55" s="1"/>
    </row>
    <row r="56" spans="1:22" ht="21.75" customHeight="1">
      <c r="A56" s="1"/>
      <c r="B56" s="162">
        <v>52</v>
      </c>
      <c r="C56" s="90" t="s">
        <v>132</v>
      </c>
      <c r="D56" s="166">
        <v>1</v>
      </c>
      <c r="E56" s="196" t="s">
        <v>133</v>
      </c>
      <c r="F56" s="187"/>
      <c r="G56" s="32"/>
      <c r="H56" s="32"/>
      <c r="I56" s="32"/>
      <c r="J56" s="32"/>
      <c r="K56" s="32"/>
      <c r="L56" s="32"/>
      <c r="M56" s="32"/>
      <c r="N56" s="32"/>
      <c r="O56" s="32">
        <f>2100/1.18</f>
        <v>1779.6610169491526</v>
      </c>
      <c r="P56" s="181" t="s">
        <v>134</v>
      </c>
      <c r="Q56" s="1"/>
      <c r="R56" s="1"/>
      <c r="S56" s="170">
        <f>IF((D56)=0,"",(B55+1))</f>
        <v>52</v>
      </c>
      <c r="T56" s="1"/>
      <c r="U56" s="1"/>
      <c r="V56" s="1"/>
    </row>
    <row r="57" spans="1:22" ht="21.75" customHeight="1">
      <c r="A57" s="1"/>
      <c r="B57" s="162">
        <v>53</v>
      </c>
      <c r="C57" s="90" t="s">
        <v>135</v>
      </c>
      <c r="D57" s="166">
        <v>1</v>
      </c>
      <c r="E57" s="196" t="s">
        <v>133</v>
      </c>
      <c r="F57" s="187"/>
      <c r="G57" s="32"/>
      <c r="H57" s="32"/>
      <c r="I57" s="32"/>
      <c r="J57" s="32"/>
      <c r="K57" s="32"/>
      <c r="L57" s="32"/>
      <c r="M57" s="32"/>
      <c r="N57" s="32"/>
      <c r="O57" s="32">
        <f t="shared" ref="O57:O58" si="2">3025/1.18</f>
        <v>2563.5593220338983</v>
      </c>
      <c r="P57" s="181" t="s">
        <v>134</v>
      </c>
      <c r="Q57" s="1"/>
      <c r="R57" s="1"/>
      <c r="S57" s="170"/>
      <c r="T57" s="1"/>
      <c r="U57" s="1"/>
      <c r="V57" s="1"/>
    </row>
    <row r="58" spans="1:22" ht="21.75" customHeight="1">
      <c r="A58" s="1"/>
      <c r="B58" s="162">
        <v>54</v>
      </c>
      <c r="C58" s="90" t="s">
        <v>136</v>
      </c>
      <c r="D58" s="166">
        <v>1</v>
      </c>
      <c r="E58" s="196" t="s">
        <v>133</v>
      </c>
      <c r="F58" s="187"/>
      <c r="G58" s="32"/>
      <c r="H58" s="32"/>
      <c r="I58" s="32"/>
      <c r="J58" s="32"/>
      <c r="K58" s="32"/>
      <c r="L58" s="32"/>
      <c r="M58" s="32"/>
      <c r="N58" s="32"/>
      <c r="O58" s="32">
        <f t="shared" si="2"/>
        <v>2563.5593220338983</v>
      </c>
      <c r="P58" s="181" t="s">
        <v>134</v>
      </c>
      <c r="Q58" s="1"/>
      <c r="R58" s="1"/>
      <c r="S58" s="170"/>
      <c r="T58" s="1"/>
      <c r="U58" s="1"/>
      <c r="V58" s="1"/>
    </row>
    <row r="59" spans="1:22" ht="21.75" customHeight="1">
      <c r="A59" s="1"/>
      <c r="B59" s="162">
        <v>55</v>
      </c>
      <c r="C59" s="90" t="s">
        <v>137</v>
      </c>
      <c r="D59" s="166">
        <v>1</v>
      </c>
      <c r="E59" s="196" t="s">
        <v>133</v>
      </c>
      <c r="F59" s="187"/>
      <c r="G59" s="32"/>
      <c r="H59" s="32"/>
      <c r="I59" s="32"/>
      <c r="J59" s="32"/>
      <c r="K59" s="32"/>
      <c r="L59" s="32"/>
      <c r="M59" s="32"/>
      <c r="N59" s="32"/>
      <c r="O59" s="32">
        <f>2650/1.18</f>
        <v>2245.7627118644068</v>
      </c>
      <c r="P59" s="181" t="s">
        <v>134</v>
      </c>
      <c r="Q59" s="1"/>
      <c r="R59" s="1"/>
      <c r="S59" s="170"/>
      <c r="T59" s="1"/>
      <c r="U59" s="1"/>
      <c r="V59" s="1"/>
    </row>
    <row r="60" spans="1:22" ht="21.75" customHeight="1">
      <c r="A60" s="1"/>
      <c r="B60" s="162">
        <v>56</v>
      </c>
      <c r="C60" s="90" t="s">
        <v>138</v>
      </c>
      <c r="D60" s="166">
        <v>1</v>
      </c>
      <c r="E60" s="196" t="s">
        <v>133</v>
      </c>
      <c r="F60" s="187"/>
      <c r="G60" s="32"/>
      <c r="H60" s="32"/>
      <c r="I60" s="32"/>
      <c r="J60" s="32"/>
      <c r="K60" s="32"/>
      <c r="L60" s="32"/>
      <c r="M60" s="32"/>
      <c r="N60" s="32"/>
      <c r="O60" s="32">
        <f>3670/1.18</f>
        <v>3110.1694915254238</v>
      </c>
      <c r="P60" s="181" t="s">
        <v>134</v>
      </c>
      <c r="Q60" s="1"/>
      <c r="R60" s="1"/>
      <c r="S60" s="170"/>
      <c r="T60" s="1"/>
      <c r="U60" s="1"/>
      <c r="V60" s="1"/>
    </row>
    <row r="61" spans="1:22" ht="21.75" customHeight="1">
      <c r="A61" s="1"/>
      <c r="B61" s="162">
        <v>57</v>
      </c>
      <c r="C61" s="90" t="s">
        <v>139</v>
      </c>
      <c r="D61" s="166">
        <v>1</v>
      </c>
      <c r="E61" s="196" t="s">
        <v>133</v>
      </c>
      <c r="F61" s="187"/>
      <c r="G61" s="32"/>
      <c r="H61" s="32"/>
      <c r="I61" s="32"/>
      <c r="J61" s="32"/>
      <c r="K61" s="32"/>
      <c r="L61" s="32"/>
      <c r="M61" s="32"/>
      <c r="N61" s="32"/>
      <c r="O61" s="32">
        <f>4750/1.18</f>
        <v>4025.4237288135596</v>
      </c>
      <c r="P61" s="181" t="s">
        <v>134</v>
      </c>
      <c r="Q61" s="1"/>
      <c r="R61" s="1"/>
      <c r="S61" s="170"/>
      <c r="T61" s="1"/>
      <c r="U61" s="1"/>
      <c r="V61" s="1"/>
    </row>
    <row r="62" spans="1:22" ht="21.75" customHeight="1">
      <c r="A62" s="1"/>
      <c r="B62" s="162">
        <v>58</v>
      </c>
      <c r="C62" s="90" t="s">
        <v>140</v>
      </c>
      <c r="D62" s="166">
        <v>1</v>
      </c>
      <c r="E62" s="196" t="s">
        <v>133</v>
      </c>
      <c r="F62" s="187"/>
      <c r="G62" s="32"/>
      <c r="H62" s="32"/>
      <c r="I62" s="32"/>
      <c r="J62" s="32"/>
      <c r="K62" s="32"/>
      <c r="L62" s="32"/>
      <c r="M62" s="32"/>
      <c r="N62" s="32"/>
      <c r="O62" s="32">
        <f>5500/1.18</f>
        <v>4661.016949152543</v>
      </c>
      <c r="P62" s="181" t="s">
        <v>134</v>
      </c>
      <c r="Q62" s="1"/>
      <c r="R62" s="1"/>
      <c r="S62" s="170"/>
      <c r="T62" s="1"/>
      <c r="U62" s="1"/>
      <c r="V62" s="1"/>
    </row>
    <row r="63" spans="1:22" ht="21.75" customHeight="1">
      <c r="A63" s="1"/>
      <c r="B63" s="162">
        <v>59</v>
      </c>
      <c r="C63" s="90" t="s">
        <v>141</v>
      </c>
      <c r="D63" s="166">
        <v>1</v>
      </c>
      <c r="E63" s="196" t="s">
        <v>133</v>
      </c>
      <c r="F63" s="187"/>
      <c r="G63" s="32"/>
      <c r="H63" s="32"/>
      <c r="I63" s="32"/>
      <c r="J63" s="32"/>
      <c r="K63" s="32"/>
      <c r="L63" s="32"/>
      <c r="M63" s="32"/>
      <c r="N63" s="32"/>
      <c r="O63" s="32">
        <f t="shared" ref="O63:O64" si="3">5100/1.18</f>
        <v>4322.0338983050851</v>
      </c>
      <c r="P63" s="181" t="s">
        <v>134</v>
      </c>
      <c r="Q63" s="1"/>
      <c r="R63" s="1"/>
      <c r="S63" s="170"/>
      <c r="T63" s="1"/>
      <c r="U63" s="1"/>
      <c r="V63" s="1"/>
    </row>
    <row r="64" spans="1:22" ht="21.75" customHeight="1">
      <c r="A64" s="1"/>
      <c r="B64" s="162">
        <v>60</v>
      </c>
      <c r="C64" s="90" t="s">
        <v>142</v>
      </c>
      <c r="D64" s="166">
        <v>1</v>
      </c>
      <c r="E64" s="196" t="s">
        <v>133</v>
      </c>
      <c r="F64" s="187"/>
      <c r="G64" s="32"/>
      <c r="H64" s="32"/>
      <c r="I64" s="32"/>
      <c r="J64" s="32"/>
      <c r="K64" s="32"/>
      <c r="L64" s="32"/>
      <c r="M64" s="32"/>
      <c r="N64" s="32"/>
      <c r="O64" s="32">
        <f t="shared" si="3"/>
        <v>4322.0338983050851</v>
      </c>
      <c r="P64" s="181" t="s">
        <v>134</v>
      </c>
      <c r="Q64" s="1"/>
      <c r="R64" s="1"/>
      <c r="S64" s="170"/>
      <c r="T64" s="1"/>
      <c r="U64" s="1"/>
      <c r="V64" s="1"/>
    </row>
    <row r="65" spans="1:22" ht="21.75" customHeight="1">
      <c r="A65" s="1"/>
      <c r="B65" s="162">
        <v>61</v>
      </c>
      <c r="C65" s="90" t="s">
        <v>143</v>
      </c>
      <c r="D65" s="166">
        <v>1</v>
      </c>
      <c r="E65" s="196" t="s">
        <v>133</v>
      </c>
      <c r="F65" s="187"/>
      <c r="G65" s="32"/>
      <c r="H65" s="32"/>
      <c r="I65" s="32"/>
      <c r="J65" s="32"/>
      <c r="K65" s="32"/>
      <c r="L65" s="32"/>
      <c r="M65" s="32"/>
      <c r="N65" s="32"/>
      <c r="O65" s="32">
        <f>7175/1.18</f>
        <v>6080.5084745762715</v>
      </c>
      <c r="P65" s="181" t="s">
        <v>134</v>
      </c>
      <c r="Q65" s="1"/>
      <c r="R65" s="1"/>
      <c r="S65" s="170"/>
      <c r="T65" s="1"/>
      <c r="U65" s="1"/>
      <c r="V65" s="1"/>
    </row>
    <row r="66" spans="1:22" ht="21.75" customHeight="1">
      <c r="A66" s="1"/>
      <c r="B66" s="162">
        <v>62</v>
      </c>
      <c r="C66" s="90" t="s">
        <v>144</v>
      </c>
      <c r="D66" s="166">
        <v>1</v>
      </c>
      <c r="E66" s="196" t="s">
        <v>133</v>
      </c>
      <c r="F66" s="187"/>
      <c r="G66" s="32"/>
      <c r="H66" s="32"/>
      <c r="I66" s="32"/>
      <c r="J66" s="32"/>
      <c r="K66" s="32"/>
      <c r="L66" s="32"/>
      <c r="M66" s="32"/>
      <c r="N66" s="32"/>
      <c r="O66" s="32">
        <f>8700/1.18</f>
        <v>7372.8813559322034</v>
      </c>
      <c r="P66" s="181" t="s">
        <v>134</v>
      </c>
      <c r="Q66" s="1"/>
      <c r="R66" s="1"/>
      <c r="S66" s="170"/>
      <c r="T66" s="1"/>
      <c r="U66" s="1"/>
      <c r="V66" s="1"/>
    </row>
    <row r="67" spans="1:22" ht="21.75" customHeight="1">
      <c r="A67" s="1"/>
      <c r="B67" s="162">
        <v>63</v>
      </c>
      <c r="C67" s="90" t="s">
        <v>145</v>
      </c>
      <c r="D67" s="166">
        <v>1</v>
      </c>
      <c r="E67" s="196" t="s">
        <v>133</v>
      </c>
      <c r="F67" s="187"/>
      <c r="G67" s="32"/>
      <c r="H67" s="32"/>
      <c r="I67" s="32"/>
      <c r="J67" s="32"/>
      <c r="K67" s="32"/>
      <c r="L67" s="32"/>
      <c r="M67" s="32"/>
      <c r="N67" s="32"/>
      <c r="O67" s="32">
        <f>10500/1.18</f>
        <v>8898.3050847457635</v>
      </c>
      <c r="P67" s="181" t="s">
        <v>134</v>
      </c>
      <c r="Q67" s="1"/>
      <c r="R67" s="1"/>
      <c r="S67" s="170"/>
      <c r="T67" s="1"/>
      <c r="U67" s="1"/>
      <c r="V67" s="1"/>
    </row>
    <row r="68" spans="1:22" ht="21.75" customHeight="1">
      <c r="A68" s="1"/>
      <c r="B68" s="162">
        <v>64</v>
      </c>
      <c r="C68" s="90" t="s">
        <v>146</v>
      </c>
      <c r="D68" s="166">
        <v>1</v>
      </c>
      <c r="E68" s="196" t="s">
        <v>133</v>
      </c>
      <c r="F68" s="187"/>
      <c r="G68" s="32"/>
      <c r="H68" s="32"/>
      <c r="I68" s="32"/>
      <c r="J68" s="32"/>
      <c r="K68" s="32"/>
      <c r="L68" s="32"/>
      <c r="M68" s="32"/>
      <c r="N68" s="32"/>
      <c r="O68" s="32">
        <f>13500/1.18</f>
        <v>11440.677966101695</v>
      </c>
      <c r="P68" s="181" t="s">
        <v>134</v>
      </c>
      <c r="Q68" s="1"/>
      <c r="R68" s="1"/>
      <c r="S68" s="170"/>
      <c r="T68" s="1"/>
      <c r="U68" s="1"/>
      <c r="V68" s="1"/>
    </row>
    <row r="69" spans="1:22" ht="21.75" customHeight="1">
      <c r="A69" s="1"/>
      <c r="B69" s="162">
        <v>65</v>
      </c>
      <c r="C69" s="90" t="s">
        <v>148</v>
      </c>
      <c r="D69" s="166">
        <v>1</v>
      </c>
      <c r="E69" s="196" t="s">
        <v>133</v>
      </c>
      <c r="F69" s="187"/>
      <c r="G69" s="32"/>
      <c r="H69" s="32"/>
      <c r="I69" s="32"/>
      <c r="J69" s="32"/>
      <c r="K69" s="32"/>
      <c r="L69" s="32"/>
      <c r="M69" s="32"/>
      <c r="N69" s="32"/>
      <c r="O69" s="32">
        <f>1050/1.18</f>
        <v>889.83050847457628</v>
      </c>
      <c r="P69" s="181" t="s">
        <v>134</v>
      </c>
      <c r="Q69" s="1"/>
      <c r="R69" s="1"/>
      <c r="S69" s="170"/>
      <c r="T69" s="1"/>
      <c r="U69" s="1"/>
      <c r="V69" s="1"/>
    </row>
    <row r="70" spans="1:22" ht="21.75" customHeight="1">
      <c r="A70" s="1"/>
      <c r="B70" s="162">
        <v>66</v>
      </c>
      <c r="C70" s="90" t="s">
        <v>149</v>
      </c>
      <c r="D70" s="166">
        <v>1</v>
      </c>
      <c r="E70" s="196" t="s">
        <v>133</v>
      </c>
      <c r="F70" s="187"/>
      <c r="G70" s="32"/>
      <c r="H70" s="32"/>
      <c r="I70" s="32"/>
      <c r="J70" s="32"/>
      <c r="K70" s="32"/>
      <c r="L70" s="32"/>
      <c r="M70" s="32"/>
      <c r="N70" s="32"/>
      <c r="O70" s="32">
        <f>1875/1.18</f>
        <v>1588.9830508474577</v>
      </c>
      <c r="P70" s="181" t="s">
        <v>134</v>
      </c>
      <c r="Q70" s="1"/>
      <c r="R70" s="1"/>
      <c r="S70" s="170"/>
      <c r="T70" s="1"/>
      <c r="U70" s="1"/>
      <c r="V70" s="1"/>
    </row>
    <row r="71" spans="1:22" ht="21.75" customHeight="1">
      <c r="A71" s="1"/>
      <c r="B71" s="162">
        <v>67</v>
      </c>
      <c r="C71" s="90" t="s">
        <v>150</v>
      </c>
      <c r="D71" s="166">
        <v>1</v>
      </c>
      <c r="E71" s="196" t="s">
        <v>133</v>
      </c>
      <c r="F71" s="187"/>
      <c r="G71" s="32"/>
      <c r="H71" s="32"/>
      <c r="I71" s="32"/>
      <c r="J71" s="32"/>
      <c r="K71" s="32"/>
      <c r="L71" s="32"/>
      <c r="M71" s="32"/>
      <c r="N71" s="32"/>
      <c r="O71" s="32">
        <f>2180/1.18</f>
        <v>1847.4576271186443</v>
      </c>
      <c r="P71" s="181" t="s">
        <v>134</v>
      </c>
      <c r="Q71" s="1"/>
      <c r="R71" s="1"/>
      <c r="S71" s="170"/>
      <c r="T71" s="1"/>
      <c r="U71" s="1"/>
      <c r="V71" s="1"/>
    </row>
    <row r="72" spans="1:22" ht="21.75" customHeight="1">
      <c r="A72" s="1"/>
      <c r="B72" s="162">
        <v>68</v>
      </c>
      <c r="C72" s="90" t="s">
        <v>151</v>
      </c>
      <c r="D72" s="166">
        <v>1</v>
      </c>
      <c r="E72" s="196" t="s">
        <v>133</v>
      </c>
      <c r="F72" s="187"/>
      <c r="G72" s="32"/>
      <c r="H72" s="32"/>
      <c r="I72" s="32"/>
      <c r="J72" s="32"/>
      <c r="K72" s="32"/>
      <c r="L72" s="32"/>
      <c r="M72" s="32"/>
      <c r="N72" s="32"/>
      <c r="O72" s="32">
        <f>2475/1.18</f>
        <v>2097.4576271186443</v>
      </c>
      <c r="P72" s="181" t="s">
        <v>134</v>
      </c>
      <c r="Q72" s="1"/>
      <c r="R72" s="1"/>
      <c r="S72" s="170"/>
      <c r="T72" s="1"/>
      <c r="U72" s="1"/>
      <c r="V72" s="1"/>
    </row>
    <row r="73" spans="1:22" ht="21.75" customHeight="1">
      <c r="A73" s="1"/>
      <c r="B73" s="162">
        <v>69</v>
      </c>
      <c r="C73" s="90" t="s">
        <v>152</v>
      </c>
      <c r="D73" s="166">
        <v>1</v>
      </c>
      <c r="E73" s="196" t="s">
        <v>133</v>
      </c>
      <c r="F73" s="187"/>
      <c r="G73" s="32"/>
      <c r="H73" s="32"/>
      <c r="I73" s="32"/>
      <c r="J73" s="32"/>
      <c r="K73" s="32"/>
      <c r="L73" s="32"/>
      <c r="M73" s="32"/>
      <c r="N73" s="32"/>
      <c r="O73" s="32">
        <f>3050/1.18</f>
        <v>2584.7457627118647</v>
      </c>
      <c r="P73" s="181" t="s">
        <v>134</v>
      </c>
      <c r="Q73" s="1"/>
      <c r="R73" s="1"/>
      <c r="S73" s="170"/>
      <c r="T73" s="1"/>
      <c r="U73" s="1"/>
      <c r="V73" s="1"/>
    </row>
    <row r="74" spans="1:22" ht="21.75" customHeight="1">
      <c r="A74" s="1"/>
      <c r="B74" s="162">
        <v>70</v>
      </c>
      <c r="C74" s="90" t="s">
        <v>153</v>
      </c>
      <c r="D74" s="166">
        <v>1</v>
      </c>
      <c r="E74" s="196" t="s">
        <v>133</v>
      </c>
      <c r="F74" s="187"/>
      <c r="G74" s="32"/>
      <c r="H74" s="32"/>
      <c r="I74" s="32"/>
      <c r="J74" s="32"/>
      <c r="K74" s="32"/>
      <c r="L74" s="32"/>
      <c r="M74" s="32"/>
      <c r="N74" s="32"/>
      <c r="O74" s="32">
        <f>3750/1.18</f>
        <v>3177.9661016949153</v>
      </c>
      <c r="P74" s="181" t="s">
        <v>134</v>
      </c>
      <c r="Q74" s="1"/>
      <c r="R74" s="1"/>
      <c r="S74" s="170"/>
      <c r="T74" s="1"/>
      <c r="U74" s="1"/>
      <c r="V74" s="1"/>
    </row>
    <row r="75" spans="1:22" ht="21.75" customHeight="1">
      <c r="A75" s="1"/>
      <c r="B75" s="162">
        <v>71</v>
      </c>
      <c r="C75" s="90" t="s">
        <v>154</v>
      </c>
      <c r="D75" s="166">
        <v>1</v>
      </c>
      <c r="E75" s="196" t="s">
        <v>133</v>
      </c>
      <c r="F75" s="187"/>
      <c r="G75" s="32"/>
      <c r="H75" s="32"/>
      <c r="I75" s="32"/>
      <c r="J75" s="32"/>
      <c r="K75" s="32"/>
      <c r="L75" s="32"/>
      <c r="M75" s="32"/>
      <c r="N75" s="32"/>
      <c r="O75" s="32">
        <f>4390/1.18</f>
        <v>3720.3389830508477</v>
      </c>
      <c r="P75" s="181" t="s">
        <v>134</v>
      </c>
      <c r="Q75" s="1"/>
      <c r="R75" s="1"/>
      <c r="S75" s="170"/>
      <c r="T75" s="1"/>
      <c r="U75" s="1"/>
      <c r="V75" s="1"/>
    </row>
    <row r="76" spans="1:22" ht="21.75" customHeight="1">
      <c r="A76" s="1"/>
      <c r="B76" s="162">
        <v>72</v>
      </c>
      <c r="C76" s="90" t="s">
        <v>155</v>
      </c>
      <c r="D76" s="166">
        <v>1</v>
      </c>
      <c r="E76" s="196" t="s">
        <v>133</v>
      </c>
      <c r="F76" s="187"/>
      <c r="G76" s="32"/>
      <c r="H76" s="32"/>
      <c r="I76" s="32"/>
      <c r="J76" s="32"/>
      <c r="K76" s="32"/>
      <c r="L76" s="32"/>
      <c r="M76" s="32"/>
      <c r="N76" s="32"/>
      <c r="O76" s="32">
        <f>5025/1.18</f>
        <v>4258.4745762711864</v>
      </c>
      <c r="P76" s="181" t="s">
        <v>134</v>
      </c>
      <c r="Q76" s="1"/>
      <c r="R76" s="1"/>
      <c r="S76" s="170"/>
      <c r="T76" s="1"/>
      <c r="U76" s="1"/>
      <c r="V76" s="1"/>
    </row>
    <row r="77" spans="1:22" ht="21.75" customHeight="1">
      <c r="A77" s="1"/>
      <c r="B77" s="162">
        <v>73</v>
      </c>
      <c r="C77" s="90" t="s">
        <v>156</v>
      </c>
      <c r="D77" s="166">
        <v>1</v>
      </c>
      <c r="E77" s="196" t="s">
        <v>133</v>
      </c>
      <c r="F77" s="187"/>
      <c r="G77" s="32"/>
      <c r="H77" s="32"/>
      <c r="I77" s="32"/>
      <c r="J77" s="32"/>
      <c r="K77" s="32"/>
      <c r="L77" s="32"/>
      <c r="M77" s="32"/>
      <c r="N77" s="32"/>
      <c r="O77" s="32">
        <f>6225/1.18</f>
        <v>5275.42372881356</v>
      </c>
      <c r="P77" s="181" t="s">
        <v>134</v>
      </c>
      <c r="Q77" s="1"/>
      <c r="R77" s="1"/>
      <c r="S77" s="170"/>
      <c r="T77" s="1"/>
      <c r="U77" s="1"/>
      <c r="V77" s="1"/>
    </row>
    <row r="78" spans="1:22" ht="21.75" customHeight="1">
      <c r="A78" s="1"/>
      <c r="B78" s="162">
        <v>74</v>
      </c>
      <c r="C78" s="90" t="s">
        <v>157</v>
      </c>
      <c r="D78" s="166">
        <v>1</v>
      </c>
      <c r="E78" s="196" t="s">
        <v>133</v>
      </c>
      <c r="F78" s="187"/>
      <c r="G78" s="32"/>
      <c r="H78" s="32"/>
      <c r="I78" s="32"/>
      <c r="J78" s="32"/>
      <c r="K78" s="32"/>
      <c r="L78" s="32"/>
      <c r="M78" s="32"/>
      <c r="N78" s="32"/>
      <c r="O78" s="32">
        <f>2850/1.18</f>
        <v>2415.2542372881358</v>
      </c>
      <c r="P78" s="181" t="s">
        <v>134</v>
      </c>
      <c r="Q78" s="1"/>
      <c r="R78" s="1"/>
      <c r="S78" s="170"/>
      <c r="T78" s="1"/>
      <c r="U78" s="1"/>
      <c r="V78" s="1"/>
    </row>
    <row r="79" spans="1:22" ht="21.75" customHeight="1">
      <c r="A79" s="1"/>
      <c r="B79" s="162">
        <v>75</v>
      </c>
      <c r="C79" s="90" t="s">
        <v>158</v>
      </c>
      <c r="D79" s="166">
        <v>1</v>
      </c>
      <c r="E79" s="196" t="s">
        <v>133</v>
      </c>
      <c r="F79" s="187"/>
      <c r="G79" s="32"/>
      <c r="H79" s="32"/>
      <c r="I79" s="32"/>
      <c r="J79" s="32"/>
      <c r="K79" s="32"/>
      <c r="L79" s="32"/>
      <c r="M79" s="32"/>
      <c r="N79" s="32"/>
      <c r="O79" s="32">
        <f>3300/1.18</f>
        <v>2796.6101694915255</v>
      </c>
      <c r="P79" s="181" t="s">
        <v>134</v>
      </c>
      <c r="Q79" s="1"/>
      <c r="R79" s="1"/>
      <c r="S79" s="170"/>
      <c r="T79" s="1"/>
      <c r="U79" s="1"/>
      <c r="V79" s="1"/>
    </row>
    <row r="80" spans="1:22" ht="21.75" customHeight="1">
      <c r="A80" s="1"/>
      <c r="B80" s="162">
        <v>76</v>
      </c>
      <c r="C80" s="90" t="s">
        <v>159</v>
      </c>
      <c r="D80" s="166">
        <v>1</v>
      </c>
      <c r="E80" s="196" t="s">
        <v>133</v>
      </c>
      <c r="F80" s="187"/>
      <c r="G80" s="32"/>
      <c r="H80" s="32"/>
      <c r="I80" s="32"/>
      <c r="J80" s="32"/>
      <c r="K80" s="32"/>
      <c r="L80" s="32"/>
      <c r="M80" s="32"/>
      <c r="N80" s="32"/>
      <c r="O80" s="32">
        <f>3750/1.18</f>
        <v>3177.9661016949153</v>
      </c>
      <c r="P80" s="181" t="s">
        <v>134</v>
      </c>
      <c r="Q80" s="1"/>
      <c r="R80" s="1"/>
      <c r="S80" s="170"/>
      <c r="T80" s="1"/>
      <c r="U80" s="1"/>
      <c r="V80" s="1"/>
    </row>
    <row r="81" spans="1:22" ht="21.75" customHeight="1">
      <c r="A81" s="1"/>
      <c r="B81" s="162">
        <v>77</v>
      </c>
      <c r="C81" s="90" t="s">
        <v>160</v>
      </c>
      <c r="D81" s="166">
        <v>1</v>
      </c>
      <c r="E81" s="196" t="s">
        <v>133</v>
      </c>
      <c r="F81" s="187"/>
      <c r="G81" s="32"/>
      <c r="H81" s="32"/>
      <c r="I81" s="32"/>
      <c r="J81" s="32"/>
      <c r="K81" s="32"/>
      <c r="L81" s="32"/>
      <c r="M81" s="32"/>
      <c r="N81" s="32"/>
      <c r="O81" s="32">
        <f>4690/1.18</f>
        <v>3974.5762711864409</v>
      </c>
      <c r="P81" s="181" t="s">
        <v>134</v>
      </c>
      <c r="Q81" s="1"/>
      <c r="R81" s="1"/>
      <c r="S81" s="170"/>
      <c r="T81" s="1"/>
      <c r="U81" s="1"/>
      <c r="V81" s="1"/>
    </row>
    <row r="82" spans="1:22" ht="21.75" customHeight="1">
      <c r="A82" s="1"/>
      <c r="B82" s="162">
        <v>78</v>
      </c>
      <c r="C82" s="90" t="s">
        <v>161</v>
      </c>
      <c r="D82" s="166">
        <v>1</v>
      </c>
      <c r="E82" s="196" t="s">
        <v>133</v>
      </c>
      <c r="F82" s="187"/>
      <c r="G82" s="32"/>
      <c r="H82" s="32"/>
      <c r="I82" s="32"/>
      <c r="J82" s="32"/>
      <c r="K82" s="32"/>
      <c r="L82" s="32"/>
      <c r="M82" s="32"/>
      <c r="N82" s="32"/>
      <c r="O82" s="32">
        <f>14750/1.18</f>
        <v>12500</v>
      </c>
      <c r="P82" s="181" t="s">
        <v>134</v>
      </c>
      <c r="Q82" s="1"/>
      <c r="R82" s="1"/>
      <c r="S82" s="170"/>
      <c r="T82" s="1"/>
      <c r="U82" s="1"/>
      <c r="V82" s="1"/>
    </row>
    <row r="83" spans="1:22" ht="21.75" customHeight="1">
      <c r="A83" s="1"/>
      <c r="B83" s="162">
        <v>79</v>
      </c>
      <c r="C83" s="90" t="s">
        <v>162</v>
      </c>
      <c r="D83" s="166">
        <v>1</v>
      </c>
      <c r="E83" s="196" t="s">
        <v>133</v>
      </c>
      <c r="F83" s="187"/>
      <c r="G83" s="32"/>
      <c r="H83" s="32"/>
      <c r="I83" s="32"/>
      <c r="J83" s="32"/>
      <c r="K83" s="32"/>
      <c r="L83" s="32"/>
      <c r="M83" s="32"/>
      <c r="N83" s="32"/>
      <c r="O83" s="32">
        <f t="shared" ref="O83:O84" si="4">9500/1.18</f>
        <v>8050.8474576271192</v>
      </c>
      <c r="P83" s="181" t="s">
        <v>134</v>
      </c>
      <c r="Q83" s="1"/>
      <c r="R83" s="1"/>
      <c r="S83" s="170"/>
      <c r="T83" s="1"/>
      <c r="U83" s="1"/>
      <c r="V83" s="1"/>
    </row>
    <row r="84" spans="1:22" ht="21.75" customHeight="1">
      <c r="A84" s="1"/>
      <c r="B84" s="162">
        <v>80</v>
      </c>
      <c r="C84" s="90" t="s">
        <v>163</v>
      </c>
      <c r="D84" s="166">
        <v>1</v>
      </c>
      <c r="E84" s="196" t="s">
        <v>133</v>
      </c>
      <c r="F84" s="187"/>
      <c r="G84" s="32"/>
      <c r="H84" s="32"/>
      <c r="I84" s="32"/>
      <c r="J84" s="32"/>
      <c r="K84" s="32"/>
      <c r="L84" s="32"/>
      <c r="M84" s="32"/>
      <c r="N84" s="32"/>
      <c r="O84" s="32">
        <f t="shared" si="4"/>
        <v>8050.8474576271192</v>
      </c>
      <c r="P84" s="181" t="s">
        <v>134</v>
      </c>
      <c r="Q84" s="1"/>
      <c r="R84" s="1"/>
      <c r="S84" s="170"/>
      <c r="T84" s="1"/>
      <c r="U84" s="1"/>
      <c r="V84" s="1"/>
    </row>
    <row r="85" spans="1:22" ht="21.75" customHeight="1">
      <c r="A85" s="1"/>
      <c r="B85" s="162">
        <v>81</v>
      </c>
      <c r="C85" s="90" t="s">
        <v>165</v>
      </c>
      <c r="D85" s="166">
        <v>1</v>
      </c>
      <c r="E85" s="196" t="s">
        <v>133</v>
      </c>
      <c r="F85" s="187"/>
      <c r="G85" s="32"/>
      <c r="H85" s="32"/>
      <c r="I85" s="32"/>
      <c r="J85" s="32"/>
      <c r="K85" s="32"/>
      <c r="L85" s="32"/>
      <c r="M85" s="32"/>
      <c r="N85" s="32"/>
      <c r="O85" s="32">
        <f>14000/1.18</f>
        <v>11864.406779661018</v>
      </c>
      <c r="P85" s="181" t="s">
        <v>134</v>
      </c>
      <c r="Q85" s="1"/>
      <c r="R85" s="1"/>
      <c r="S85" s="170"/>
      <c r="T85" s="1"/>
      <c r="U85" s="1"/>
      <c r="V85" s="1"/>
    </row>
    <row r="86" spans="1:22" ht="21.75" customHeight="1">
      <c r="A86" s="1"/>
      <c r="B86" s="162">
        <v>82</v>
      </c>
      <c r="C86" s="90" t="s">
        <v>1171</v>
      </c>
      <c r="D86" s="166">
        <v>1</v>
      </c>
      <c r="E86" s="196" t="s">
        <v>133</v>
      </c>
      <c r="F86" s="187"/>
      <c r="G86" s="32"/>
      <c r="H86" s="32"/>
      <c r="I86" s="32"/>
      <c r="J86" s="32"/>
      <c r="K86" s="32"/>
      <c r="L86" s="32"/>
      <c r="M86" s="32"/>
      <c r="N86" s="32"/>
      <c r="O86" s="32"/>
      <c r="P86" s="181"/>
      <c r="Q86" s="1"/>
      <c r="R86" s="1"/>
      <c r="S86" s="170"/>
      <c r="T86" s="1"/>
      <c r="U86" s="1"/>
      <c r="V86" s="1"/>
    </row>
    <row r="87" spans="1:22" ht="24.75" customHeight="1">
      <c r="A87" s="1"/>
      <c r="B87" s="162">
        <v>83</v>
      </c>
      <c r="C87" s="255" t="s">
        <v>1172</v>
      </c>
      <c r="D87" s="195">
        <v>1</v>
      </c>
      <c r="E87" s="196" t="s">
        <v>69</v>
      </c>
      <c r="F87" s="187"/>
      <c r="G87" s="32"/>
      <c r="H87" s="32"/>
      <c r="I87" s="32"/>
      <c r="J87" s="32"/>
      <c r="K87" s="32"/>
      <c r="L87" s="32"/>
      <c r="M87" s="32"/>
      <c r="N87" s="32"/>
      <c r="O87" s="32"/>
      <c r="P87" s="181" t="s">
        <v>1157</v>
      </c>
      <c r="Q87" s="112"/>
      <c r="R87" s="112"/>
      <c r="S87" s="170">
        <f>IF((D87)=0,"",(B56+1))</f>
        <v>53</v>
      </c>
      <c r="T87" s="112"/>
      <c r="U87" s="112"/>
      <c r="V87" s="112"/>
    </row>
    <row r="88" spans="1:22" ht="24.75" customHeight="1">
      <c r="A88" s="1"/>
      <c r="B88" s="162">
        <v>84</v>
      </c>
      <c r="C88" s="255" t="s">
        <v>1173</v>
      </c>
      <c r="D88" s="195">
        <v>1</v>
      </c>
      <c r="E88" s="196" t="s">
        <v>192</v>
      </c>
      <c r="F88" s="187"/>
      <c r="G88" s="32"/>
      <c r="H88" s="32"/>
      <c r="I88" s="32"/>
      <c r="J88" s="32"/>
      <c r="K88" s="32"/>
      <c r="L88" s="32"/>
      <c r="M88" s="32"/>
      <c r="N88" s="32"/>
      <c r="O88" s="32"/>
      <c r="P88" s="181"/>
      <c r="Q88" s="112"/>
      <c r="R88" s="112"/>
      <c r="S88" s="170"/>
      <c r="T88" s="112"/>
      <c r="U88" s="112"/>
      <c r="V88" s="112"/>
    </row>
    <row r="89" spans="1:22" ht="24.75" customHeight="1">
      <c r="A89" s="1"/>
      <c r="B89" s="162">
        <v>85</v>
      </c>
      <c r="C89" s="188" t="s">
        <v>1174</v>
      </c>
      <c r="D89" s="195">
        <v>1</v>
      </c>
      <c r="E89" s="196" t="s">
        <v>1149</v>
      </c>
      <c r="F89" s="187"/>
      <c r="G89" s="32"/>
      <c r="H89" s="32"/>
      <c r="I89" s="32"/>
      <c r="J89" s="32"/>
      <c r="K89" s="32"/>
      <c r="L89" s="32"/>
      <c r="M89" s="32"/>
      <c r="N89" s="32"/>
      <c r="O89" s="32"/>
      <c r="P89" s="181"/>
      <c r="Q89" s="112"/>
      <c r="R89" s="112"/>
      <c r="S89" s="170">
        <f>IF((D89)=0,"",(B87+1))</f>
        <v>84</v>
      </c>
      <c r="T89" s="112"/>
      <c r="U89" s="112"/>
      <c r="V89" s="112"/>
    </row>
    <row r="90" spans="1:22" ht="24.75" customHeight="1">
      <c r="A90" s="1"/>
      <c r="B90" s="162">
        <v>86</v>
      </c>
      <c r="C90" s="261" t="s">
        <v>182</v>
      </c>
      <c r="D90" s="166">
        <v>1</v>
      </c>
      <c r="E90" s="167" t="s">
        <v>26</v>
      </c>
      <c r="F90" s="187"/>
      <c r="G90" s="40"/>
      <c r="H90" s="40"/>
      <c r="I90" s="40"/>
      <c r="J90" s="40">
        <v>325000</v>
      </c>
      <c r="K90" s="40"/>
      <c r="L90" s="40"/>
      <c r="M90" s="40"/>
      <c r="N90" s="40">
        <v>310000</v>
      </c>
      <c r="O90" s="40"/>
      <c r="P90" s="189" t="s">
        <v>1175</v>
      </c>
      <c r="Q90" s="112"/>
      <c r="R90" s="112"/>
      <c r="S90" s="170">
        <f t="shared" ref="S90:S137" si="5">IF((D90)=0,"",(B89+1))</f>
        <v>86</v>
      </c>
      <c r="T90" s="112"/>
      <c r="U90" s="112"/>
      <c r="V90" s="112"/>
    </row>
    <row r="91" spans="1:22" ht="24.75" customHeight="1">
      <c r="A91" s="1"/>
      <c r="B91" s="162">
        <v>87</v>
      </c>
      <c r="C91" s="76" t="s">
        <v>1176</v>
      </c>
      <c r="D91" s="166">
        <v>1</v>
      </c>
      <c r="E91" s="167" t="s">
        <v>89</v>
      </c>
      <c r="F91" s="187">
        <v>9700</v>
      </c>
      <c r="G91" s="32"/>
      <c r="H91" s="32"/>
      <c r="I91" s="32"/>
      <c r="J91" s="32"/>
      <c r="K91" s="32"/>
      <c r="L91" s="32"/>
      <c r="M91" s="32"/>
      <c r="N91" s="32"/>
      <c r="O91" s="32"/>
      <c r="P91" s="181"/>
      <c r="Q91" s="112"/>
      <c r="R91" s="112"/>
      <c r="S91" s="170">
        <f t="shared" si="5"/>
        <v>87</v>
      </c>
      <c r="T91" s="112"/>
      <c r="U91" s="112"/>
      <c r="V91" s="112"/>
    </row>
    <row r="92" spans="1:22" ht="24.75" customHeight="1">
      <c r="A92" s="1"/>
      <c r="B92" s="162">
        <v>88</v>
      </c>
      <c r="C92" s="200" t="s">
        <v>1177</v>
      </c>
      <c r="D92" s="202">
        <v>1</v>
      </c>
      <c r="E92" s="191" t="s">
        <v>1114</v>
      </c>
      <c r="F92" s="187"/>
      <c r="G92" s="40"/>
      <c r="H92" s="40"/>
      <c r="I92" s="40"/>
      <c r="J92" s="40"/>
      <c r="K92" s="40"/>
      <c r="L92" s="40"/>
      <c r="M92" s="40"/>
      <c r="N92" s="40">
        <v>3035</v>
      </c>
      <c r="O92" s="40"/>
      <c r="P92" s="189"/>
      <c r="Q92" s="112"/>
      <c r="R92" s="112"/>
      <c r="S92" s="170">
        <f t="shared" si="5"/>
        <v>88</v>
      </c>
      <c r="T92" s="112"/>
      <c r="U92" s="112"/>
      <c r="V92" s="112"/>
    </row>
    <row r="93" spans="1:22" ht="24.75" customHeight="1">
      <c r="A93" s="1"/>
      <c r="B93" s="162">
        <v>89</v>
      </c>
      <c r="C93" s="200" t="s">
        <v>1178</v>
      </c>
      <c r="D93" s="202">
        <v>1</v>
      </c>
      <c r="E93" s="191" t="s">
        <v>1096</v>
      </c>
      <c r="F93" s="187">
        <v>27500</v>
      </c>
      <c r="G93" s="40"/>
      <c r="H93" s="40"/>
      <c r="I93" s="40"/>
      <c r="J93" s="40"/>
      <c r="K93" s="40"/>
      <c r="L93" s="40"/>
      <c r="M93" s="40"/>
      <c r="N93" s="40">
        <v>18640</v>
      </c>
      <c r="O93" s="40"/>
      <c r="P93" s="189"/>
      <c r="Q93" s="112"/>
      <c r="R93" s="112"/>
      <c r="S93" s="170">
        <f t="shared" si="5"/>
        <v>89</v>
      </c>
      <c r="T93" s="112"/>
      <c r="U93" s="112"/>
      <c r="V93" s="112"/>
    </row>
    <row r="94" spans="1:22" ht="24.75" customHeight="1">
      <c r="A94" s="1"/>
      <c r="B94" s="162">
        <v>90</v>
      </c>
      <c r="C94" s="261" t="s">
        <v>1179</v>
      </c>
      <c r="D94" s="202">
        <v>1</v>
      </c>
      <c r="E94" s="191" t="s">
        <v>89</v>
      </c>
      <c r="F94" s="187"/>
      <c r="G94" s="40"/>
      <c r="H94" s="40"/>
      <c r="I94" s="40"/>
      <c r="J94" s="40"/>
      <c r="K94" s="40"/>
      <c r="L94" s="40"/>
      <c r="M94" s="40"/>
      <c r="N94" s="40"/>
      <c r="O94" s="40"/>
      <c r="P94" s="189"/>
      <c r="Q94" s="112"/>
      <c r="R94" s="112"/>
      <c r="S94" s="170">
        <f t="shared" si="5"/>
        <v>90</v>
      </c>
      <c r="T94" s="112"/>
      <c r="U94" s="112"/>
      <c r="V94" s="112"/>
    </row>
    <row r="95" spans="1:22" ht="24.75" hidden="1" customHeight="1">
      <c r="A95" s="1"/>
      <c r="B95" s="162">
        <v>91</v>
      </c>
      <c r="C95" s="188" t="s">
        <v>1180</v>
      </c>
      <c r="D95" s="195">
        <v>1</v>
      </c>
      <c r="E95" s="196" t="s">
        <v>69</v>
      </c>
      <c r="F95" s="187"/>
      <c r="G95" s="32"/>
      <c r="H95" s="32"/>
      <c r="I95" s="32"/>
      <c r="J95" s="32"/>
      <c r="K95" s="32"/>
      <c r="L95" s="32"/>
      <c r="M95" s="32"/>
      <c r="N95" s="32"/>
      <c r="O95" s="32"/>
      <c r="P95" s="181"/>
      <c r="Q95" s="112"/>
      <c r="R95" s="112"/>
      <c r="S95" s="170">
        <f t="shared" si="5"/>
        <v>91</v>
      </c>
      <c r="T95" s="112"/>
      <c r="U95" s="112"/>
      <c r="V95" s="112"/>
    </row>
    <row r="96" spans="1:22" ht="24.75" hidden="1" customHeight="1">
      <c r="A96" s="1"/>
      <c r="B96" s="162">
        <v>92</v>
      </c>
      <c r="C96" s="188" t="s">
        <v>1181</v>
      </c>
      <c r="D96" s="195">
        <v>1</v>
      </c>
      <c r="E96" s="196" t="s">
        <v>69</v>
      </c>
      <c r="F96" s="187"/>
      <c r="G96" s="32"/>
      <c r="H96" s="32"/>
      <c r="I96" s="32"/>
      <c r="J96" s="32"/>
      <c r="K96" s="32"/>
      <c r="L96" s="32"/>
      <c r="M96" s="32"/>
      <c r="N96" s="32"/>
      <c r="O96" s="32"/>
      <c r="P96" s="181"/>
      <c r="Q96" s="112"/>
      <c r="R96" s="112"/>
      <c r="S96" s="170">
        <f t="shared" si="5"/>
        <v>92</v>
      </c>
      <c r="T96" s="112"/>
      <c r="U96" s="112"/>
      <c r="V96" s="112"/>
    </row>
    <row r="97" spans="1:22" ht="24.75" hidden="1" customHeight="1">
      <c r="A97" s="1"/>
      <c r="B97" s="162">
        <v>93</v>
      </c>
      <c r="C97" s="188" t="s">
        <v>1182</v>
      </c>
      <c r="D97" s="195">
        <v>1</v>
      </c>
      <c r="E97" s="196" t="s">
        <v>69</v>
      </c>
      <c r="F97" s="187"/>
      <c r="G97" s="32"/>
      <c r="H97" s="32"/>
      <c r="I97" s="32"/>
      <c r="J97" s="32"/>
      <c r="K97" s="32"/>
      <c r="L97" s="32"/>
      <c r="M97" s="32"/>
      <c r="N97" s="32"/>
      <c r="O97" s="32"/>
      <c r="P97" s="181"/>
      <c r="Q97" s="112"/>
      <c r="R97" s="112"/>
      <c r="S97" s="170">
        <f t="shared" si="5"/>
        <v>93</v>
      </c>
      <c r="T97" s="112"/>
      <c r="U97" s="112"/>
      <c r="V97" s="112"/>
    </row>
    <row r="98" spans="1:22" ht="24.75" hidden="1" customHeight="1">
      <c r="A98" s="1"/>
      <c r="B98" s="162">
        <v>94</v>
      </c>
      <c r="C98" s="188" t="s">
        <v>1183</v>
      </c>
      <c r="D98" s="195">
        <v>1</v>
      </c>
      <c r="E98" s="196" t="s">
        <v>89</v>
      </c>
      <c r="F98" s="187"/>
      <c r="G98" s="32"/>
      <c r="H98" s="32"/>
      <c r="I98" s="32"/>
      <c r="J98" s="32"/>
      <c r="K98" s="32"/>
      <c r="L98" s="32"/>
      <c r="M98" s="32"/>
      <c r="N98" s="32"/>
      <c r="O98" s="32"/>
      <c r="P98" s="181"/>
      <c r="Q98" s="112"/>
      <c r="R98" s="112"/>
      <c r="S98" s="170">
        <f t="shared" si="5"/>
        <v>94</v>
      </c>
      <c r="T98" s="112"/>
      <c r="U98" s="112"/>
      <c r="V98" s="112"/>
    </row>
    <row r="99" spans="1:22" ht="24.75" hidden="1" customHeight="1">
      <c r="A99" s="1"/>
      <c r="B99" s="162">
        <v>95</v>
      </c>
      <c r="C99" s="188" t="s">
        <v>1184</v>
      </c>
      <c r="D99" s="195">
        <v>1</v>
      </c>
      <c r="E99" s="196" t="s">
        <v>89</v>
      </c>
      <c r="F99" s="187"/>
      <c r="G99" s="32"/>
      <c r="H99" s="32"/>
      <c r="I99" s="32"/>
      <c r="J99" s="32"/>
      <c r="K99" s="32"/>
      <c r="L99" s="32"/>
      <c r="M99" s="32"/>
      <c r="N99" s="32"/>
      <c r="O99" s="32"/>
      <c r="P99" s="181"/>
      <c r="Q99" s="112"/>
      <c r="R99" s="112"/>
      <c r="S99" s="170">
        <f t="shared" si="5"/>
        <v>95</v>
      </c>
      <c r="T99" s="112"/>
      <c r="U99" s="112"/>
      <c r="V99" s="112"/>
    </row>
    <row r="100" spans="1:22" ht="24.75" customHeight="1">
      <c r="A100" s="1"/>
      <c r="B100" s="162">
        <v>96</v>
      </c>
      <c r="C100" s="76" t="s">
        <v>1185</v>
      </c>
      <c r="D100" s="195">
        <v>100</v>
      </c>
      <c r="E100" s="196" t="s">
        <v>52</v>
      </c>
      <c r="F100" s="187"/>
      <c r="G100" s="32"/>
      <c r="H100" s="32"/>
      <c r="I100" s="32"/>
      <c r="J100" s="32"/>
      <c r="K100" s="32"/>
      <c r="L100" s="32"/>
      <c r="M100" s="32"/>
      <c r="N100" s="32">
        <v>250</v>
      </c>
      <c r="O100" s="32"/>
      <c r="P100" s="181"/>
      <c r="Q100" s="112"/>
      <c r="R100" s="112"/>
      <c r="S100" s="170">
        <f t="shared" si="5"/>
        <v>96</v>
      </c>
      <c r="T100" s="112"/>
      <c r="U100" s="112"/>
      <c r="V100" s="112"/>
    </row>
    <row r="101" spans="1:22" ht="24.75" customHeight="1">
      <c r="A101" s="1"/>
      <c r="B101" s="162">
        <v>97</v>
      </c>
      <c r="C101" s="188" t="s">
        <v>1186</v>
      </c>
      <c r="D101" s="195">
        <v>1</v>
      </c>
      <c r="E101" s="196" t="s">
        <v>52</v>
      </c>
      <c r="F101" s="187"/>
      <c r="G101" s="32"/>
      <c r="H101" s="32"/>
      <c r="I101" s="32"/>
      <c r="J101" s="32"/>
      <c r="K101" s="32"/>
      <c r="L101" s="32"/>
      <c r="M101" s="32"/>
      <c r="N101" s="32"/>
      <c r="O101" s="32"/>
      <c r="P101" s="181"/>
      <c r="Q101" s="112"/>
      <c r="R101" s="112"/>
      <c r="S101" s="170">
        <f t="shared" si="5"/>
        <v>97</v>
      </c>
      <c r="T101" s="112"/>
      <c r="U101" s="112"/>
      <c r="V101" s="112"/>
    </row>
    <row r="102" spans="1:22" ht="24.75" customHeight="1">
      <c r="A102" s="1"/>
      <c r="B102" s="162">
        <v>98</v>
      </c>
      <c r="C102" s="188" t="s">
        <v>1187</v>
      </c>
      <c r="D102" s="166">
        <v>1</v>
      </c>
      <c r="E102" s="167" t="s">
        <v>214</v>
      </c>
      <c r="F102" s="187"/>
      <c r="G102" s="32"/>
      <c r="H102" s="32"/>
      <c r="I102" s="32"/>
      <c r="J102" s="32"/>
      <c r="K102" s="32"/>
      <c r="L102" s="32"/>
      <c r="M102" s="32"/>
      <c r="N102" s="32"/>
      <c r="O102" s="32"/>
      <c r="P102" s="181"/>
      <c r="Q102" s="112"/>
      <c r="R102" s="112"/>
      <c r="S102" s="170">
        <f t="shared" si="5"/>
        <v>98</v>
      </c>
      <c r="T102" s="112"/>
      <c r="U102" s="112"/>
      <c r="V102" s="112"/>
    </row>
    <row r="103" spans="1:22" ht="24.75" customHeight="1">
      <c r="A103" s="1"/>
      <c r="B103" s="162">
        <v>99</v>
      </c>
      <c r="C103" s="188" t="s">
        <v>1188</v>
      </c>
      <c r="D103" s="166">
        <v>1</v>
      </c>
      <c r="E103" s="167" t="s">
        <v>214</v>
      </c>
      <c r="F103" s="187"/>
      <c r="G103" s="32"/>
      <c r="H103" s="32"/>
      <c r="I103" s="32"/>
      <c r="J103" s="32"/>
      <c r="K103" s="32"/>
      <c r="L103" s="32"/>
      <c r="M103" s="32"/>
      <c r="N103" s="32"/>
      <c r="O103" s="32"/>
      <c r="P103" s="181"/>
      <c r="Q103" s="112"/>
      <c r="R103" s="112"/>
      <c r="S103" s="170">
        <f t="shared" si="5"/>
        <v>99</v>
      </c>
      <c r="T103" s="112"/>
      <c r="U103" s="112"/>
      <c r="V103" s="112"/>
    </row>
    <row r="104" spans="1:22" ht="24.75" customHeight="1">
      <c r="A104" s="1"/>
      <c r="B104" s="162">
        <v>100</v>
      </c>
      <c r="C104" s="188" t="s">
        <v>1189</v>
      </c>
      <c r="D104" s="166">
        <v>1</v>
      </c>
      <c r="E104" s="167" t="s">
        <v>52</v>
      </c>
      <c r="F104" s="187"/>
      <c r="G104" s="32"/>
      <c r="H104" s="32"/>
      <c r="I104" s="32"/>
      <c r="J104" s="32">
        <v>15500</v>
      </c>
      <c r="K104" s="32"/>
      <c r="L104" s="32"/>
      <c r="M104" s="32"/>
      <c r="N104" s="32"/>
      <c r="O104" s="32"/>
      <c r="P104" s="181"/>
      <c r="Q104" s="112"/>
      <c r="R104" s="112"/>
      <c r="S104" s="170">
        <f t="shared" si="5"/>
        <v>100</v>
      </c>
      <c r="T104" s="112"/>
      <c r="U104" s="112"/>
      <c r="V104" s="112"/>
    </row>
    <row r="105" spans="1:22" ht="24.75" customHeight="1">
      <c r="A105" s="1"/>
      <c r="B105" s="162">
        <v>101</v>
      </c>
      <c r="C105" s="188" t="s">
        <v>1190</v>
      </c>
      <c r="D105" s="166">
        <v>1</v>
      </c>
      <c r="E105" s="167" t="s">
        <v>52</v>
      </c>
      <c r="F105" s="187"/>
      <c r="G105" s="32"/>
      <c r="H105" s="32"/>
      <c r="I105" s="32"/>
      <c r="J105" s="32"/>
      <c r="K105" s="32"/>
      <c r="L105" s="32"/>
      <c r="M105" s="32"/>
      <c r="N105" s="32"/>
      <c r="O105" s="32"/>
      <c r="P105" s="181"/>
      <c r="Q105" s="112"/>
      <c r="R105" s="112"/>
      <c r="S105" s="170">
        <f t="shared" si="5"/>
        <v>101</v>
      </c>
      <c r="T105" s="112"/>
      <c r="U105" s="112"/>
      <c r="V105" s="112"/>
    </row>
    <row r="106" spans="1:22" ht="24.75" customHeight="1">
      <c r="A106" s="1"/>
      <c r="B106" s="162">
        <v>102</v>
      </c>
      <c r="C106" s="188" t="s">
        <v>1191</v>
      </c>
      <c r="D106" s="195">
        <v>1</v>
      </c>
      <c r="E106" s="196" t="s">
        <v>89</v>
      </c>
      <c r="F106" s="187"/>
      <c r="G106" s="32"/>
      <c r="H106" s="32"/>
      <c r="I106" s="32"/>
      <c r="J106" s="32"/>
      <c r="K106" s="32"/>
      <c r="L106" s="32"/>
      <c r="M106" s="32"/>
      <c r="N106" s="32"/>
      <c r="O106" s="32"/>
      <c r="P106" s="181"/>
      <c r="Q106" s="112"/>
      <c r="R106" s="112"/>
      <c r="S106" s="170">
        <f t="shared" si="5"/>
        <v>102</v>
      </c>
      <c r="T106" s="112"/>
      <c r="U106" s="112"/>
      <c r="V106" s="112"/>
    </row>
    <row r="107" spans="1:22" ht="24.75" customHeight="1">
      <c r="A107" s="1"/>
      <c r="B107" s="162">
        <v>103</v>
      </c>
      <c r="C107" s="188" t="s">
        <v>1192</v>
      </c>
      <c r="D107" s="166">
        <v>1</v>
      </c>
      <c r="E107" s="167" t="s">
        <v>52</v>
      </c>
      <c r="F107" s="187"/>
      <c r="G107" s="32"/>
      <c r="H107" s="32"/>
      <c r="I107" s="32"/>
      <c r="J107" s="32"/>
      <c r="K107" s="32"/>
      <c r="L107" s="32"/>
      <c r="M107" s="32"/>
      <c r="N107" s="32"/>
      <c r="O107" s="32"/>
      <c r="P107" s="181"/>
      <c r="Q107" s="112"/>
      <c r="R107" s="112"/>
      <c r="S107" s="170">
        <f t="shared" si="5"/>
        <v>103</v>
      </c>
      <c r="T107" s="112"/>
      <c r="U107" s="112"/>
      <c r="V107" s="112"/>
    </row>
    <row r="108" spans="1:22" ht="24.75" customHeight="1">
      <c r="A108" s="1"/>
      <c r="B108" s="162">
        <v>104</v>
      </c>
      <c r="C108" s="188" t="s">
        <v>1193</v>
      </c>
      <c r="D108" s="166">
        <v>1</v>
      </c>
      <c r="E108" s="167" t="s">
        <v>52</v>
      </c>
      <c r="F108" s="187"/>
      <c r="G108" s="32"/>
      <c r="H108" s="32"/>
      <c r="I108" s="32"/>
      <c r="J108" s="32"/>
      <c r="K108" s="32"/>
      <c r="L108" s="32"/>
      <c r="M108" s="32"/>
      <c r="N108" s="32"/>
      <c r="O108" s="32"/>
      <c r="P108" s="181"/>
      <c r="Q108" s="112"/>
      <c r="R108" s="112"/>
      <c r="S108" s="170">
        <f t="shared" si="5"/>
        <v>104</v>
      </c>
      <c r="T108" s="112"/>
      <c r="U108" s="112"/>
      <c r="V108" s="112"/>
    </row>
    <row r="109" spans="1:22" ht="26.25" hidden="1" customHeight="1">
      <c r="A109" s="1"/>
      <c r="B109" s="162">
        <v>105</v>
      </c>
      <c r="C109" s="201" t="s">
        <v>1194</v>
      </c>
      <c r="D109" s="195">
        <v>1</v>
      </c>
      <c r="E109" s="167" t="s">
        <v>214</v>
      </c>
      <c r="F109" s="187"/>
      <c r="G109" s="32"/>
      <c r="H109" s="32"/>
      <c r="I109" s="32"/>
      <c r="J109" s="32"/>
      <c r="K109" s="32"/>
      <c r="L109" s="32"/>
      <c r="M109" s="32"/>
      <c r="N109" s="32"/>
      <c r="O109" s="32"/>
      <c r="P109" s="181"/>
      <c r="Q109" s="112"/>
      <c r="R109" s="112"/>
      <c r="S109" s="170">
        <f t="shared" si="5"/>
        <v>105</v>
      </c>
      <c r="T109" s="112"/>
      <c r="U109" s="112"/>
      <c r="V109" s="112"/>
    </row>
    <row r="110" spans="1:22" ht="11.25" hidden="1" customHeight="1">
      <c r="A110" s="1"/>
      <c r="B110" s="162">
        <v>106</v>
      </c>
      <c r="C110" s="188" t="s">
        <v>1195</v>
      </c>
      <c r="D110" s="166">
        <v>1</v>
      </c>
      <c r="E110" s="167" t="s">
        <v>52</v>
      </c>
      <c r="F110" s="187"/>
      <c r="G110" s="32"/>
      <c r="H110" s="32"/>
      <c r="I110" s="32"/>
      <c r="J110" s="32"/>
      <c r="K110" s="32"/>
      <c r="L110" s="32"/>
      <c r="M110" s="32"/>
      <c r="N110" s="32"/>
      <c r="O110" s="32"/>
      <c r="P110" s="181"/>
      <c r="Q110" s="112"/>
      <c r="R110" s="112"/>
      <c r="S110" s="170">
        <f t="shared" si="5"/>
        <v>106</v>
      </c>
      <c r="T110" s="112"/>
      <c r="U110" s="112"/>
      <c r="V110" s="112"/>
    </row>
    <row r="111" spans="1:22" ht="24.75" hidden="1" customHeight="1">
      <c r="A111" s="1"/>
      <c r="B111" s="162">
        <v>107</v>
      </c>
      <c r="C111" s="188" t="s">
        <v>1196</v>
      </c>
      <c r="D111" s="166">
        <v>1</v>
      </c>
      <c r="E111" s="167" t="s">
        <v>52</v>
      </c>
      <c r="F111" s="187"/>
      <c r="G111" s="32"/>
      <c r="H111" s="32"/>
      <c r="I111" s="32"/>
      <c r="J111" s="32"/>
      <c r="K111" s="32"/>
      <c r="L111" s="32"/>
      <c r="M111" s="32"/>
      <c r="N111" s="32"/>
      <c r="O111" s="32"/>
      <c r="P111" s="181"/>
      <c r="Q111" s="112"/>
      <c r="R111" s="112"/>
      <c r="S111" s="170">
        <f t="shared" si="5"/>
        <v>107</v>
      </c>
      <c r="T111" s="112"/>
      <c r="U111" s="112"/>
      <c r="V111" s="112"/>
    </row>
    <row r="112" spans="1:22" ht="24.75" hidden="1" customHeight="1">
      <c r="A112" s="1"/>
      <c r="B112" s="162">
        <v>108</v>
      </c>
      <c r="C112" s="188" t="s">
        <v>1197</v>
      </c>
      <c r="D112" s="166">
        <v>1</v>
      </c>
      <c r="E112" s="167" t="s">
        <v>52</v>
      </c>
      <c r="F112" s="187"/>
      <c r="G112" s="32"/>
      <c r="H112" s="32"/>
      <c r="I112" s="32"/>
      <c r="J112" s="32"/>
      <c r="K112" s="32"/>
      <c r="L112" s="32"/>
      <c r="M112" s="32"/>
      <c r="N112" s="32"/>
      <c r="O112" s="32"/>
      <c r="P112" s="181"/>
      <c r="Q112" s="112"/>
      <c r="R112" s="112"/>
      <c r="S112" s="170">
        <f t="shared" si="5"/>
        <v>108</v>
      </c>
      <c r="T112" s="112"/>
      <c r="U112" s="112"/>
      <c r="V112" s="112"/>
    </row>
    <row r="113" spans="1:22" ht="24.75" hidden="1" customHeight="1">
      <c r="A113" s="1"/>
      <c r="B113" s="162">
        <v>109</v>
      </c>
      <c r="C113" s="188" t="s">
        <v>1198</v>
      </c>
      <c r="D113" s="166">
        <v>1</v>
      </c>
      <c r="E113" s="167" t="s">
        <v>52</v>
      </c>
      <c r="F113" s="187"/>
      <c r="G113" s="32"/>
      <c r="H113" s="32"/>
      <c r="I113" s="32"/>
      <c r="J113" s="32"/>
      <c r="K113" s="32"/>
      <c r="L113" s="32"/>
      <c r="M113" s="32"/>
      <c r="N113" s="32"/>
      <c r="O113" s="32"/>
      <c r="P113" s="181"/>
      <c r="Q113" s="112"/>
      <c r="R113" s="112"/>
      <c r="S113" s="170">
        <f t="shared" si="5"/>
        <v>109</v>
      </c>
      <c r="T113" s="112"/>
      <c r="U113" s="112"/>
      <c r="V113" s="112"/>
    </row>
    <row r="114" spans="1:22" ht="24.75" hidden="1" customHeight="1">
      <c r="A114" s="1"/>
      <c r="B114" s="162">
        <v>110</v>
      </c>
      <c r="C114" s="188" t="s">
        <v>1199</v>
      </c>
      <c r="D114" s="166">
        <v>1</v>
      </c>
      <c r="E114" s="167" t="s">
        <v>52</v>
      </c>
      <c r="F114" s="187"/>
      <c r="G114" s="32"/>
      <c r="H114" s="32"/>
      <c r="I114" s="32"/>
      <c r="J114" s="32"/>
      <c r="K114" s="32"/>
      <c r="L114" s="32"/>
      <c r="M114" s="32"/>
      <c r="N114" s="32"/>
      <c r="O114" s="32"/>
      <c r="P114" s="181"/>
      <c r="Q114" s="112"/>
      <c r="R114" s="112"/>
      <c r="S114" s="170">
        <f t="shared" si="5"/>
        <v>110</v>
      </c>
      <c r="T114" s="112"/>
      <c r="U114" s="112"/>
      <c r="V114" s="112"/>
    </row>
    <row r="115" spans="1:22" ht="24.75" hidden="1" customHeight="1">
      <c r="A115" s="1"/>
      <c r="B115" s="162">
        <v>111</v>
      </c>
      <c r="C115" s="188" t="s">
        <v>1200</v>
      </c>
      <c r="D115" s="166">
        <v>1</v>
      </c>
      <c r="E115" s="167" t="s">
        <v>52</v>
      </c>
      <c r="F115" s="187"/>
      <c r="G115" s="40"/>
      <c r="H115" s="40"/>
      <c r="I115" s="40"/>
      <c r="J115" s="40"/>
      <c r="K115" s="40"/>
      <c r="L115" s="40"/>
      <c r="M115" s="40"/>
      <c r="N115" s="40"/>
      <c r="O115" s="40"/>
      <c r="P115" s="189"/>
      <c r="Q115" s="112"/>
      <c r="R115" s="112"/>
      <c r="S115" s="170">
        <f t="shared" si="5"/>
        <v>111</v>
      </c>
      <c r="T115" s="112"/>
      <c r="U115" s="112"/>
      <c r="V115" s="112"/>
    </row>
    <row r="116" spans="1:22" ht="24.75" hidden="1" customHeight="1">
      <c r="A116" s="1"/>
      <c r="B116" s="162">
        <v>112</v>
      </c>
      <c r="C116" s="188" t="s">
        <v>1201</v>
      </c>
      <c r="D116" s="166">
        <v>1</v>
      </c>
      <c r="E116" s="167" t="s">
        <v>52</v>
      </c>
      <c r="F116" s="187"/>
      <c r="G116" s="40"/>
      <c r="H116" s="40"/>
      <c r="I116" s="40"/>
      <c r="J116" s="40"/>
      <c r="K116" s="40"/>
      <c r="L116" s="40"/>
      <c r="M116" s="40"/>
      <c r="N116" s="40"/>
      <c r="O116" s="40"/>
      <c r="P116" s="189"/>
      <c r="Q116" s="112"/>
      <c r="R116" s="112"/>
      <c r="S116" s="170">
        <f t="shared" si="5"/>
        <v>112</v>
      </c>
      <c r="T116" s="112"/>
      <c r="U116" s="112"/>
      <c r="V116" s="112"/>
    </row>
    <row r="117" spans="1:22" ht="24.75" hidden="1" customHeight="1">
      <c r="A117" s="1"/>
      <c r="B117" s="162">
        <v>113</v>
      </c>
      <c r="C117" s="188" t="s">
        <v>1202</v>
      </c>
      <c r="D117" s="166">
        <v>1</v>
      </c>
      <c r="E117" s="167" t="s">
        <v>52</v>
      </c>
      <c r="F117" s="187"/>
      <c r="G117" s="40"/>
      <c r="H117" s="40"/>
      <c r="I117" s="40"/>
      <c r="J117" s="40"/>
      <c r="K117" s="40"/>
      <c r="L117" s="40"/>
      <c r="M117" s="40"/>
      <c r="N117" s="40"/>
      <c r="O117" s="40"/>
      <c r="P117" s="189"/>
      <c r="Q117" s="112"/>
      <c r="R117" s="112"/>
      <c r="S117" s="170">
        <f t="shared" si="5"/>
        <v>113</v>
      </c>
      <c r="T117" s="112"/>
      <c r="U117" s="112"/>
      <c r="V117" s="112"/>
    </row>
    <row r="118" spans="1:22" ht="24.75" hidden="1" customHeight="1">
      <c r="A118" s="1"/>
      <c r="B118" s="162">
        <v>114</v>
      </c>
      <c r="C118" s="188" t="s">
        <v>1203</v>
      </c>
      <c r="D118" s="166">
        <v>1</v>
      </c>
      <c r="E118" s="167" t="s">
        <v>52</v>
      </c>
      <c r="F118" s="187"/>
      <c r="G118" s="40"/>
      <c r="H118" s="40"/>
      <c r="I118" s="40"/>
      <c r="J118" s="40"/>
      <c r="K118" s="40"/>
      <c r="L118" s="40"/>
      <c r="M118" s="40"/>
      <c r="N118" s="40"/>
      <c r="O118" s="40"/>
      <c r="P118" s="189"/>
      <c r="Q118" s="112"/>
      <c r="R118" s="112"/>
      <c r="S118" s="170">
        <f t="shared" si="5"/>
        <v>114</v>
      </c>
      <c r="T118" s="112"/>
      <c r="U118" s="112"/>
      <c r="V118" s="112"/>
    </row>
    <row r="119" spans="1:22" ht="24.75" hidden="1" customHeight="1">
      <c r="A119" s="1"/>
      <c r="B119" s="162">
        <v>115</v>
      </c>
      <c r="C119" s="188" t="s">
        <v>1204</v>
      </c>
      <c r="D119" s="166">
        <v>1</v>
      </c>
      <c r="E119" s="167" t="s">
        <v>52</v>
      </c>
      <c r="F119" s="187"/>
      <c r="G119" s="40"/>
      <c r="H119" s="40"/>
      <c r="I119" s="40"/>
      <c r="J119" s="40"/>
      <c r="K119" s="40"/>
      <c r="L119" s="40"/>
      <c r="M119" s="40"/>
      <c r="N119" s="40"/>
      <c r="O119" s="40"/>
      <c r="P119" s="189"/>
      <c r="Q119" s="112"/>
      <c r="R119" s="112"/>
      <c r="S119" s="170">
        <f t="shared" si="5"/>
        <v>115</v>
      </c>
      <c r="T119" s="112"/>
      <c r="U119" s="112"/>
      <c r="V119" s="112"/>
    </row>
    <row r="120" spans="1:22" ht="24.75" hidden="1" customHeight="1">
      <c r="A120" s="1"/>
      <c r="B120" s="162">
        <v>116</v>
      </c>
      <c r="C120" s="188" t="s">
        <v>1205</v>
      </c>
      <c r="D120" s="166">
        <v>1</v>
      </c>
      <c r="E120" s="167" t="s">
        <v>52</v>
      </c>
      <c r="F120" s="187"/>
      <c r="G120" s="40"/>
      <c r="H120" s="40"/>
      <c r="I120" s="40"/>
      <c r="J120" s="40"/>
      <c r="K120" s="40"/>
      <c r="L120" s="40"/>
      <c r="M120" s="40"/>
      <c r="N120" s="40"/>
      <c r="O120" s="40"/>
      <c r="P120" s="189"/>
      <c r="Q120" s="112"/>
      <c r="R120" s="112"/>
      <c r="S120" s="170">
        <f t="shared" si="5"/>
        <v>116</v>
      </c>
      <c r="T120" s="112"/>
      <c r="U120" s="112"/>
      <c r="V120" s="112"/>
    </row>
    <row r="121" spans="1:22" ht="24.75" hidden="1" customHeight="1">
      <c r="A121" s="1"/>
      <c r="B121" s="162">
        <v>117</v>
      </c>
      <c r="C121" s="188" t="s">
        <v>1206</v>
      </c>
      <c r="D121" s="166">
        <v>1</v>
      </c>
      <c r="E121" s="167" t="s">
        <v>52</v>
      </c>
      <c r="F121" s="187"/>
      <c r="G121" s="40"/>
      <c r="H121" s="40"/>
      <c r="I121" s="40"/>
      <c r="J121" s="40"/>
      <c r="K121" s="40"/>
      <c r="L121" s="40"/>
      <c r="M121" s="40"/>
      <c r="N121" s="40"/>
      <c r="O121" s="40"/>
      <c r="P121" s="189"/>
      <c r="Q121" s="112"/>
      <c r="R121" s="112"/>
      <c r="S121" s="170">
        <f t="shared" si="5"/>
        <v>117</v>
      </c>
      <c r="T121" s="112"/>
      <c r="U121" s="112"/>
      <c r="V121" s="112"/>
    </row>
    <row r="122" spans="1:22" ht="24.75" hidden="1" customHeight="1">
      <c r="A122" s="1"/>
      <c r="B122" s="162">
        <v>118</v>
      </c>
      <c r="C122" s="188" t="s">
        <v>1207</v>
      </c>
      <c r="D122" s="166">
        <v>1</v>
      </c>
      <c r="E122" s="167" t="s">
        <v>52</v>
      </c>
      <c r="F122" s="187"/>
      <c r="G122" s="40"/>
      <c r="H122" s="40"/>
      <c r="I122" s="40"/>
      <c r="J122" s="40"/>
      <c r="K122" s="40"/>
      <c r="L122" s="40"/>
      <c r="M122" s="40"/>
      <c r="N122" s="40"/>
      <c r="O122" s="40"/>
      <c r="P122" s="189"/>
      <c r="Q122" s="112"/>
      <c r="R122" s="112"/>
      <c r="S122" s="170">
        <f t="shared" si="5"/>
        <v>118</v>
      </c>
      <c r="T122" s="112"/>
      <c r="U122" s="112"/>
      <c r="V122" s="112"/>
    </row>
    <row r="123" spans="1:22" ht="24.75" hidden="1" customHeight="1">
      <c r="A123" s="1"/>
      <c r="B123" s="162">
        <v>119</v>
      </c>
      <c r="C123" s="188" t="s">
        <v>1208</v>
      </c>
      <c r="D123" s="166">
        <v>1</v>
      </c>
      <c r="E123" s="167" t="s">
        <v>52</v>
      </c>
      <c r="F123" s="187"/>
      <c r="G123" s="40"/>
      <c r="H123" s="40"/>
      <c r="I123" s="40"/>
      <c r="J123" s="40"/>
      <c r="K123" s="40"/>
      <c r="L123" s="40"/>
      <c r="M123" s="40"/>
      <c r="N123" s="40"/>
      <c r="O123" s="40"/>
      <c r="P123" s="189"/>
      <c r="Q123" s="112"/>
      <c r="R123" s="112"/>
      <c r="S123" s="170">
        <f t="shared" si="5"/>
        <v>119</v>
      </c>
      <c r="T123" s="112"/>
      <c r="U123" s="112"/>
      <c r="V123" s="112"/>
    </row>
    <row r="124" spans="1:22" ht="24.75" hidden="1" customHeight="1">
      <c r="A124" s="1"/>
      <c r="B124" s="162">
        <v>120</v>
      </c>
      <c r="C124" s="188" t="s">
        <v>1209</v>
      </c>
      <c r="D124" s="166">
        <v>1</v>
      </c>
      <c r="E124" s="167" t="s">
        <v>52</v>
      </c>
      <c r="F124" s="187"/>
      <c r="G124" s="40"/>
      <c r="H124" s="40"/>
      <c r="I124" s="40"/>
      <c r="J124" s="40"/>
      <c r="K124" s="40"/>
      <c r="L124" s="40"/>
      <c r="M124" s="40"/>
      <c r="N124" s="40"/>
      <c r="O124" s="40"/>
      <c r="P124" s="189"/>
      <c r="Q124" s="112"/>
      <c r="R124" s="112"/>
      <c r="S124" s="170">
        <f t="shared" si="5"/>
        <v>120</v>
      </c>
      <c r="T124" s="112"/>
      <c r="U124" s="112"/>
      <c r="V124" s="112"/>
    </row>
    <row r="125" spans="1:22" ht="24.75" hidden="1" customHeight="1">
      <c r="A125" s="1"/>
      <c r="B125" s="162">
        <v>121</v>
      </c>
      <c r="C125" s="188" t="s">
        <v>1210</v>
      </c>
      <c r="D125" s="166">
        <v>1</v>
      </c>
      <c r="E125" s="167" t="s">
        <v>52</v>
      </c>
      <c r="F125" s="187"/>
      <c r="G125" s="40"/>
      <c r="H125" s="40"/>
      <c r="I125" s="40"/>
      <c r="J125" s="40"/>
      <c r="K125" s="40"/>
      <c r="L125" s="40"/>
      <c r="M125" s="40"/>
      <c r="N125" s="40"/>
      <c r="O125" s="40"/>
      <c r="P125" s="189"/>
      <c r="Q125" s="112"/>
      <c r="R125" s="112"/>
      <c r="S125" s="170">
        <f t="shared" si="5"/>
        <v>121</v>
      </c>
      <c r="T125" s="112"/>
      <c r="U125" s="112"/>
      <c r="V125" s="112"/>
    </row>
    <row r="126" spans="1:22" ht="24.75" hidden="1" customHeight="1">
      <c r="A126" s="1"/>
      <c r="B126" s="162">
        <v>122</v>
      </c>
      <c r="C126" s="188" t="s">
        <v>1211</v>
      </c>
      <c r="D126" s="166">
        <v>1</v>
      </c>
      <c r="E126" s="167" t="s">
        <v>52</v>
      </c>
      <c r="F126" s="187"/>
      <c r="G126" s="40"/>
      <c r="H126" s="40"/>
      <c r="I126" s="40"/>
      <c r="J126" s="40"/>
      <c r="K126" s="40"/>
      <c r="L126" s="40"/>
      <c r="M126" s="40"/>
      <c r="N126" s="40"/>
      <c r="O126" s="40"/>
      <c r="P126" s="189"/>
      <c r="Q126" s="112"/>
      <c r="R126" s="112"/>
      <c r="S126" s="170">
        <f t="shared" si="5"/>
        <v>122</v>
      </c>
      <c r="T126" s="112"/>
      <c r="U126" s="112"/>
      <c r="V126" s="112"/>
    </row>
    <row r="127" spans="1:22" ht="24.75" hidden="1" customHeight="1">
      <c r="A127" s="1"/>
      <c r="B127" s="162">
        <v>123</v>
      </c>
      <c r="C127" s="188" t="s">
        <v>1212</v>
      </c>
      <c r="D127" s="166">
        <v>1</v>
      </c>
      <c r="E127" s="167" t="s">
        <v>52</v>
      </c>
      <c r="F127" s="187"/>
      <c r="G127" s="40"/>
      <c r="H127" s="40"/>
      <c r="I127" s="40"/>
      <c r="J127" s="40"/>
      <c r="K127" s="40"/>
      <c r="L127" s="40"/>
      <c r="M127" s="40"/>
      <c r="N127" s="40"/>
      <c r="O127" s="40"/>
      <c r="P127" s="189"/>
      <c r="Q127" s="112"/>
      <c r="R127" s="112"/>
      <c r="S127" s="170">
        <f t="shared" si="5"/>
        <v>123</v>
      </c>
      <c r="T127" s="112"/>
      <c r="U127" s="112"/>
      <c r="V127" s="112"/>
    </row>
    <row r="128" spans="1:22" ht="24.75" hidden="1" customHeight="1">
      <c r="A128" s="1"/>
      <c r="B128" s="162">
        <v>124</v>
      </c>
      <c r="C128" s="188" t="s">
        <v>1213</v>
      </c>
      <c r="D128" s="166">
        <v>1</v>
      </c>
      <c r="E128" s="167" t="s">
        <v>52</v>
      </c>
      <c r="F128" s="187"/>
      <c r="G128" s="40"/>
      <c r="H128" s="40"/>
      <c r="I128" s="40"/>
      <c r="J128" s="40"/>
      <c r="K128" s="40"/>
      <c r="L128" s="40"/>
      <c r="M128" s="40"/>
      <c r="N128" s="40"/>
      <c r="O128" s="40"/>
      <c r="P128" s="189"/>
      <c r="Q128" s="112"/>
      <c r="R128" s="112"/>
      <c r="S128" s="170">
        <f t="shared" si="5"/>
        <v>124</v>
      </c>
      <c r="T128" s="112"/>
      <c r="U128" s="112"/>
      <c r="V128" s="112"/>
    </row>
    <row r="129" spans="1:22" ht="24.75" hidden="1" customHeight="1">
      <c r="A129" s="1"/>
      <c r="B129" s="162">
        <v>125</v>
      </c>
      <c r="C129" s="188" t="s">
        <v>1214</v>
      </c>
      <c r="D129" s="166">
        <v>1</v>
      </c>
      <c r="E129" s="167" t="s">
        <v>52</v>
      </c>
      <c r="F129" s="187"/>
      <c r="G129" s="40"/>
      <c r="H129" s="40"/>
      <c r="I129" s="40"/>
      <c r="J129" s="40"/>
      <c r="K129" s="40"/>
      <c r="L129" s="40"/>
      <c r="M129" s="40"/>
      <c r="N129" s="40"/>
      <c r="O129" s="40"/>
      <c r="P129" s="189"/>
      <c r="Q129" s="112"/>
      <c r="R129" s="112"/>
      <c r="S129" s="170">
        <f t="shared" si="5"/>
        <v>125</v>
      </c>
      <c r="T129" s="112"/>
      <c r="U129" s="112"/>
      <c r="V129" s="112"/>
    </row>
    <row r="130" spans="1:22" ht="24.75" hidden="1" customHeight="1">
      <c r="A130" s="1"/>
      <c r="B130" s="162">
        <v>126</v>
      </c>
      <c r="C130" s="188" t="s">
        <v>1215</v>
      </c>
      <c r="D130" s="166">
        <v>1</v>
      </c>
      <c r="E130" s="167" t="s">
        <v>52</v>
      </c>
      <c r="F130" s="187"/>
      <c r="G130" s="40"/>
      <c r="H130" s="40"/>
      <c r="I130" s="40"/>
      <c r="J130" s="40"/>
      <c r="K130" s="40"/>
      <c r="L130" s="40"/>
      <c r="M130" s="40"/>
      <c r="N130" s="40"/>
      <c r="O130" s="40"/>
      <c r="P130" s="189"/>
      <c r="Q130" s="112"/>
      <c r="R130" s="112"/>
      <c r="S130" s="170">
        <f t="shared" si="5"/>
        <v>126</v>
      </c>
      <c r="T130" s="112"/>
      <c r="U130" s="112"/>
      <c r="V130" s="112"/>
    </row>
    <row r="131" spans="1:22" ht="24.75" hidden="1" customHeight="1">
      <c r="A131" s="1"/>
      <c r="B131" s="162">
        <v>127</v>
      </c>
      <c r="C131" s="188" t="s">
        <v>1216</v>
      </c>
      <c r="D131" s="166">
        <v>1</v>
      </c>
      <c r="E131" s="167" t="s">
        <v>52</v>
      </c>
      <c r="F131" s="187"/>
      <c r="G131" s="40"/>
      <c r="H131" s="40"/>
      <c r="I131" s="40"/>
      <c r="J131" s="40"/>
      <c r="K131" s="40"/>
      <c r="L131" s="40"/>
      <c r="M131" s="40"/>
      <c r="N131" s="40"/>
      <c r="O131" s="40"/>
      <c r="P131" s="189"/>
      <c r="Q131" s="112"/>
      <c r="R131" s="112"/>
      <c r="S131" s="170">
        <f t="shared" si="5"/>
        <v>127</v>
      </c>
      <c r="T131" s="112"/>
      <c r="U131" s="112"/>
      <c r="V131" s="112"/>
    </row>
    <row r="132" spans="1:22" ht="24.75" customHeight="1">
      <c r="A132" s="1"/>
      <c r="B132" s="162">
        <v>128</v>
      </c>
      <c r="C132" s="76" t="s">
        <v>97</v>
      </c>
      <c r="D132" s="202">
        <v>1</v>
      </c>
      <c r="E132" s="191" t="s">
        <v>98</v>
      </c>
      <c r="F132" s="187"/>
      <c r="G132" s="40"/>
      <c r="H132" s="40"/>
      <c r="I132" s="40"/>
      <c r="J132" s="40"/>
      <c r="K132" s="40"/>
      <c r="L132" s="40"/>
      <c r="M132" s="40"/>
      <c r="N132" s="40">
        <f>200*108%</f>
        <v>216</v>
      </c>
      <c r="O132" s="40"/>
      <c r="P132" s="189"/>
      <c r="Q132" s="112"/>
      <c r="R132" s="112"/>
      <c r="S132" s="170">
        <f t="shared" si="5"/>
        <v>128</v>
      </c>
      <c r="T132" s="112"/>
      <c r="U132" s="112"/>
      <c r="V132" s="112"/>
    </row>
    <row r="133" spans="1:22" ht="24.75" customHeight="1">
      <c r="A133" s="1"/>
      <c r="B133" s="162">
        <v>129</v>
      </c>
      <c r="C133" s="200" t="s">
        <v>100</v>
      </c>
      <c r="D133" s="202">
        <v>1</v>
      </c>
      <c r="E133" s="191" t="s">
        <v>98</v>
      </c>
      <c r="F133" s="187"/>
      <c r="G133" s="40"/>
      <c r="H133" s="40"/>
      <c r="I133" s="40"/>
      <c r="J133" s="40"/>
      <c r="K133" s="40"/>
      <c r="L133" s="40"/>
      <c r="M133" s="40"/>
      <c r="N133" s="40">
        <f>1450*108%</f>
        <v>1566</v>
      </c>
      <c r="O133" s="40"/>
      <c r="P133" s="189"/>
      <c r="Q133" s="112"/>
      <c r="R133" s="112"/>
      <c r="S133" s="170">
        <f t="shared" si="5"/>
        <v>129</v>
      </c>
      <c r="T133" s="112"/>
      <c r="U133" s="112"/>
      <c r="V133" s="112"/>
    </row>
    <row r="134" spans="1:22" ht="24.75" customHeight="1">
      <c r="A134" s="1"/>
      <c r="B134" s="162">
        <v>130</v>
      </c>
      <c r="C134" s="200" t="s">
        <v>101</v>
      </c>
      <c r="D134" s="202">
        <v>1</v>
      </c>
      <c r="E134" s="191" t="s">
        <v>98</v>
      </c>
      <c r="F134" s="187"/>
      <c r="G134" s="40"/>
      <c r="H134" s="40"/>
      <c r="I134" s="40"/>
      <c r="J134" s="40"/>
      <c r="K134" s="40"/>
      <c r="L134" s="40"/>
      <c r="M134" s="40"/>
      <c r="N134" s="40">
        <f>970*108%</f>
        <v>1047.6000000000001</v>
      </c>
      <c r="O134" s="40"/>
      <c r="P134" s="189"/>
      <c r="Q134" s="112"/>
      <c r="R134" s="112"/>
      <c r="S134" s="170">
        <f t="shared" si="5"/>
        <v>130</v>
      </c>
      <c r="T134" s="112"/>
      <c r="U134" s="112"/>
      <c r="V134" s="112"/>
    </row>
    <row r="135" spans="1:22" ht="24.75" customHeight="1">
      <c r="A135" s="1"/>
      <c r="B135" s="162">
        <v>131</v>
      </c>
      <c r="C135" s="200" t="s">
        <v>102</v>
      </c>
      <c r="D135" s="202">
        <v>1</v>
      </c>
      <c r="E135" s="191" t="s">
        <v>98</v>
      </c>
      <c r="F135" s="187"/>
      <c r="G135" s="40"/>
      <c r="H135" s="40"/>
      <c r="I135" s="40"/>
      <c r="J135" s="40"/>
      <c r="K135" s="40"/>
      <c r="L135" s="40"/>
      <c r="M135" s="40"/>
      <c r="N135" s="40">
        <f>290*108%</f>
        <v>313.20000000000005</v>
      </c>
      <c r="O135" s="40"/>
      <c r="P135" s="189"/>
      <c r="Q135" s="112"/>
      <c r="R135" s="112"/>
      <c r="S135" s="170">
        <f t="shared" si="5"/>
        <v>131</v>
      </c>
      <c r="T135" s="112"/>
      <c r="U135" s="112"/>
      <c r="V135" s="112"/>
    </row>
    <row r="136" spans="1:22" ht="24.75" customHeight="1">
      <c r="A136" s="1"/>
      <c r="B136" s="162">
        <v>132</v>
      </c>
      <c r="C136" s="76" t="s">
        <v>103</v>
      </c>
      <c r="D136" s="166">
        <v>1</v>
      </c>
      <c r="E136" s="191" t="s">
        <v>98</v>
      </c>
      <c r="F136" s="187"/>
      <c r="G136" s="32"/>
      <c r="H136" s="32"/>
      <c r="I136" s="32"/>
      <c r="J136" s="32"/>
      <c r="K136" s="32"/>
      <c r="L136" s="32"/>
      <c r="M136" s="32"/>
      <c r="N136" s="32">
        <v>33</v>
      </c>
      <c r="O136" s="32"/>
      <c r="P136" s="181"/>
      <c r="Q136" s="112"/>
      <c r="R136" s="112"/>
      <c r="S136" s="170">
        <f t="shared" si="5"/>
        <v>132</v>
      </c>
      <c r="T136" s="112"/>
      <c r="U136" s="112"/>
      <c r="V136" s="112"/>
    </row>
    <row r="137" spans="1:22" ht="24.75" customHeight="1">
      <c r="A137" s="1"/>
      <c r="B137" s="162">
        <v>133</v>
      </c>
      <c r="C137" s="76" t="s">
        <v>104</v>
      </c>
      <c r="D137" s="166">
        <v>1</v>
      </c>
      <c r="E137" s="191" t="s">
        <v>98</v>
      </c>
      <c r="F137" s="187"/>
      <c r="G137" s="32"/>
      <c r="H137" s="32"/>
      <c r="I137" s="32"/>
      <c r="J137" s="32"/>
      <c r="K137" s="32"/>
      <c r="L137" s="32"/>
      <c r="M137" s="32"/>
      <c r="N137" s="32">
        <v>9</v>
      </c>
      <c r="O137" s="32"/>
      <c r="P137" s="181"/>
      <c r="Q137" s="112"/>
      <c r="R137" s="112"/>
      <c r="S137" s="170">
        <f t="shared" si="5"/>
        <v>133</v>
      </c>
      <c r="T137" s="112"/>
      <c r="U137" s="112"/>
      <c r="V137" s="112"/>
    </row>
    <row r="138" spans="1:22" ht="24.75" customHeight="1">
      <c r="A138" s="1"/>
      <c r="B138" s="162"/>
      <c r="C138" s="76" t="s">
        <v>1217</v>
      </c>
      <c r="D138" s="166"/>
      <c r="E138" s="191"/>
      <c r="F138" s="187"/>
      <c r="G138" s="32"/>
      <c r="H138" s="32"/>
      <c r="I138" s="32"/>
      <c r="J138" s="32"/>
      <c r="K138" s="32"/>
      <c r="L138" s="32"/>
      <c r="M138" s="32"/>
      <c r="N138" s="32"/>
      <c r="O138" s="32"/>
      <c r="P138" s="181"/>
      <c r="Q138" s="112"/>
      <c r="R138" s="112"/>
      <c r="S138" s="170"/>
      <c r="T138" s="112"/>
      <c r="U138" s="112"/>
      <c r="V138" s="112"/>
    </row>
    <row r="139" spans="1:22" ht="24.75" customHeight="1">
      <c r="A139" s="1"/>
      <c r="B139" s="162">
        <v>134</v>
      </c>
      <c r="C139" s="76" t="s">
        <v>341</v>
      </c>
      <c r="D139" s="166">
        <v>1</v>
      </c>
      <c r="E139" s="167" t="s">
        <v>52</v>
      </c>
      <c r="F139" s="187"/>
      <c r="G139" s="32"/>
      <c r="H139" s="32"/>
      <c r="I139" s="32"/>
      <c r="J139" s="32">
        <v>5120</v>
      </c>
      <c r="K139" s="32"/>
      <c r="L139" s="32"/>
      <c r="M139" s="32"/>
      <c r="N139" s="32">
        <f>5620/1.18</f>
        <v>4762.7118644067796</v>
      </c>
      <c r="O139" s="32"/>
      <c r="P139" s="181"/>
      <c r="Q139" s="112"/>
      <c r="R139" s="112"/>
      <c r="S139" s="170">
        <f>IF((D139)=0,"",(B137+1))</f>
        <v>134</v>
      </c>
      <c r="T139" s="112"/>
      <c r="U139" s="112"/>
      <c r="V139" s="112"/>
    </row>
    <row r="140" spans="1:22" ht="24.75" customHeight="1">
      <c r="A140" s="1"/>
      <c r="B140" s="162">
        <v>135</v>
      </c>
      <c r="C140" s="76" t="s">
        <v>342</v>
      </c>
      <c r="D140" s="166">
        <v>1</v>
      </c>
      <c r="E140" s="167" t="s">
        <v>52</v>
      </c>
      <c r="F140" s="187"/>
      <c r="G140" s="32"/>
      <c r="H140" s="32"/>
      <c r="I140" s="32"/>
      <c r="J140" s="32">
        <v>5960</v>
      </c>
      <c r="K140" s="32"/>
      <c r="L140" s="32"/>
      <c r="M140" s="32"/>
      <c r="N140" s="32">
        <f>6545/1.18</f>
        <v>5546.610169491526</v>
      </c>
      <c r="O140" s="32"/>
      <c r="P140" s="181"/>
      <c r="Q140" s="112"/>
      <c r="R140" s="112"/>
      <c r="S140" s="170">
        <f t="shared" ref="S140:S144" si="6">IF((D140)=0,"",(B139+1))</f>
        <v>135</v>
      </c>
      <c r="T140" s="112"/>
      <c r="U140" s="112"/>
      <c r="V140" s="112"/>
    </row>
    <row r="141" spans="1:22" ht="24.75" customHeight="1">
      <c r="A141" s="1"/>
      <c r="B141" s="162">
        <v>136</v>
      </c>
      <c r="C141" s="76" t="s">
        <v>343</v>
      </c>
      <c r="D141" s="166">
        <v>1</v>
      </c>
      <c r="E141" s="167" t="s">
        <v>52</v>
      </c>
      <c r="F141" s="187"/>
      <c r="G141" s="32"/>
      <c r="H141" s="32"/>
      <c r="I141" s="32"/>
      <c r="J141" s="32">
        <v>7375</v>
      </c>
      <c r="K141" s="32"/>
      <c r="L141" s="32"/>
      <c r="M141" s="32"/>
      <c r="N141" s="32">
        <f>8100/1.18</f>
        <v>6864.406779661017</v>
      </c>
      <c r="O141" s="32"/>
      <c r="P141" s="181"/>
      <c r="Q141" s="112"/>
      <c r="R141" s="112"/>
      <c r="S141" s="170">
        <f t="shared" si="6"/>
        <v>136</v>
      </c>
      <c r="T141" s="112"/>
      <c r="U141" s="112"/>
      <c r="V141" s="112"/>
    </row>
    <row r="142" spans="1:22" ht="24.75" customHeight="1">
      <c r="A142" s="1"/>
      <c r="B142" s="162">
        <v>137</v>
      </c>
      <c r="C142" s="200" t="s">
        <v>1218</v>
      </c>
      <c r="D142" s="166">
        <v>1</v>
      </c>
      <c r="E142" s="167" t="s">
        <v>52</v>
      </c>
      <c r="F142" s="187"/>
      <c r="G142" s="40"/>
      <c r="H142" s="40"/>
      <c r="I142" s="40"/>
      <c r="J142" s="40"/>
      <c r="K142" s="40"/>
      <c r="L142" s="40"/>
      <c r="M142" s="40"/>
      <c r="N142" s="40">
        <f>1650/1.18</f>
        <v>1398.3050847457628</v>
      </c>
      <c r="O142" s="40"/>
      <c r="P142" s="189"/>
      <c r="Q142" s="112"/>
      <c r="R142" s="112"/>
      <c r="S142" s="170">
        <f t="shared" si="6"/>
        <v>137</v>
      </c>
      <c r="T142" s="112"/>
      <c r="U142" s="112"/>
      <c r="V142" s="112"/>
    </row>
    <row r="143" spans="1:22" ht="24.75" customHeight="1">
      <c r="A143" s="1"/>
      <c r="B143" s="162">
        <v>138</v>
      </c>
      <c r="C143" s="261" t="s">
        <v>352</v>
      </c>
      <c r="D143" s="166">
        <v>1</v>
      </c>
      <c r="E143" s="167" t="s">
        <v>52</v>
      </c>
      <c r="F143" s="187"/>
      <c r="G143" s="40"/>
      <c r="H143" s="40"/>
      <c r="I143" s="40"/>
      <c r="J143" s="40"/>
      <c r="K143" s="40"/>
      <c r="L143" s="40"/>
      <c r="M143" s="40"/>
      <c r="N143" s="40"/>
      <c r="O143" s="40"/>
      <c r="P143" s="189"/>
      <c r="Q143" s="112"/>
      <c r="R143" s="112"/>
      <c r="S143" s="170">
        <f t="shared" si="6"/>
        <v>138</v>
      </c>
      <c r="T143" s="112"/>
      <c r="U143" s="112"/>
      <c r="V143" s="112"/>
    </row>
    <row r="144" spans="1:22" ht="24.75" customHeight="1">
      <c r="A144" s="1"/>
      <c r="B144" s="162">
        <v>139</v>
      </c>
      <c r="C144" s="261" t="s">
        <v>353</v>
      </c>
      <c r="D144" s="166">
        <v>1</v>
      </c>
      <c r="E144" s="167" t="s">
        <v>52</v>
      </c>
      <c r="F144" s="187"/>
      <c r="G144" s="40"/>
      <c r="H144" s="40"/>
      <c r="I144" s="40"/>
      <c r="J144" s="40"/>
      <c r="K144" s="40"/>
      <c r="L144" s="40"/>
      <c r="M144" s="40"/>
      <c r="N144" s="40"/>
      <c r="O144" s="40"/>
      <c r="P144" s="189"/>
      <c r="Q144" s="112"/>
      <c r="R144" s="112"/>
      <c r="S144" s="170">
        <f t="shared" si="6"/>
        <v>139</v>
      </c>
      <c r="T144" s="112"/>
      <c r="U144" s="112"/>
      <c r="V144" s="112"/>
    </row>
    <row r="145" spans="1:22" ht="24.75" customHeight="1">
      <c r="A145" s="1"/>
      <c r="B145" s="162">
        <v>140</v>
      </c>
      <c r="C145" s="188" t="s">
        <v>354</v>
      </c>
      <c r="D145" s="166">
        <v>1</v>
      </c>
      <c r="E145" s="167" t="s">
        <v>214</v>
      </c>
      <c r="F145" s="187"/>
      <c r="G145" s="32"/>
      <c r="H145" s="32"/>
      <c r="I145" s="32"/>
      <c r="J145" s="32"/>
      <c r="K145" s="32"/>
      <c r="L145" s="32"/>
      <c r="M145" s="32"/>
      <c r="N145" s="32"/>
      <c r="O145" s="32"/>
      <c r="P145" s="181"/>
      <c r="Q145" s="112"/>
      <c r="R145" s="112"/>
      <c r="S145" s="170">
        <f>IF((D145)=0,"",(B143+1))</f>
        <v>139</v>
      </c>
      <c r="T145" s="112"/>
      <c r="U145" s="112"/>
      <c r="V145" s="112"/>
    </row>
    <row r="146" spans="1:22" ht="24.75" customHeight="1">
      <c r="A146" s="1"/>
      <c r="B146" s="162">
        <v>141</v>
      </c>
      <c r="C146" s="261" t="s">
        <v>213</v>
      </c>
      <c r="D146" s="166">
        <v>1</v>
      </c>
      <c r="E146" s="167" t="s">
        <v>214</v>
      </c>
      <c r="F146" s="187"/>
      <c r="G146" s="40"/>
      <c r="H146" s="40"/>
      <c r="I146" s="40"/>
      <c r="J146" s="40"/>
      <c r="K146" s="40"/>
      <c r="L146" s="40"/>
      <c r="M146" s="40"/>
      <c r="N146" s="40"/>
      <c r="O146" s="40"/>
      <c r="P146" s="189"/>
      <c r="Q146" s="112"/>
      <c r="R146" s="112"/>
      <c r="S146" s="170">
        <f t="shared" ref="S146:S148" si="7">IF((D146)=0,"",(B145+1))</f>
        <v>141</v>
      </c>
      <c r="T146" s="112"/>
      <c r="U146" s="112"/>
      <c r="V146" s="112"/>
    </row>
    <row r="147" spans="1:22" ht="24.75" customHeight="1">
      <c r="A147" s="1"/>
      <c r="B147" s="162">
        <v>142</v>
      </c>
      <c r="C147" s="261" t="s">
        <v>215</v>
      </c>
      <c r="D147" s="166">
        <v>1</v>
      </c>
      <c r="E147" s="167" t="s">
        <v>214</v>
      </c>
      <c r="F147" s="187"/>
      <c r="G147" s="40"/>
      <c r="H147" s="40"/>
      <c r="I147" s="40"/>
      <c r="J147" s="40"/>
      <c r="K147" s="40"/>
      <c r="L147" s="40"/>
      <c r="M147" s="40"/>
      <c r="N147" s="40"/>
      <c r="O147" s="40"/>
      <c r="P147" s="189"/>
      <c r="Q147" s="112"/>
      <c r="R147" s="112"/>
      <c r="S147" s="170">
        <f t="shared" si="7"/>
        <v>142</v>
      </c>
      <c r="T147" s="112"/>
      <c r="U147" s="112"/>
      <c r="V147" s="112"/>
    </row>
    <row r="148" spans="1:22" ht="39.75" customHeight="1">
      <c r="A148" s="1"/>
      <c r="B148" s="162" t="str">
        <f>S148</f>
        <v/>
      </c>
      <c r="C148" s="262" t="s">
        <v>1219</v>
      </c>
      <c r="D148" s="200"/>
      <c r="E148" s="200"/>
      <c r="F148" s="187"/>
      <c r="G148" s="40"/>
      <c r="H148" s="40"/>
      <c r="I148" s="40"/>
      <c r="J148" s="40"/>
      <c r="K148" s="40"/>
      <c r="L148" s="40"/>
      <c r="M148" s="40"/>
      <c r="N148" s="40"/>
      <c r="O148" s="40"/>
      <c r="P148" s="189"/>
      <c r="Q148" s="112"/>
      <c r="R148" s="112"/>
      <c r="S148" s="170" t="str">
        <f t="shared" si="7"/>
        <v/>
      </c>
      <c r="T148" s="112"/>
      <c r="U148" s="112"/>
      <c r="V148" s="112"/>
    </row>
    <row r="149" spans="1:22" ht="24.75" customHeight="1">
      <c r="A149" s="1"/>
      <c r="B149" s="162">
        <v>143</v>
      </c>
      <c r="C149" s="200" t="s">
        <v>1220</v>
      </c>
      <c r="D149" s="166">
        <v>1</v>
      </c>
      <c r="E149" s="167" t="s">
        <v>214</v>
      </c>
      <c r="F149" s="187"/>
      <c r="G149" s="40"/>
      <c r="H149" s="40"/>
      <c r="I149" s="40"/>
      <c r="J149" s="40">
        <v>3264.75</v>
      </c>
      <c r="K149" s="40"/>
      <c r="L149" s="40"/>
      <c r="M149" s="40"/>
      <c r="N149" s="40">
        <f>775*3.28</f>
        <v>2542</v>
      </c>
      <c r="O149" s="40"/>
      <c r="P149" s="189" t="s">
        <v>345</v>
      </c>
      <c r="Q149" s="112"/>
      <c r="R149" s="112"/>
      <c r="S149" s="170">
        <f>IF((D149)=0,"",(B147+1))</f>
        <v>143</v>
      </c>
      <c r="T149" s="112"/>
      <c r="U149" s="112"/>
      <c r="V149" s="112"/>
    </row>
    <row r="150" spans="1:22" ht="24.75" customHeight="1">
      <c r="A150" s="1"/>
      <c r="B150" s="162">
        <v>144</v>
      </c>
      <c r="C150" s="261" t="s">
        <v>1221</v>
      </c>
      <c r="D150" s="166">
        <v>1</v>
      </c>
      <c r="E150" s="167" t="s">
        <v>214</v>
      </c>
      <c r="F150" s="187"/>
      <c r="G150" s="40"/>
      <c r="H150" s="40"/>
      <c r="I150" s="40"/>
      <c r="J150" s="40"/>
      <c r="K150" s="40"/>
      <c r="L150" s="40"/>
      <c r="M150" s="40"/>
      <c r="N150" s="40"/>
      <c r="O150" s="40"/>
      <c r="P150" s="189"/>
      <c r="Q150" s="112"/>
      <c r="R150" s="112"/>
      <c r="S150" s="170">
        <f t="shared" ref="S150:S162" si="8">IF((D150)=0,"",(B149+1))</f>
        <v>144</v>
      </c>
      <c r="T150" s="112"/>
      <c r="U150" s="112"/>
      <c r="V150" s="112"/>
    </row>
    <row r="151" spans="1:22" ht="24.75" customHeight="1">
      <c r="A151" s="1"/>
      <c r="B151" s="162">
        <v>145</v>
      </c>
      <c r="C151" s="200" t="s">
        <v>1222</v>
      </c>
      <c r="D151" s="166">
        <v>1</v>
      </c>
      <c r="E151" s="167" t="s">
        <v>52</v>
      </c>
      <c r="F151" s="187"/>
      <c r="G151" s="40"/>
      <c r="H151" s="40"/>
      <c r="I151" s="40"/>
      <c r="J151" s="40"/>
      <c r="K151" s="40"/>
      <c r="L151" s="40"/>
      <c r="M151" s="40"/>
      <c r="N151" s="40">
        <v>15</v>
      </c>
      <c r="O151" s="40"/>
      <c r="P151" s="189" t="s">
        <v>345</v>
      </c>
      <c r="Q151" s="112"/>
      <c r="R151" s="112"/>
      <c r="S151" s="170">
        <f t="shared" si="8"/>
        <v>145</v>
      </c>
      <c r="T151" s="112"/>
      <c r="U151" s="112"/>
      <c r="V151" s="112"/>
    </row>
    <row r="152" spans="1:22" ht="24.75" customHeight="1">
      <c r="A152" s="1"/>
      <c r="B152" s="162">
        <v>146</v>
      </c>
      <c r="C152" s="200" t="s">
        <v>356</v>
      </c>
      <c r="D152" s="166">
        <v>1</v>
      </c>
      <c r="E152" s="167" t="s">
        <v>89</v>
      </c>
      <c r="F152" s="187"/>
      <c r="G152" s="40"/>
      <c r="H152" s="40"/>
      <c r="I152" s="40"/>
      <c r="J152" s="40"/>
      <c r="K152" s="40"/>
      <c r="L152" s="40"/>
      <c r="M152" s="40"/>
      <c r="N152" s="40">
        <f t="shared" ref="N152:N153" si="9">450*3.28</f>
        <v>1476</v>
      </c>
      <c r="O152" s="40"/>
      <c r="P152" s="189" t="s">
        <v>345</v>
      </c>
      <c r="Q152" s="112"/>
      <c r="R152" s="112"/>
      <c r="S152" s="170">
        <f t="shared" si="8"/>
        <v>146</v>
      </c>
      <c r="T152" s="112"/>
      <c r="U152" s="112"/>
      <c r="V152" s="112"/>
    </row>
    <row r="153" spans="1:22" ht="24.75" customHeight="1">
      <c r="A153" s="1"/>
      <c r="B153" s="162">
        <v>147</v>
      </c>
      <c r="C153" s="200" t="s">
        <v>1223</v>
      </c>
      <c r="D153" s="166">
        <v>1</v>
      </c>
      <c r="E153" s="167" t="s">
        <v>89</v>
      </c>
      <c r="F153" s="187"/>
      <c r="G153" s="40"/>
      <c r="H153" s="40"/>
      <c r="I153" s="40"/>
      <c r="J153" s="40"/>
      <c r="K153" s="40"/>
      <c r="L153" s="40"/>
      <c r="M153" s="40"/>
      <c r="N153" s="40">
        <f t="shared" si="9"/>
        <v>1476</v>
      </c>
      <c r="O153" s="40"/>
      <c r="P153" s="189" t="s">
        <v>345</v>
      </c>
      <c r="Q153" s="112"/>
      <c r="R153" s="112"/>
      <c r="S153" s="170">
        <f t="shared" si="8"/>
        <v>147</v>
      </c>
      <c r="T153" s="112"/>
      <c r="U153" s="112"/>
      <c r="V153" s="112"/>
    </row>
    <row r="154" spans="1:22" ht="24.75" customHeight="1">
      <c r="A154" s="1"/>
      <c r="B154" s="162">
        <v>148</v>
      </c>
      <c r="C154" s="200" t="s">
        <v>358</v>
      </c>
      <c r="D154" s="166">
        <v>1</v>
      </c>
      <c r="E154" s="167" t="s">
        <v>89</v>
      </c>
      <c r="F154" s="187"/>
      <c r="G154" s="40"/>
      <c r="H154" s="40"/>
      <c r="I154" s="40"/>
      <c r="J154" s="40">
        <v>1017</v>
      </c>
      <c r="K154" s="40"/>
      <c r="L154" s="40"/>
      <c r="M154" s="40"/>
      <c r="N154" s="40">
        <f>325*3.28</f>
        <v>1066</v>
      </c>
      <c r="O154" s="40"/>
      <c r="P154" s="189" t="s">
        <v>345</v>
      </c>
      <c r="Q154" s="112"/>
      <c r="R154" s="112"/>
      <c r="S154" s="170">
        <f t="shared" si="8"/>
        <v>148</v>
      </c>
      <c r="T154" s="112"/>
      <c r="U154" s="112"/>
      <c r="V154" s="112"/>
    </row>
    <row r="155" spans="1:22" ht="24.75" customHeight="1">
      <c r="A155" s="1"/>
      <c r="B155" s="162">
        <v>149</v>
      </c>
      <c r="C155" s="200" t="s">
        <v>359</v>
      </c>
      <c r="D155" s="166">
        <v>1</v>
      </c>
      <c r="E155" s="167" t="s">
        <v>89</v>
      </c>
      <c r="F155" s="187"/>
      <c r="G155" s="40"/>
      <c r="H155" s="40"/>
      <c r="I155" s="40"/>
      <c r="J155" s="40">
        <v>1476</v>
      </c>
      <c r="K155" s="40"/>
      <c r="L155" s="40"/>
      <c r="M155" s="40"/>
      <c r="N155" s="40">
        <f>450*3.28</f>
        <v>1476</v>
      </c>
      <c r="O155" s="40"/>
      <c r="P155" s="189" t="s">
        <v>345</v>
      </c>
      <c r="Q155" s="112"/>
      <c r="R155" s="112"/>
      <c r="S155" s="170">
        <f t="shared" si="8"/>
        <v>149</v>
      </c>
      <c r="T155" s="112"/>
      <c r="U155" s="112"/>
      <c r="V155" s="112"/>
    </row>
    <row r="156" spans="1:22" ht="24.75" customHeight="1">
      <c r="A156" s="1"/>
      <c r="B156" s="162">
        <v>150</v>
      </c>
      <c r="C156" s="200" t="s">
        <v>360</v>
      </c>
      <c r="D156" s="166">
        <v>1</v>
      </c>
      <c r="E156" s="167" t="s">
        <v>361</v>
      </c>
      <c r="F156" s="187"/>
      <c r="G156" s="40"/>
      <c r="H156" s="40"/>
      <c r="I156" s="40"/>
      <c r="J156" s="40">
        <v>360</v>
      </c>
      <c r="K156" s="40"/>
      <c r="L156" s="40"/>
      <c r="M156" s="40"/>
      <c r="N156" s="40">
        <v>1000</v>
      </c>
      <c r="O156" s="40"/>
      <c r="P156" s="189" t="s">
        <v>345</v>
      </c>
      <c r="Q156" s="112"/>
      <c r="R156" s="112"/>
      <c r="S156" s="170">
        <f t="shared" si="8"/>
        <v>150</v>
      </c>
      <c r="T156" s="112"/>
      <c r="U156" s="112"/>
      <c r="V156" s="112"/>
    </row>
    <row r="157" spans="1:22" ht="24.75" customHeight="1">
      <c r="A157" s="1"/>
      <c r="B157" s="162">
        <v>151</v>
      </c>
      <c r="C157" s="200" t="s">
        <v>1224</v>
      </c>
      <c r="D157" s="166">
        <v>1</v>
      </c>
      <c r="E157" s="167" t="s">
        <v>52</v>
      </c>
      <c r="F157" s="187"/>
      <c r="G157" s="40"/>
      <c r="H157" s="40"/>
      <c r="I157" s="40"/>
      <c r="J157" s="40">
        <v>140</v>
      </c>
      <c r="K157" s="40"/>
      <c r="L157" s="40"/>
      <c r="M157" s="40"/>
      <c r="N157" s="40">
        <v>300</v>
      </c>
      <c r="O157" s="40"/>
      <c r="P157" s="189" t="s">
        <v>345</v>
      </c>
      <c r="Q157" s="112"/>
      <c r="R157" s="112"/>
      <c r="S157" s="170">
        <f t="shared" si="8"/>
        <v>151</v>
      </c>
      <c r="T157" s="112"/>
      <c r="U157" s="112"/>
      <c r="V157" s="112"/>
    </row>
    <row r="158" spans="1:22" ht="24.75" customHeight="1">
      <c r="A158" s="1"/>
      <c r="B158" s="162">
        <v>152</v>
      </c>
      <c r="C158" s="200" t="s">
        <v>363</v>
      </c>
      <c r="D158" s="166">
        <v>1</v>
      </c>
      <c r="E158" s="167" t="s">
        <v>89</v>
      </c>
      <c r="F158" s="187"/>
      <c r="G158" s="40"/>
      <c r="H158" s="40"/>
      <c r="I158" s="40"/>
      <c r="J158" s="40"/>
      <c r="K158" s="40"/>
      <c r="L158" s="40"/>
      <c r="M158" s="40"/>
      <c r="N158" s="40">
        <f t="shared" ref="N158:N159" si="10">450*3.28</f>
        <v>1476</v>
      </c>
      <c r="O158" s="40"/>
      <c r="P158" s="189" t="s">
        <v>345</v>
      </c>
      <c r="Q158" s="112"/>
      <c r="R158" s="112"/>
      <c r="S158" s="170">
        <f t="shared" si="8"/>
        <v>152</v>
      </c>
      <c r="T158" s="112"/>
      <c r="U158" s="112"/>
      <c r="V158" s="112"/>
    </row>
    <row r="159" spans="1:22" ht="24.75" customHeight="1">
      <c r="A159" s="1"/>
      <c r="B159" s="162">
        <v>153</v>
      </c>
      <c r="C159" s="200" t="s">
        <v>364</v>
      </c>
      <c r="D159" s="166">
        <v>1</v>
      </c>
      <c r="E159" s="167" t="s">
        <v>89</v>
      </c>
      <c r="F159" s="187"/>
      <c r="G159" s="40"/>
      <c r="H159" s="40"/>
      <c r="I159" s="40"/>
      <c r="J159" s="40"/>
      <c r="K159" s="40"/>
      <c r="L159" s="40"/>
      <c r="M159" s="40"/>
      <c r="N159" s="40">
        <f t="shared" si="10"/>
        <v>1476</v>
      </c>
      <c r="O159" s="40"/>
      <c r="P159" s="189" t="s">
        <v>345</v>
      </c>
      <c r="Q159" s="112"/>
      <c r="R159" s="112"/>
      <c r="S159" s="170">
        <f t="shared" si="8"/>
        <v>153</v>
      </c>
      <c r="T159" s="112"/>
      <c r="U159" s="112"/>
      <c r="V159" s="112"/>
    </row>
    <row r="160" spans="1:22" ht="24.75" customHeight="1">
      <c r="A160" s="1"/>
      <c r="B160" s="162">
        <v>154</v>
      </c>
      <c r="C160" s="200" t="s">
        <v>365</v>
      </c>
      <c r="D160" s="166">
        <v>1</v>
      </c>
      <c r="E160" s="167" t="s">
        <v>89</v>
      </c>
      <c r="F160" s="187"/>
      <c r="G160" s="40"/>
      <c r="H160" s="40"/>
      <c r="I160" s="40"/>
      <c r="J160" s="40"/>
      <c r="K160" s="40"/>
      <c r="L160" s="40"/>
      <c r="M160" s="40"/>
      <c r="N160" s="40">
        <v>1000</v>
      </c>
      <c r="O160" s="40"/>
      <c r="P160" s="189" t="s">
        <v>345</v>
      </c>
      <c r="Q160" s="112"/>
      <c r="R160" s="112"/>
      <c r="S160" s="170">
        <f t="shared" si="8"/>
        <v>154</v>
      </c>
      <c r="T160" s="112"/>
      <c r="U160" s="112"/>
      <c r="V160" s="112"/>
    </row>
    <row r="161" spans="1:22" ht="24.75" customHeight="1">
      <c r="A161" s="1"/>
      <c r="B161" s="162">
        <v>155</v>
      </c>
      <c r="C161" s="200" t="s">
        <v>366</v>
      </c>
      <c r="D161" s="166">
        <v>1</v>
      </c>
      <c r="E161" s="167" t="s">
        <v>89</v>
      </c>
      <c r="F161" s="187"/>
      <c r="G161" s="40"/>
      <c r="H161" s="40"/>
      <c r="I161" s="40"/>
      <c r="J161" s="40"/>
      <c r="K161" s="40"/>
      <c r="L161" s="40"/>
      <c r="M161" s="40"/>
      <c r="N161" s="40">
        <v>50</v>
      </c>
      <c r="O161" s="40"/>
      <c r="P161" s="189" t="s">
        <v>345</v>
      </c>
      <c r="Q161" s="112"/>
      <c r="R161" s="112"/>
      <c r="S161" s="170">
        <f t="shared" si="8"/>
        <v>155</v>
      </c>
      <c r="T161" s="112"/>
      <c r="U161" s="112"/>
      <c r="V161" s="112"/>
    </row>
    <row r="162" spans="1:22" ht="24.75" customHeight="1">
      <c r="A162" s="1"/>
      <c r="B162" s="162">
        <v>156</v>
      </c>
      <c r="C162" s="200" t="s">
        <v>367</v>
      </c>
      <c r="D162" s="166">
        <v>1</v>
      </c>
      <c r="E162" s="167" t="s">
        <v>52</v>
      </c>
      <c r="F162" s="187"/>
      <c r="G162" s="40"/>
      <c r="H162" s="40"/>
      <c r="I162" s="40"/>
      <c r="J162" s="40"/>
      <c r="K162" s="40"/>
      <c r="L162" s="40"/>
      <c r="M162" s="40"/>
      <c r="N162" s="40">
        <v>1000</v>
      </c>
      <c r="O162" s="40"/>
      <c r="P162" s="189" t="s">
        <v>345</v>
      </c>
      <c r="Q162" s="112"/>
      <c r="R162" s="112"/>
      <c r="S162" s="170">
        <f t="shared" si="8"/>
        <v>156</v>
      </c>
      <c r="T162" s="112"/>
      <c r="U162" s="112"/>
      <c r="V162" s="112"/>
    </row>
    <row r="163" spans="1:22" ht="24.75" customHeight="1">
      <c r="A163" s="1"/>
      <c r="B163" s="162"/>
      <c r="C163" s="262" t="s">
        <v>1225</v>
      </c>
      <c r="D163" s="166"/>
      <c r="E163" s="167"/>
      <c r="F163" s="187"/>
      <c r="G163" s="40"/>
      <c r="H163" s="40"/>
      <c r="I163" s="40"/>
      <c r="J163" s="40"/>
      <c r="K163" s="40"/>
      <c r="L163" s="40"/>
      <c r="M163" s="40"/>
      <c r="N163" s="40"/>
      <c r="O163" s="40"/>
      <c r="P163" s="189"/>
      <c r="Q163" s="112"/>
      <c r="R163" s="112"/>
      <c r="S163" s="170" t="str">
        <f>IF((D163)=0,"",(B151+1))</f>
        <v/>
      </c>
      <c r="T163" s="112"/>
      <c r="U163" s="112"/>
      <c r="V163" s="112"/>
    </row>
    <row r="164" spans="1:22" ht="24.75" customHeight="1">
      <c r="A164" s="1"/>
      <c r="B164" s="162">
        <v>157</v>
      </c>
      <c r="C164" s="261" t="s">
        <v>1226</v>
      </c>
      <c r="D164" s="166">
        <v>1</v>
      </c>
      <c r="E164" s="167" t="s">
        <v>89</v>
      </c>
      <c r="F164" s="187"/>
      <c r="G164" s="40"/>
      <c r="H164" s="40"/>
      <c r="I164" s="40"/>
      <c r="J164" s="40">
        <v>1854</v>
      </c>
      <c r="K164" s="40"/>
      <c r="L164" s="40"/>
      <c r="M164" s="40"/>
      <c r="N164" s="40"/>
      <c r="O164" s="40"/>
      <c r="P164" s="189"/>
      <c r="Q164" s="112"/>
      <c r="R164" s="112"/>
      <c r="S164" s="170">
        <f>IF((D164)=0,"",(B162+1))</f>
        <v>157</v>
      </c>
      <c r="T164" s="112"/>
      <c r="U164" s="112"/>
      <c r="V164" s="112"/>
    </row>
    <row r="165" spans="1:22" ht="24.75" customHeight="1">
      <c r="A165" s="1"/>
      <c r="B165" s="162">
        <v>158</v>
      </c>
      <c r="C165" s="261" t="s">
        <v>1227</v>
      </c>
      <c r="D165" s="166">
        <v>1</v>
      </c>
      <c r="E165" s="167" t="s">
        <v>89</v>
      </c>
      <c r="F165" s="187"/>
      <c r="G165" s="40"/>
      <c r="H165" s="40"/>
      <c r="I165" s="40"/>
      <c r="J165" s="40"/>
      <c r="K165" s="40"/>
      <c r="L165" s="40"/>
      <c r="M165" s="40"/>
      <c r="N165" s="40"/>
      <c r="O165" s="40"/>
      <c r="P165" s="189"/>
      <c r="Q165" s="112"/>
      <c r="R165" s="112"/>
      <c r="S165" s="170">
        <f t="shared" ref="S165:S169" si="11">IF((D165)=0,"",(B164+1))</f>
        <v>158</v>
      </c>
      <c r="T165" s="112"/>
      <c r="U165" s="112"/>
      <c r="V165" s="112"/>
    </row>
    <row r="166" spans="1:22" ht="24.75" customHeight="1">
      <c r="A166" s="1"/>
      <c r="B166" s="162">
        <v>159</v>
      </c>
      <c r="C166" s="261" t="s">
        <v>1228</v>
      </c>
      <c r="D166" s="166">
        <v>1</v>
      </c>
      <c r="E166" s="167" t="s">
        <v>89</v>
      </c>
      <c r="F166" s="187"/>
      <c r="G166" s="40"/>
      <c r="H166" s="40"/>
      <c r="I166" s="40"/>
      <c r="J166" s="40"/>
      <c r="K166" s="40"/>
      <c r="L166" s="40"/>
      <c r="M166" s="40"/>
      <c r="N166" s="40"/>
      <c r="O166" s="40"/>
      <c r="P166" s="189"/>
      <c r="Q166" s="112"/>
      <c r="R166" s="112"/>
      <c r="S166" s="170">
        <f t="shared" si="11"/>
        <v>159</v>
      </c>
      <c r="T166" s="112"/>
      <c r="U166" s="112"/>
      <c r="V166" s="112"/>
    </row>
    <row r="167" spans="1:22" ht="24.75" customHeight="1">
      <c r="A167" s="1"/>
      <c r="B167" s="162">
        <v>160</v>
      </c>
      <c r="C167" s="261" t="s">
        <v>1229</v>
      </c>
      <c r="D167" s="166">
        <v>1</v>
      </c>
      <c r="E167" s="167" t="s">
        <v>89</v>
      </c>
      <c r="F167" s="187"/>
      <c r="G167" s="40"/>
      <c r="H167" s="40"/>
      <c r="I167" s="40"/>
      <c r="J167" s="40"/>
      <c r="K167" s="40"/>
      <c r="L167" s="40"/>
      <c r="M167" s="40"/>
      <c r="N167" s="40"/>
      <c r="O167" s="40"/>
      <c r="P167" s="189"/>
      <c r="Q167" s="112"/>
      <c r="R167" s="112"/>
      <c r="S167" s="170">
        <f t="shared" si="11"/>
        <v>160</v>
      </c>
      <c r="T167" s="112"/>
      <c r="U167" s="112"/>
      <c r="V167" s="112"/>
    </row>
    <row r="168" spans="1:22" ht="31.5" customHeight="1">
      <c r="A168" s="1"/>
      <c r="B168" s="162">
        <v>161</v>
      </c>
      <c r="C168" s="263" t="s">
        <v>216</v>
      </c>
      <c r="D168" s="166">
        <v>1</v>
      </c>
      <c r="E168" s="167" t="s">
        <v>52</v>
      </c>
      <c r="F168" s="187"/>
      <c r="G168" s="40"/>
      <c r="H168" s="40"/>
      <c r="I168" s="40"/>
      <c r="J168" s="40"/>
      <c r="K168" s="40"/>
      <c r="L168" s="40"/>
      <c r="M168" s="40"/>
      <c r="N168" s="40"/>
      <c r="O168" s="40"/>
      <c r="P168" s="189"/>
      <c r="Q168" s="112"/>
      <c r="R168" s="112"/>
      <c r="S168" s="170">
        <f t="shared" si="11"/>
        <v>161</v>
      </c>
      <c r="T168" s="112"/>
      <c r="U168" s="112"/>
      <c r="V168" s="112"/>
    </row>
    <row r="169" spans="1:22" ht="24.75" customHeight="1">
      <c r="A169" s="1"/>
      <c r="B169" s="162">
        <v>162</v>
      </c>
      <c r="C169" s="261" t="s">
        <v>1230</v>
      </c>
      <c r="D169" s="166">
        <v>1</v>
      </c>
      <c r="E169" s="167" t="s">
        <v>52</v>
      </c>
      <c r="F169" s="187"/>
      <c r="G169" s="40"/>
      <c r="H169" s="40"/>
      <c r="I169" s="40"/>
      <c r="J169" s="40"/>
      <c r="K169" s="40"/>
      <c r="L169" s="40"/>
      <c r="M169" s="40"/>
      <c r="N169" s="40"/>
      <c r="O169" s="40"/>
      <c r="P169" s="189"/>
      <c r="Q169" s="112"/>
      <c r="R169" s="112"/>
      <c r="S169" s="170">
        <f t="shared" si="11"/>
        <v>162</v>
      </c>
      <c r="T169" s="112"/>
      <c r="U169" s="112"/>
      <c r="V169" s="112"/>
    </row>
    <row r="170" spans="1:22" ht="24.75" customHeight="1">
      <c r="A170" s="1"/>
      <c r="B170" s="264"/>
      <c r="C170" s="265" t="s">
        <v>1231</v>
      </c>
      <c r="D170" s="166"/>
      <c r="E170" s="167"/>
      <c r="F170" s="187"/>
      <c r="G170" s="40"/>
      <c r="H170" s="40"/>
      <c r="I170" s="40"/>
      <c r="J170" s="40"/>
      <c r="K170" s="40"/>
      <c r="L170" s="40"/>
      <c r="M170" s="40"/>
      <c r="N170" s="40"/>
      <c r="O170" s="40"/>
      <c r="P170" s="189"/>
      <c r="Q170" s="112"/>
      <c r="R170" s="112"/>
      <c r="S170" s="170"/>
      <c r="T170" s="112"/>
      <c r="U170" s="112"/>
      <c r="V170" s="112"/>
    </row>
    <row r="171" spans="1:22" ht="24.75" customHeight="1">
      <c r="A171" s="1"/>
      <c r="B171" s="162">
        <v>163</v>
      </c>
      <c r="C171" s="188" t="s">
        <v>1232</v>
      </c>
      <c r="D171" s="166">
        <v>1</v>
      </c>
      <c r="E171" s="167" t="s">
        <v>214</v>
      </c>
      <c r="F171" s="187"/>
      <c r="G171" s="32"/>
      <c r="H171" s="32"/>
      <c r="I171" s="32"/>
      <c r="J171" s="32"/>
      <c r="K171" s="32"/>
      <c r="L171" s="32"/>
      <c r="M171" s="32"/>
      <c r="N171" s="32"/>
      <c r="O171" s="32"/>
      <c r="P171" s="181" t="s">
        <v>1233</v>
      </c>
      <c r="Q171" s="112"/>
      <c r="R171" s="112"/>
      <c r="S171" s="170">
        <f>IF((D171)=0,"",(B169+1))</f>
        <v>163</v>
      </c>
      <c r="T171" s="112"/>
      <c r="U171" s="112"/>
      <c r="V171" s="112"/>
    </row>
    <row r="172" spans="1:22" ht="24.75" customHeight="1">
      <c r="A172" s="1"/>
      <c r="B172" s="162">
        <v>164</v>
      </c>
      <c r="C172" s="188" t="s">
        <v>1234</v>
      </c>
      <c r="D172" s="166">
        <v>1</v>
      </c>
      <c r="E172" s="167" t="s">
        <v>214</v>
      </c>
      <c r="F172" s="187"/>
      <c r="G172" s="32"/>
      <c r="H172" s="32"/>
      <c r="I172" s="32"/>
      <c r="J172" s="32">
        <v>4722</v>
      </c>
      <c r="K172" s="32"/>
      <c r="L172" s="32"/>
      <c r="M172" s="32"/>
      <c r="N172" s="32"/>
      <c r="O172" s="32"/>
      <c r="P172" s="181"/>
      <c r="Q172" s="112"/>
      <c r="R172" s="112"/>
      <c r="S172" s="170">
        <f>IF((D172)=0,"",(B167+1))</f>
        <v>161</v>
      </c>
      <c r="T172" s="112"/>
      <c r="U172" s="112"/>
      <c r="V172" s="112"/>
    </row>
    <row r="173" spans="1:22" ht="24.75" customHeight="1">
      <c r="A173" s="1"/>
      <c r="B173" s="162">
        <v>165</v>
      </c>
      <c r="C173" s="188" t="s">
        <v>1235</v>
      </c>
      <c r="D173" s="166">
        <v>1</v>
      </c>
      <c r="E173" s="167" t="s">
        <v>214</v>
      </c>
      <c r="F173" s="187"/>
      <c r="G173" s="32"/>
      <c r="H173" s="32"/>
      <c r="I173" s="32"/>
      <c r="J173" s="32">
        <v>5150</v>
      </c>
      <c r="K173" s="32"/>
      <c r="L173" s="32"/>
      <c r="M173" s="32"/>
      <c r="N173" s="32"/>
      <c r="O173" s="32"/>
      <c r="P173" s="181"/>
      <c r="Q173" s="112"/>
      <c r="R173" s="112"/>
      <c r="S173" s="170">
        <f>IF((D173)=0,"",(B171+1))</f>
        <v>164</v>
      </c>
      <c r="T173" s="112"/>
      <c r="U173" s="112"/>
      <c r="V173" s="112"/>
    </row>
    <row r="174" spans="1:22" ht="24.75" customHeight="1">
      <c r="A174" s="1"/>
      <c r="B174" s="264"/>
      <c r="C174" s="265" t="s">
        <v>1236</v>
      </c>
      <c r="D174" s="166"/>
      <c r="E174" s="167"/>
      <c r="F174" s="187"/>
      <c r="G174" s="32"/>
      <c r="H174" s="32"/>
      <c r="I174" s="32"/>
      <c r="J174" s="32"/>
      <c r="K174" s="32"/>
      <c r="L174" s="32"/>
      <c r="M174" s="32"/>
      <c r="N174" s="32"/>
      <c r="O174" s="32"/>
      <c r="P174" s="181"/>
      <c r="Q174" s="112"/>
      <c r="R174" s="112"/>
      <c r="S174" s="170"/>
      <c r="T174" s="112"/>
      <c r="U174" s="112"/>
      <c r="V174" s="112"/>
    </row>
    <row r="175" spans="1:22" ht="24.75" customHeight="1">
      <c r="A175" s="1"/>
      <c r="B175" s="162">
        <v>166</v>
      </c>
      <c r="C175" s="188" t="s">
        <v>1232</v>
      </c>
      <c r="D175" s="166">
        <v>1</v>
      </c>
      <c r="E175" s="167" t="s">
        <v>214</v>
      </c>
      <c r="F175" s="187"/>
      <c r="G175" s="32"/>
      <c r="H175" s="32"/>
      <c r="I175" s="32"/>
      <c r="J175" s="32"/>
      <c r="K175" s="32"/>
      <c r="L175" s="32"/>
      <c r="M175" s="32"/>
      <c r="N175" s="32"/>
      <c r="O175" s="32"/>
      <c r="P175" s="181"/>
      <c r="Q175" s="112"/>
      <c r="R175" s="112"/>
      <c r="S175" s="170">
        <f>IF((D175)=0,"",(B172+1))</f>
        <v>165</v>
      </c>
      <c r="T175" s="112"/>
      <c r="U175" s="112"/>
      <c r="V175" s="112"/>
    </row>
    <row r="176" spans="1:22" ht="24.75" customHeight="1">
      <c r="A176" s="1"/>
      <c r="B176" s="162">
        <v>167</v>
      </c>
      <c r="C176" s="188" t="s">
        <v>1234</v>
      </c>
      <c r="D176" s="166">
        <v>1</v>
      </c>
      <c r="E176" s="167" t="s">
        <v>214</v>
      </c>
      <c r="F176" s="187"/>
      <c r="G176" s="32"/>
      <c r="H176" s="32"/>
      <c r="I176" s="32"/>
      <c r="J176" s="32"/>
      <c r="K176" s="32"/>
      <c r="L176" s="32"/>
      <c r="M176" s="32"/>
      <c r="N176" s="32"/>
      <c r="O176" s="32"/>
      <c r="P176" s="181"/>
      <c r="Q176" s="112"/>
      <c r="R176" s="112"/>
      <c r="S176" s="170">
        <f t="shared" ref="S176:S249" si="12">IF((D176)=0,"",(B175+1))</f>
        <v>167</v>
      </c>
      <c r="T176" s="112"/>
      <c r="U176" s="112"/>
      <c r="V176" s="112"/>
    </row>
    <row r="177" spans="1:22" ht="24.75" customHeight="1">
      <c r="A177" s="1"/>
      <c r="B177" s="162">
        <v>168</v>
      </c>
      <c r="C177" s="188" t="s">
        <v>1235</v>
      </c>
      <c r="D177" s="166">
        <v>1</v>
      </c>
      <c r="E177" s="167" t="s">
        <v>214</v>
      </c>
      <c r="F177" s="187"/>
      <c r="G177" s="32"/>
      <c r="H177" s="32"/>
      <c r="I177" s="32"/>
      <c r="J177" s="32"/>
      <c r="K177" s="32"/>
      <c r="L177" s="32"/>
      <c r="M177" s="32"/>
      <c r="N177" s="32"/>
      <c r="O177" s="32"/>
      <c r="P177" s="181"/>
      <c r="Q177" s="112"/>
      <c r="R177" s="112"/>
      <c r="S177" s="170">
        <f t="shared" si="12"/>
        <v>168</v>
      </c>
      <c r="T177" s="112"/>
      <c r="U177" s="112"/>
      <c r="V177" s="112"/>
    </row>
    <row r="178" spans="1:22" ht="24.75" customHeight="1">
      <c r="A178" s="1"/>
      <c r="B178" s="162">
        <v>169</v>
      </c>
      <c r="C178" s="188" t="s">
        <v>1237</v>
      </c>
      <c r="D178" s="166">
        <v>1</v>
      </c>
      <c r="E178" s="167" t="s">
        <v>214</v>
      </c>
      <c r="F178" s="187"/>
      <c r="G178" s="32"/>
      <c r="H178" s="32"/>
      <c r="I178" s="32"/>
      <c r="J178" s="32"/>
      <c r="K178" s="32"/>
      <c r="L178" s="32"/>
      <c r="M178" s="32"/>
      <c r="N178" s="32"/>
      <c r="O178" s="32"/>
      <c r="P178" s="181"/>
      <c r="Q178" s="112"/>
      <c r="R178" s="112"/>
      <c r="S178" s="170">
        <f t="shared" si="12"/>
        <v>169</v>
      </c>
      <c r="T178" s="112"/>
      <c r="U178" s="112"/>
      <c r="V178" s="112"/>
    </row>
    <row r="179" spans="1:22" ht="24.75" customHeight="1">
      <c r="A179" s="1"/>
      <c r="B179" s="162">
        <v>170</v>
      </c>
      <c r="C179" s="188" t="s">
        <v>1238</v>
      </c>
      <c r="D179" s="166">
        <v>1</v>
      </c>
      <c r="E179" s="167" t="s">
        <v>214</v>
      </c>
      <c r="F179" s="187"/>
      <c r="G179" s="32"/>
      <c r="H179" s="32"/>
      <c r="I179" s="32"/>
      <c r="J179" s="32"/>
      <c r="K179" s="32"/>
      <c r="L179" s="32"/>
      <c r="M179" s="32"/>
      <c r="N179" s="32"/>
      <c r="O179" s="32"/>
      <c r="P179" s="181"/>
      <c r="Q179" s="112"/>
      <c r="R179" s="112"/>
      <c r="S179" s="170">
        <f t="shared" si="12"/>
        <v>170</v>
      </c>
      <c r="T179" s="112"/>
      <c r="U179" s="112"/>
      <c r="V179" s="112"/>
    </row>
    <row r="180" spans="1:22" ht="24.75" customHeight="1">
      <c r="A180" s="1"/>
      <c r="B180" s="162">
        <v>171</v>
      </c>
      <c r="C180" s="188" t="s">
        <v>1239</v>
      </c>
      <c r="D180" s="166">
        <v>1</v>
      </c>
      <c r="E180" s="167" t="s">
        <v>214</v>
      </c>
      <c r="F180" s="187"/>
      <c r="G180" s="32"/>
      <c r="H180" s="32"/>
      <c r="I180" s="32"/>
      <c r="J180" s="32"/>
      <c r="K180" s="32"/>
      <c r="L180" s="32"/>
      <c r="M180" s="32"/>
      <c r="N180" s="32"/>
      <c r="O180" s="32"/>
      <c r="P180" s="181"/>
      <c r="Q180" s="112"/>
      <c r="R180" s="112"/>
      <c r="S180" s="170">
        <f t="shared" si="12"/>
        <v>171</v>
      </c>
      <c r="T180" s="112"/>
      <c r="U180" s="112"/>
      <c r="V180" s="112"/>
    </row>
    <row r="181" spans="1:22" ht="24.75" customHeight="1">
      <c r="A181" s="1"/>
      <c r="B181" s="162">
        <v>172</v>
      </c>
      <c r="C181" s="188" t="s">
        <v>1240</v>
      </c>
      <c r="D181" s="166">
        <v>1</v>
      </c>
      <c r="E181" s="167" t="s">
        <v>214</v>
      </c>
      <c r="F181" s="187"/>
      <c r="G181" s="32"/>
      <c r="H181" s="32"/>
      <c r="I181" s="32"/>
      <c r="J181" s="32"/>
      <c r="K181" s="32"/>
      <c r="L181" s="32"/>
      <c r="M181" s="32"/>
      <c r="N181" s="32"/>
      <c r="O181" s="32"/>
      <c r="P181" s="181"/>
      <c r="Q181" s="112"/>
      <c r="R181" s="112"/>
      <c r="S181" s="170">
        <f t="shared" si="12"/>
        <v>172</v>
      </c>
      <c r="T181" s="112"/>
      <c r="U181" s="112"/>
      <c r="V181" s="112"/>
    </row>
    <row r="182" spans="1:22" ht="24.75" customHeight="1">
      <c r="A182" s="1"/>
      <c r="B182" s="162">
        <v>173</v>
      </c>
      <c r="C182" s="188" t="s">
        <v>1241</v>
      </c>
      <c r="D182" s="166">
        <v>1</v>
      </c>
      <c r="E182" s="167" t="s">
        <v>192</v>
      </c>
      <c r="F182" s="187"/>
      <c r="G182" s="32">
        <v>9500</v>
      </c>
      <c r="H182" s="32"/>
      <c r="I182" s="32"/>
      <c r="J182" s="32"/>
      <c r="K182" s="32"/>
      <c r="L182" s="32"/>
      <c r="M182" s="32"/>
      <c r="N182" s="32"/>
      <c r="O182" s="32"/>
      <c r="P182" s="181"/>
      <c r="Q182" s="112"/>
      <c r="R182" s="112"/>
      <c r="S182" s="170">
        <f t="shared" si="12"/>
        <v>173</v>
      </c>
      <c r="T182" s="112"/>
      <c r="U182" s="112"/>
      <c r="V182" s="112"/>
    </row>
    <row r="183" spans="1:22" ht="24.75" customHeight="1">
      <c r="A183" s="1"/>
      <c r="B183" s="162">
        <v>174</v>
      </c>
      <c r="C183" s="188" t="s">
        <v>1242</v>
      </c>
      <c r="D183" s="195">
        <v>1</v>
      </c>
      <c r="E183" s="196" t="s">
        <v>29</v>
      </c>
      <c r="F183" s="187"/>
      <c r="G183" s="32"/>
      <c r="H183" s="32"/>
      <c r="I183" s="32"/>
      <c r="J183" s="32"/>
      <c r="K183" s="32"/>
      <c r="L183" s="32"/>
      <c r="M183" s="32"/>
      <c r="N183" s="32"/>
      <c r="O183" s="32"/>
      <c r="P183" s="181"/>
      <c r="Q183" s="112"/>
      <c r="R183" s="112"/>
      <c r="S183" s="170">
        <f t="shared" si="12"/>
        <v>174</v>
      </c>
      <c r="T183" s="112"/>
      <c r="U183" s="112"/>
      <c r="V183" s="112"/>
    </row>
    <row r="184" spans="1:22" ht="24.75" customHeight="1">
      <c r="A184" s="1"/>
      <c r="B184" s="162">
        <v>175</v>
      </c>
      <c r="C184" s="76" t="s">
        <v>280</v>
      </c>
      <c r="D184" s="195">
        <v>1</v>
      </c>
      <c r="E184" s="196" t="s">
        <v>281</v>
      </c>
      <c r="F184" s="187"/>
      <c r="G184" s="32"/>
      <c r="H184" s="32"/>
      <c r="I184" s="32"/>
      <c r="J184" s="32"/>
      <c r="K184" s="32"/>
      <c r="L184" s="32"/>
      <c r="M184" s="32"/>
      <c r="N184" s="32">
        <f t="shared" ref="N184:N185" si="13">2650/1.18</f>
        <v>2245.7627118644068</v>
      </c>
      <c r="O184" s="32"/>
      <c r="P184" s="181"/>
      <c r="Q184" s="112"/>
      <c r="R184" s="112"/>
      <c r="S184" s="170">
        <f t="shared" si="12"/>
        <v>175</v>
      </c>
      <c r="T184" s="112"/>
      <c r="U184" s="112"/>
      <c r="V184" s="112"/>
    </row>
    <row r="185" spans="1:22" ht="24.75" customHeight="1">
      <c r="A185" s="1"/>
      <c r="B185" s="162">
        <v>176</v>
      </c>
      <c r="C185" s="76" t="s">
        <v>282</v>
      </c>
      <c r="D185" s="195">
        <v>1</v>
      </c>
      <c r="E185" s="196" t="s">
        <v>281</v>
      </c>
      <c r="F185" s="187"/>
      <c r="G185" s="32"/>
      <c r="H185" s="32"/>
      <c r="I185" s="32"/>
      <c r="J185" s="32"/>
      <c r="K185" s="32"/>
      <c r="L185" s="32"/>
      <c r="M185" s="32"/>
      <c r="N185" s="32">
        <f t="shared" si="13"/>
        <v>2245.7627118644068</v>
      </c>
      <c r="O185" s="32"/>
      <c r="P185" s="181"/>
      <c r="Q185" s="112"/>
      <c r="R185" s="112"/>
      <c r="S185" s="170">
        <f t="shared" si="12"/>
        <v>176</v>
      </c>
      <c r="T185" s="112"/>
      <c r="U185" s="112"/>
      <c r="V185" s="112"/>
    </row>
    <row r="186" spans="1:22" ht="24.75" customHeight="1">
      <c r="A186" s="1"/>
      <c r="B186" s="162">
        <v>177</v>
      </c>
      <c r="C186" s="76" t="s">
        <v>308</v>
      </c>
      <c r="D186" s="195">
        <v>1</v>
      </c>
      <c r="E186" s="196" t="s">
        <v>29</v>
      </c>
      <c r="F186" s="187"/>
      <c r="G186" s="32"/>
      <c r="H186" s="32"/>
      <c r="I186" s="32"/>
      <c r="J186" s="32"/>
      <c r="K186" s="32"/>
      <c r="L186" s="32"/>
      <c r="M186" s="32"/>
      <c r="N186" s="32">
        <f>330/1.18</f>
        <v>279.66101694915255</v>
      </c>
      <c r="O186" s="32"/>
      <c r="P186" s="181"/>
      <c r="Q186" s="112"/>
      <c r="R186" s="112"/>
      <c r="S186" s="170">
        <f t="shared" si="12"/>
        <v>177</v>
      </c>
      <c r="T186" s="112"/>
      <c r="U186" s="112"/>
      <c r="V186" s="112"/>
    </row>
    <row r="187" spans="1:22" ht="24.75" customHeight="1">
      <c r="A187" s="1"/>
      <c r="B187" s="162">
        <v>178</v>
      </c>
      <c r="C187" s="188" t="s">
        <v>310</v>
      </c>
      <c r="D187" s="195">
        <v>1</v>
      </c>
      <c r="E187" s="196" t="s">
        <v>89</v>
      </c>
      <c r="F187" s="187"/>
      <c r="G187" s="32"/>
      <c r="H187" s="32"/>
      <c r="I187" s="32"/>
      <c r="J187" s="32"/>
      <c r="K187" s="32"/>
      <c r="L187" s="32"/>
      <c r="M187" s="32"/>
      <c r="N187" s="32"/>
      <c r="O187" s="32"/>
      <c r="P187" s="181"/>
      <c r="Q187" s="112"/>
      <c r="R187" s="112"/>
      <c r="S187" s="170">
        <f t="shared" si="12"/>
        <v>178</v>
      </c>
      <c r="T187" s="112"/>
      <c r="U187" s="112"/>
      <c r="V187" s="112"/>
    </row>
    <row r="188" spans="1:22" ht="24.75" customHeight="1">
      <c r="A188" s="1"/>
      <c r="B188" s="162">
        <v>179</v>
      </c>
      <c r="C188" s="188" t="s">
        <v>1243</v>
      </c>
      <c r="D188" s="195">
        <v>1</v>
      </c>
      <c r="E188" s="196" t="s">
        <v>89</v>
      </c>
      <c r="F188" s="187"/>
      <c r="G188" s="32"/>
      <c r="H188" s="32"/>
      <c r="I188" s="32"/>
      <c r="J188" s="32"/>
      <c r="K188" s="32"/>
      <c r="L188" s="32"/>
      <c r="M188" s="32"/>
      <c r="N188" s="32"/>
      <c r="O188" s="32"/>
      <c r="P188" s="181"/>
      <c r="Q188" s="112"/>
      <c r="R188" s="112"/>
      <c r="S188" s="170">
        <f t="shared" si="12"/>
        <v>179</v>
      </c>
      <c r="T188" s="112"/>
      <c r="U188" s="112"/>
      <c r="V188" s="112"/>
    </row>
    <row r="189" spans="1:22" ht="24.75" customHeight="1">
      <c r="A189" s="1"/>
      <c r="B189" s="162">
        <v>180</v>
      </c>
      <c r="C189" s="76" t="s">
        <v>194</v>
      </c>
      <c r="D189" s="195">
        <v>25</v>
      </c>
      <c r="E189" s="196" t="s">
        <v>29</v>
      </c>
      <c r="F189" s="187"/>
      <c r="G189" s="32"/>
      <c r="H189" s="32"/>
      <c r="I189" s="32"/>
      <c r="J189" s="32"/>
      <c r="K189" s="32"/>
      <c r="L189" s="32"/>
      <c r="M189" s="32"/>
      <c r="N189" s="32">
        <v>75000</v>
      </c>
      <c r="O189" s="32"/>
      <c r="P189" s="181" t="s">
        <v>1244</v>
      </c>
      <c r="Q189" s="112"/>
      <c r="R189" s="112"/>
      <c r="S189" s="170">
        <f t="shared" si="12"/>
        <v>180</v>
      </c>
      <c r="T189" s="112"/>
      <c r="U189" s="112"/>
      <c r="V189" s="112"/>
    </row>
    <row r="190" spans="1:22" ht="24.75" customHeight="1">
      <c r="A190" s="1"/>
      <c r="B190" s="162">
        <v>181</v>
      </c>
      <c r="C190" s="188" t="s">
        <v>193</v>
      </c>
      <c r="D190" s="195">
        <v>1</v>
      </c>
      <c r="E190" s="196" t="s">
        <v>29</v>
      </c>
      <c r="F190" s="187"/>
      <c r="G190" s="32"/>
      <c r="H190" s="32"/>
      <c r="I190" s="32"/>
      <c r="J190" s="32"/>
      <c r="K190" s="32"/>
      <c r="L190" s="32"/>
      <c r="M190" s="32"/>
      <c r="N190" s="32"/>
      <c r="O190" s="32"/>
      <c r="P190" s="181"/>
      <c r="Q190" s="112"/>
      <c r="R190" s="112"/>
      <c r="S190" s="170">
        <f t="shared" si="12"/>
        <v>181</v>
      </c>
      <c r="T190" s="112"/>
      <c r="U190" s="112"/>
      <c r="V190" s="112"/>
    </row>
    <row r="191" spans="1:22" ht="24.75" customHeight="1">
      <c r="A191" s="1"/>
      <c r="B191" s="162">
        <v>182</v>
      </c>
      <c r="C191" s="188" t="s">
        <v>1245</v>
      </c>
      <c r="D191" s="195">
        <v>1</v>
      </c>
      <c r="E191" s="196" t="s">
        <v>89</v>
      </c>
      <c r="F191" s="187"/>
      <c r="G191" s="32"/>
      <c r="H191" s="32"/>
      <c r="I191" s="32"/>
      <c r="J191" s="32"/>
      <c r="K191" s="32"/>
      <c r="L191" s="32"/>
      <c r="M191" s="32"/>
      <c r="N191" s="32"/>
      <c r="O191" s="32"/>
      <c r="P191" s="181"/>
      <c r="Q191" s="112"/>
      <c r="R191" s="112"/>
      <c r="S191" s="170">
        <f t="shared" si="12"/>
        <v>182</v>
      </c>
      <c r="T191" s="112"/>
      <c r="U191" s="112"/>
      <c r="V191" s="112"/>
    </row>
    <row r="192" spans="1:22" ht="24.75" customHeight="1">
      <c r="A192" s="1"/>
      <c r="B192" s="162">
        <v>183</v>
      </c>
      <c r="C192" s="188" t="s">
        <v>1246</v>
      </c>
      <c r="D192" s="195">
        <v>1</v>
      </c>
      <c r="E192" s="196" t="s">
        <v>89</v>
      </c>
      <c r="F192" s="187"/>
      <c r="G192" s="32"/>
      <c r="H192" s="32"/>
      <c r="I192" s="32"/>
      <c r="J192" s="32"/>
      <c r="K192" s="32"/>
      <c r="L192" s="32"/>
      <c r="M192" s="32"/>
      <c r="N192" s="32"/>
      <c r="O192" s="32"/>
      <c r="P192" s="181"/>
      <c r="Q192" s="112"/>
      <c r="R192" s="112"/>
      <c r="S192" s="170">
        <f t="shared" si="12"/>
        <v>183</v>
      </c>
      <c r="T192" s="112"/>
      <c r="U192" s="112"/>
      <c r="V192" s="112"/>
    </row>
    <row r="193" spans="1:22" ht="24.75" customHeight="1">
      <c r="A193" s="1"/>
      <c r="B193" s="162">
        <v>184</v>
      </c>
      <c r="C193" s="188" t="s">
        <v>1247</v>
      </c>
      <c r="D193" s="195">
        <v>1</v>
      </c>
      <c r="E193" s="196" t="s">
        <v>69</v>
      </c>
      <c r="F193" s="187"/>
      <c r="G193" s="32"/>
      <c r="H193" s="32"/>
      <c r="I193" s="32"/>
      <c r="J193" s="32"/>
      <c r="K193" s="32"/>
      <c r="L193" s="32"/>
      <c r="M193" s="32"/>
      <c r="N193" s="32"/>
      <c r="O193" s="32"/>
      <c r="P193" s="181"/>
      <c r="Q193" s="112"/>
      <c r="R193" s="112"/>
      <c r="S193" s="170">
        <f t="shared" si="12"/>
        <v>184</v>
      </c>
      <c r="T193" s="112"/>
      <c r="U193" s="112"/>
      <c r="V193" s="112"/>
    </row>
    <row r="194" spans="1:22" ht="24.75" customHeight="1">
      <c r="A194" s="1"/>
      <c r="B194" s="162">
        <v>185</v>
      </c>
      <c r="C194" s="188" t="s">
        <v>1248</v>
      </c>
      <c r="D194" s="195">
        <v>1</v>
      </c>
      <c r="E194" s="196" t="s">
        <v>69</v>
      </c>
      <c r="F194" s="187"/>
      <c r="G194" s="32"/>
      <c r="H194" s="32"/>
      <c r="I194" s="32"/>
      <c r="J194" s="32"/>
      <c r="K194" s="32"/>
      <c r="L194" s="32"/>
      <c r="M194" s="32"/>
      <c r="N194" s="32"/>
      <c r="O194" s="32"/>
      <c r="P194" s="181"/>
      <c r="Q194" s="112"/>
      <c r="R194" s="112"/>
      <c r="S194" s="170">
        <f t="shared" si="12"/>
        <v>185</v>
      </c>
      <c r="T194" s="112"/>
      <c r="U194" s="112"/>
      <c r="V194" s="112"/>
    </row>
    <row r="195" spans="1:22" ht="24.75" customHeight="1">
      <c r="A195" s="1"/>
      <c r="B195" s="162">
        <v>186</v>
      </c>
      <c r="C195" s="188" t="s">
        <v>1249</v>
      </c>
      <c r="D195" s="195">
        <v>1</v>
      </c>
      <c r="E195" s="196" t="s">
        <v>69</v>
      </c>
      <c r="F195" s="187"/>
      <c r="G195" s="32"/>
      <c r="H195" s="32"/>
      <c r="I195" s="32"/>
      <c r="J195" s="32"/>
      <c r="K195" s="32"/>
      <c r="L195" s="32"/>
      <c r="M195" s="32"/>
      <c r="N195" s="32"/>
      <c r="O195" s="32"/>
      <c r="P195" s="181"/>
      <c r="Q195" s="112"/>
      <c r="R195" s="112"/>
      <c r="S195" s="170">
        <f t="shared" si="12"/>
        <v>186</v>
      </c>
      <c r="T195" s="112"/>
      <c r="U195" s="112"/>
      <c r="V195" s="112"/>
    </row>
    <row r="196" spans="1:22" ht="24.75" customHeight="1">
      <c r="A196" s="1"/>
      <c r="B196" s="162">
        <v>187</v>
      </c>
      <c r="C196" s="76" t="s">
        <v>1250</v>
      </c>
      <c r="D196" s="166">
        <v>1</v>
      </c>
      <c r="E196" s="167" t="s">
        <v>52</v>
      </c>
      <c r="F196" s="187"/>
      <c r="G196" s="32"/>
      <c r="H196" s="32"/>
      <c r="I196" s="32"/>
      <c r="J196" s="32">
        <v>1475</v>
      </c>
      <c r="K196" s="32"/>
      <c r="L196" s="32"/>
      <c r="M196" s="32"/>
      <c r="N196" s="32">
        <f>1620/1.18</f>
        <v>1372.8813559322034</v>
      </c>
      <c r="O196" s="32"/>
      <c r="P196" s="181"/>
      <c r="Q196" s="112"/>
      <c r="R196" s="112"/>
      <c r="S196" s="170">
        <f t="shared" si="12"/>
        <v>187</v>
      </c>
      <c r="T196" s="112"/>
      <c r="U196" s="112"/>
      <c r="V196" s="112"/>
    </row>
    <row r="197" spans="1:22" ht="34.5" customHeight="1">
      <c r="A197" s="1"/>
      <c r="B197" s="162">
        <v>188</v>
      </c>
      <c r="C197" s="201" t="s">
        <v>1251</v>
      </c>
      <c r="D197" s="166">
        <v>1</v>
      </c>
      <c r="E197" s="167" t="s">
        <v>214</v>
      </c>
      <c r="F197" s="187"/>
      <c r="G197" s="32"/>
      <c r="H197" s="32"/>
      <c r="I197" s="32"/>
      <c r="J197" s="32"/>
      <c r="K197" s="32"/>
      <c r="L197" s="32"/>
      <c r="M197" s="32"/>
      <c r="N197" s="32"/>
      <c r="O197" s="32"/>
      <c r="P197" s="181"/>
      <c r="Q197" s="112"/>
      <c r="R197" s="112"/>
      <c r="S197" s="170">
        <f t="shared" si="12"/>
        <v>188</v>
      </c>
      <c r="T197" s="112"/>
      <c r="U197" s="112"/>
      <c r="V197" s="112"/>
    </row>
    <row r="198" spans="1:22" ht="24.75" customHeight="1">
      <c r="A198" s="1"/>
      <c r="B198" s="162">
        <v>189</v>
      </c>
      <c r="C198" s="200" t="s">
        <v>219</v>
      </c>
      <c r="D198" s="202">
        <v>1</v>
      </c>
      <c r="E198" s="191" t="s">
        <v>52</v>
      </c>
      <c r="F198" s="187"/>
      <c r="G198" s="40"/>
      <c r="H198" s="40"/>
      <c r="I198" s="40"/>
      <c r="J198" s="40"/>
      <c r="K198" s="40"/>
      <c r="L198" s="40"/>
      <c r="M198" s="40"/>
      <c r="N198" s="40">
        <v>3000</v>
      </c>
      <c r="O198" s="40"/>
      <c r="P198" s="189"/>
      <c r="Q198" s="112"/>
      <c r="R198" s="112"/>
      <c r="S198" s="170">
        <f t="shared" si="12"/>
        <v>189</v>
      </c>
      <c r="T198" s="112"/>
      <c r="U198" s="112"/>
      <c r="V198" s="112"/>
    </row>
    <row r="199" spans="1:22" ht="24.75" customHeight="1">
      <c r="A199" s="1"/>
      <c r="B199" s="162">
        <v>190</v>
      </c>
      <c r="C199" s="200" t="s">
        <v>1252</v>
      </c>
      <c r="D199" s="202">
        <v>1</v>
      </c>
      <c r="E199" s="191" t="s">
        <v>52</v>
      </c>
      <c r="F199" s="187"/>
      <c r="G199" s="40"/>
      <c r="H199" s="40"/>
      <c r="I199" s="40"/>
      <c r="J199" s="40"/>
      <c r="K199" s="40"/>
      <c r="L199" s="40"/>
      <c r="M199" s="40"/>
      <c r="N199" s="40">
        <v>3739.13</v>
      </c>
      <c r="O199" s="40"/>
      <c r="P199" s="189"/>
      <c r="Q199" s="112"/>
      <c r="R199" s="112"/>
      <c r="S199" s="170">
        <f t="shared" si="12"/>
        <v>190</v>
      </c>
      <c r="T199" s="112"/>
      <c r="U199" s="112"/>
      <c r="V199" s="112"/>
    </row>
    <row r="200" spans="1:22" ht="24.75" customHeight="1">
      <c r="A200" s="1"/>
      <c r="B200" s="162">
        <v>191</v>
      </c>
      <c r="C200" s="200" t="s">
        <v>223</v>
      </c>
      <c r="D200" s="202">
        <v>1</v>
      </c>
      <c r="E200" s="191" t="s">
        <v>52</v>
      </c>
      <c r="F200" s="187"/>
      <c r="G200" s="40"/>
      <c r="H200" s="40"/>
      <c r="I200" s="40"/>
      <c r="J200" s="40"/>
      <c r="K200" s="40"/>
      <c r="L200" s="40"/>
      <c r="M200" s="40"/>
      <c r="N200" s="40">
        <v>3650</v>
      </c>
      <c r="O200" s="40"/>
      <c r="P200" s="189"/>
      <c r="Q200" s="112"/>
      <c r="R200" s="112"/>
      <c r="S200" s="170">
        <f t="shared" si="12"/>
        <v>191</v>
      </c>
      <c r="T200" s="112"/>
      <c r="U200" s="112"/>
      <c r="V200" s="112"/>
    </row>
    <row r="201" spans="1:22" ht="24.75" customHeight="1">
      <c r="A201" s="1"/>
      <c r="B201" s="162">
        <v>192</v>
      </c>
      <c r="C201" s="200" t="s">
        <v>224</v>
      </c>
      <c r="D201" s="202">
        <v>1</v>
      </c>
      <c r="E201" s="191" t="s">
        <v>52</v>
      </c>
      <c r="F201" s="187"/>
      <c r="G201" s="40"/>
      <c r="H201" s="40"/>
      <c r="I201" s="40"/>
      <c r="J201" s="40"/>
      <c r="K201" s="40"/>
      <c r="L201" s="40"/>
      <c r="M201" s="40"/>
      <c r="N201" s="40">
        <v>5400</v>
      </c>
      <c r="O201" s="40"/>
      <c r="P201" s="189"/>
      <c r="Q201" s="112"/>
      <c r="R201" s="112"/>
      <c r="S201" s="170">
        <f t="shared" si="12"/>
        <v>192</v>
      </c>
      <c r="T201" s="112"/>
      <c r="U201" s="112"/>
      <c r="V201" s="112"/>
    </row>
    <row r="202" spans="1:22" ht="24.75" customHeight="1">
      <c r="A202" s="1"/>
      <c r="B202" s="162">
        <v>193</v>
      </c>
      <c r="C202" s="200" t="s">
        <v>1253</v>
      </c>
      <c r="D202" s="202">
        <v>1</v>
      </c>
      <c r="E202" s="191" t="s">
        <v>52</v>
      </c>
      <c r="F202" s="187"/>
      <c r="G202" s="40"/>
      <c r="H202" s="40"/>
      <c r="I202" s="40"/>
      <c r="J202" s="40">
        <v>400</v>
      </c>
      <c r="K202" s="40"/>
      <c r="L202" s="40"/>
      <c r="M202" s="40"/>
      <c r="N202" s="40">
        <f>385/1.18</f>
        <v>326.27118644067798</v>
      </c>
      <c r="O202" s="40"/>
      <c r="P202" s="189" t="s">
        <v>1254</v>
      </c>
      <c r="Q202" s="112"/>
      <c r="R202" s="112"/>
      <c r="S202" s="170">
        <f t="shared" si="12"/>
        <v>193</v>
      </c>
      <c r="T202" s="112"/>
      <c r="U202" s="112"/>
      <c r="V202" s="112"/>
    </row>
    <row r="203" spans="1:22" ht="24.75" customHeight="1">
      <c r="A203" s="1"/>
      <c r="B203" s="162">
        <v>194</v>
      </c>
      <c r="C203" s="200" t="s">
        <v>1255</v>
      </c>
      <c r="D203" s="202">
        <v>1</v>
      </c>
      <c r="E203" s="191" t="s">
        <v>52</v>
      </c>
      <c r="F203" s="187"/>
      <c r="G203" s="40"/>
      <c r="H203" s="40"/>
      <c r="I203" s="40"/>
      <c r="J203" s="40">
        <v>1560</v>
      </c>
      <c r="K203" s="40"/>
      <c r="L203" s="40"/>
      <c r="M203" s="40"/>
      <c r="N203" s="40">
        <f>1785/1.18</f>
        <v>1512.7118644067798</v>
      </c>
      <c r="O203" s="40"/>
      <c r="P203" s="189" t="s">
        <v>1256</v>
      </c>
      <c r="Q203" s="112"/>
      <c r="R203" s="112"/>
      <c r="S203" s="170">
        <f t="shared" si="12"/>
        <v>194</v>
      </c>
      <c r="T203" s="112"/>
      <c r="U203" s="112"/>
      <c r="V203" s="112"/>
    </row>
    <row r="204" spans="1:22" ht="24.75" customHeight="1">
      <c r="A204" s="1"/>
      <c r="B204" s="162">
        <v>195</v>
      </c>
      <c r="C204" s="261" t="s">
        <v>1257</v>
      </c>
      <c r="D204" s="202">
        <v>1</v>
      </c>
      <c r="E204" s="191" t="s">
        <v>52</v>
      </c>
      <c r="F204" s="187"/>
      <c r="G204" s="40"/>
      <c r="H204" s="40"/>
      <c r="I204" s="40"/>
      <c r="J204" s="40">
        <v>430</v>
      </c>
      <c r="K204" s="40"/>
      <c r="L204" s="40"/>
      <c r="M204" s="40"/>
      <c r="N204" s="40"/>
      <c r="O204" s="40"/>
      <c r="P204" s="189"/>
      <c r="Q204" s="112"/>
      <c r="R204" s="112"/>
      <c r="S204" s="170">
        <f t="shared" si="12"/>
        <v>195</v>
      </c>
      <c r="T204" s="112"/>
      <c r="U204" s="112"/>
      <c r="V204" s="112"/>
    </row>
    <row r="205" spans="1:22" ht="24.75" customHeight="1">
      <c r="A205" s="1"/>
      <c r="B205" s="162">
        <v>196</v>
      </c>
      <c r="C205" s="261" t="s">
        <v>1258</v>
      </c>
      <c r="D205" s="202">
        <v>1</v>
      </c>
      <c r="E205" s="191" t="s">
        <v>52</v>
      </c>
      <c r="F205" s="187"/>
      <c r="G205" s="40"/>
      <c r="H205" s="40"/>
      <c r="I205" s="40"/>
      <c r="J205" s="40"/>
      <c r="K205" s="40"/>
      <c r="L205" s="40"/>
      <c r="M205" s="40"/>
      <c r="N205" s="40"/>
      <c r="O205" s="40"/>
      <c r="P205" s="189"/>
      <c r="Q205" s="112"/>
      <c r="R205" s="112"/>
      <c r="S205" s="170">
        <f t="shared" si="12"/>
        <v>196</v>
      </c>
      <c r="T205" s="112"/>
      <c r="U205" s="112"/>
      <c r="V205" s="112"/>
    </row>
    <row r="206" spans="1:22" ht="24.75" customHeight="1">
      <c r="A206" s="1"/>
      <c r="B206" s="162">
        <v>197</v>
      </c>
      <c r="C206" s="261" t="s">
        <v>1259</v>
      </c>
      <c r="D206" s="202">
        <v>1</v>
      </c>
      <c r="E206" s="191" t="s">
        <v>52</v>
      </c>
      <c r="F206" s="187"/>
      <c r="G206" s="40"/>
      <c r="H206" s="40"/>
      <c r="I206" s="40"/>
      <c r="J206" s="40"/>
      <c r="K206" s="40"/>
      <c r="L206" s="40"/>
      <c r="M206" s="40"/>
      <c r="N206" s="40"/>
      <c r="O206" s="40"/>
      <c r="P206" s="189"/>
      <c r="Q206" s="112"/>
      <c r="R206" s="112"/>
      <c r="S206" s="170">
        <f t="shared" si="12"/>
        <v>197</v>
      </c>
      <c r="T206" s="112"/>
      <c r="U206" s="112"/>
      <c r="V206" s="112"/>
    </row>
    <row r="207" spans="1:22" ht="24.75" customHeight="1">
      <c r="A207" s="1"/>
      <c r="B207" s="162">
        <v>198</v>
      </c>
      <c r="C207" s="76" t="s">
        <v>385</v>
      </c>
      <c r="D207" s="202">
        <v>1</v>
      </c>
      <c r="E207" s="167" t="s">
        <v>89</v>
      </c>
      <c r="F207" s="187"/>
      <c r="G207" s="32"/>
      <c r="H207" s="32"/>
      <c r="I207" s="32"/>
      <c r="J207" s="32">
        <v>250</v>
      </c>
      <c r="K207" s="32"/>
      <c r="L207" s="32"/>
      <c r="M207" s="32"/>
      <c r="N207" s="32"/>
      <c r="O207" s="32"/>
      <c r="P207" s="181"/>
      <c r="Q207" s="112"/>
      <c r="R207" s="112"/>
      <c r="S207" s="170">
        <f t="shared" si="12"/>
        <v>198</v>
      </c>
      <c r="T207" s="112"/>
      <c r="U207" s="112"/>
      <c r="V207" s="112"/>
    </row>
    <row r="208" spans="1:22" ht="24.75" customHeight="1">
      <c r="A208" s="1"/>
      <c r="B208" s="162">
        <v>199</v>
      </c>
      <c r="C208" s="76" t="s">
        <v>387</v>
      </c>
      <c r="D208" s="202">
        <v>1</v>
      </c>
      <c r="E208" s="167" t="s">
        <v>89</v>
      </c>
      <c r="F208" s="187"/>
      <c r="G208" s="32"/>
      <c r="H208" s="32"/>
      <c r="I208" s="32"/>
      <c r="J208" s="32">
        <v>200</v>
      </c>
      <c r="K208" s="32"/>
      <c r="L208" s="32"/>
      <c r="M208" s="32"/>
      <c r="N208" s="32"/>
      <c r="O208" s="32"/>
      <c r="P208" s="181"/>
      <c r="Q208" s="112"/>
      <c r="R208" s="112"/>
      <c r="S208" s="170">
        <f t="shared" si="12"/>
        <v>199</v>
      </c>
      <c r="T208" s="112"/>
      <c r="U208" s="112"/>
      <c r="V208" s="112"/>
    </row>
    <row r="209" spans="1:22" ht="24.75" customHeight="1">
      <c r="A209" s="1"/>
      <c r="B209" s="162">
        <v>200</v>
      </c>
      <c r="C209" s="76" t="s">
        <v>1260</v>
      </c>
      <c r="D209" s="202">
        <v>1</v>
      </c>
      <c r="E209" s="167" t="s">
        <v>89</v>
      </c>
      <c r="F209" s="187"/>
      <c r="G209" s="32"/>
      <c r="H209" s="32"/>
      <c r="I209" s="32"/>
      <c r="J209" s="32">
        <v>167</v>
      </c>
      <c r="K209" s="32"/>
      <c r="L209" s="32"/>
      <c r="M209" s="32"/>
      <c r="N209" s="32"/>
      <c r="O209" s="32"/>
      <c r="P209" s="181"/>
      <c r="Q209" s="112"/>
      <c r="R209" s="112"/>
      <c r="S209" s="170">
        <f t="shared" si="12"/>
        <v>200</v>
      </c>
      <c r="T209" s="112"/>
      <c r="U209" s="112"/>
      <c r="V209" s="112"/>
    </row>
    <row r="210" spans="1:22" ht="24.75" customHeight="1">
      <c r="A210" s="1"/>
      <c r="B210" s="162">
        <v>201</v>
      </c>
      <c r="C210" s="188" t="s">
        <v>1261</v>
      </c>
      <c r="D210" s="202">
        <v>1</v>
      </c>
      <c r="E210" s="167" t="s">
        <v>89</v>
      </c>
      <c r="F210" s="187"/>
      <c r="G210" s="32"/>
      <c r="H210" s="32"/>
      <c r="I210" s="32"/>
      <c r="J210" s="32"/>
      <c r="K210" s="32"/>
      <c r="L210" s="32"/>
      <c r="M210" s="32"/>
      <c r="N210" s="32"/>
      <c r="O210" s="32"/>
      <c r="P210" s="181"/>
      <c r="Q210" s="112"/>
      <c r="R210" s="112"/>
      <c r="S210" s="170">
        <f t="shared" si="12"/>
        <v>201</v>
      </c>
      <c r="T210" s="112"/>
      <c r="U210" s="112"/>
      <c r="V210" s="112"/>
    </row>
    <row r="211" spans="1:22" ht="24.75" customHeight="1">
      <c r="A211" s="1"/>
      <c r="B211" s="162">
        <v>202</v>
      </c>
      <c r="C211" s="261" t="s">
        <v>1262</v>
      </c>
      <c r="D211" s="202">
        <v>1</v>
      </c>
      <c r="E211" s="167" t="s">
        <v>69</v>
      </c>
      <c r="F211" s="187"/>
      <c r="G211" s="40"/>
      <c r="H211" s="40"/>
      <c r="I211" s="40"/>
      <c r="J211" s="40"/>
      <c r="K211" s="40"/>
      <c r="L211" s="40"/>
      <c r="M211" s="40"/>
      <c r="N211" s="40"/>
      <c r="O211" s="40"/>
      <c r="P211" s="189"/>
      <c r="Q211" s="112"/>
      <c r="R211" s="112"/>
      <c r="S211" s="170">
        <f t="shared" si="12"/>
        <v>202</v>
      </c>
      <c r="T211" s="112"/>
      <c r="U211" s="112"/>
      <c r="V211" s="112"/>
    </row>
    <row r="212" spans="1:22" ht="30.75" customHeight="1">
      <c r="A212" s="1"/>
      <c r="B212" s="162">
        <v>203</v>
      </c>
      <c r="C212" s="263" t="s">
        <v>1263</v>
      </c>
      <c r="D212" s="202">
        <v>1</v>
      </c>
      <c r="E212" s="167" t="s">
        <v>69</v>
      </c>
      <c r="F212" s="187"/>
      <c r="G212" s="40"/>
      <c r="H212" s="40"/>
      <c r="I212" s="40"/>
      <c r="J212" s="40"/>
      <c r="K212" s="40"/>
      <c r="L212" s="40"/>
      <c r="M212" s="40"/>
      <c r="N212" s="40"/>
      <c r="O212" s="40"/>
      <c r="P212" s="189"/>
      <c r="Q212" s="112"/>
      <c r="R212" s="112"/>
      <c r="S212" s="170">
        <f t="shared" si="12"/>
        <v>203</v>
      </c>
      <c r="T212" s="112"/>
      <c r="U212" s="112"/>
      <c r="V212" s="112"/>
    </row>
    <row r="213" spans="1:22" ht="24.75" customHeight="1">
      <c r="A213" s="1"/>
      <c r="B213" s="162">
        <v>204</v>
      </c>
      <c r="C213" s="261" t="s">
        <v>1264</v>
      </c>
      <c r="D213" s="202">
        <v>1</v>
      </c>
      <c r="E213" s="167" t="s">
        <v>69</v>
      </c>
      <c r="F213" s="187"/>
      <c r="G213" s="40"/>
      <c r="H213" s="40"/>
      <c r="I213" s="40"/>
      <c r="J213" s="40"/>
      <c r="K213" s="40"/>
      <c r="L213" s="40"/>
      <c r="M213" s="40"/>
      <c r="N213" s="40"/>
      <c r="O213" s="40"/>
      <c r="P213" s="189"/>
      <c r="Q213" s="112"/>
      <c r="R213" s="112"/>
      <c r="S213" s="170">
        <f t="shared" si="12"/>
        <v>204</v>
      </c>
      <c r="T213" s="112"/>
      <c r="U213" s="112"/>
      <c r="V213" s="112"/>
    </row>
    <row r="214" spans="1:22" ht="24.75" customHeight="1">
      <c r="A214" s="1"/>
      <c r="B214" s="162">
        <v>205</v>
      </c>
      <c r="C214" s="261" t="s">
        <v>1265</v>
      </c>
      <c r="D214" s="202">
        <v>1</v>
      </c>
      <c r="E214" s="167" t="s">
        <v>69</v>
      </c>
      <c r="F214" s="187"/>
      <c r="G214" s="40"/>
      <c r="H214" s="40"/>
      <c r="I214" s="40"/>
      <c r="J214" s="40"/>
      <c r="K214" s="40"/>
      <c r="L214" s="40"/>
      <c r="M214" s="40"/>
      <c r="N214" s="40"/>
      <c r="O214" s="40"/>
      <c r="P214" s="189"/>
      <c r="Q214" s="112"/>
      <c r="R214" s="112"/>
      <c r="S214" s="170">
        <f t="shared" si="12"/>
        <v>205</v>
      </c>
      <c r="T214" s="112"/>
      <c r="U214" s="112"/>
      <c r="V214" s="112"/>
    </row>
    <row r="215" spans="1:22" ht="24.75" customHeight="1">
      <c r="A215" s="1"/>
      <c r="B215" s="162">
        <v>206</v>
      </c>
      <c r="C215" s="261" t="s">
        <v>1266</v>
      </c>
      <c r="D215" s="202">
        <v>1</v>
      </c>
      <c r="E215" s="167" t="s">
        <v>69</v>
      </c>
      <c r="F215" s="187"/>
      <c r="G215" s="40"/>
      <c r="H215" s="40"/>
      <c r="I215" s="40"/>
      <c r="J215" s="40"/>
      <c r="K215" s="40"/>
      <c r="L215" s="40"/>
      <c r="M215" s="40"/>
      <c r="N215" s="40"/>
      <c r="O215" s="40"/>
      <c r="P215" s="189"/>
      <c r="Q215" s="112"/>
      <c r="R215" s="112"/>
      <c r="S215" s="170">
        <f t="shared" si="12"/>
        <v>206</v>
      </c>
      <c r="T215" s="112"/>
      <c r="U215" s="112"/>
      <c r="V215" s="112"/>
    </row>
    <row r="216" spans="1:22" ht="30" customHeight="1">
      <c r="A216" s="1"/>
      <c r="B216" s="162">
        <v>207</v>
      </c>
      <c r="C216" s="263" t="s">
        <v>1267</v>
      </c>
      <c r="D216" s="202">
        <v>1</v>
      </c>
      <c r="E216" s="167" t="s">
        <v>69</v>
      </c>
      <c r="F216" s="187"/>
      <c r="G216" s="40"/>
      <c r="H216" s="40"/>
      <c r="I216" s="40"/>
      <c r="J216" s="40"/>
      <c r="K216" s="40"/>
      <c r="L216" s="40"/>
      <c r="M216" s="40"/>
      <c r="N216" s="40"/>
      <c r="O216" s="40"/>
      <c r="P216" s="189"/>
      <c r="Q216" s="112"/>
      <c r="R216" s="112"/>
      <c r="S216" s="170">
        <f t="shared" si="12"/>
        <v>207</v>
      </c>
      <c r="T216" s="112"/>
      <c r="U216" s="112"/>
      <c r="V216" s="112"/>
    </row>
    <row r="217" spans="1:22" ht="24.75" customHeight="1">
      <c r="A217" s="1"/>
      <c r="B217" s="162">
        <v>208</v>
      </c>
      <c r="C217" s="261" t="s">
        <v>1268</v>
      </c>
      <c r="D217" s="202">
        <v>1</v>
      </c>
      <c r="E217" s="167" t="s">
        <v>69</v>
      </c>
      <c r="F217" s="187"/>
      <c r="G217" s="40"/>
      <c r="H217" s="40"/>
      <c r="I217" s="40"/>
      <c r="J217" s="40"/>
      <c r="K217" s="40"/>
      <c r="L217" s="40"/>
      <c r="M217" s="40"/>
      <c r="N217" s="40"/>
      <c r="O217" s="40"/>
      <c r="P217" s="189"/>
      <c r="Q217" s="112"/>
      <c r="R217" s="112"/>
      <c r="S217" s="170">
        <f t="shared" si="12"/>
        <v>208</v>
      </c>
      <c r="T217" s="112"/>
      <c r="U217" s="112"/>
      <c r="V217" s="112"/>
    </row>
    <row r="218" spans="1:22" ht="24.75" customHeight="1">
      <c r="A218" s="1"/>
      <c r="B218" s="162">
        <v>209</v>
      </c>
      <c r="C218" s="200" t="s">
        <v>195</v>
      </c>
      <c r="D218" s="202">
        <v>1</v>
      </c>
      <c r="E218" s="191" t="s">
        <v>52</v>
      </c>
      <c r="F218" s="187"/>
      <c r="G218" s="40"/>
      <c r="H218" s="40"/>
      <c r="I218" s="40"/>
      <c r="J218" s="40">
        <v>350</v>
      </c>
      <c r="K218" s="40"/>
      <c r="L218" s="40"/>
      <c r="M218" s="40"/>
      <c r="N218" s="40">
        <v>100</v>
      </c>
      <c r="O218" s="40"/>
      <c r="P218" s="189"/>
      <c r="Q218" s="112"/>
      <c r="R218" s="112"/>
      <c r="S218" s="170">
        <f t="shared" si="12"/>
        <v>209</v>
      </c>
      <c r="T218" s="112"/>
      <c r="U218" s="112"/>
      <c r="V218" s="112"/>
    </row>
    <row r="219" spans="1:22" ht="24.75" customHeight="1">
      <c r="A219" s="1"/>
      <c r="B219" s="162">
        <v>210</v>
      </c>
      <c r="C219" s="200" t="s">
        <v>1269</v>
      </c>
      <c r="D219" s="202">
        <v>1</v>
      </c>
      <c r="E219" s="191" t="s">
        <v>52</v>
      </c>
      <c r="F219" s="187"/>
      <c r="G219" s="40"/>
      <c r="H219" s="40"/>
      <c r="I219" s="40"/>
      <c r="J219" s="40"/>
      <c r="K219" s="40"/>
      <c r="L219" s="40"/>
      <c r="M219" s="40"/>
      <c r="N219" s="40">
        <f>140/1.18</f>
        <v>118.64406779661017</v>
      </c>
      <c r="O219" s="40"/>
      <c r="P219" s="189"/>
      <c r="Q219" s="112"/>
      <c r="R219" s="112"/>
      <c r="S219" s="170">
        <f t="shared" si="12"/>
        <v>210</v>
      </c>
      <c r="T219" s="112"/>
      <c r="U219" s="112"/>
      <c r="V219" s="112"/>
    </row>
    <row r="220" spans="1:22" ht="24.75" customHeight="1">
      <c r="A220" s="1"/>
      <c r="B220" s="162">
        <v>211</v>
      </c>
      <c r="C220" s="200" t="s">
        <v>1270</v>
      </c>
      <c r="D220" s="202">
        <v>1</v>
      </c>
      <c r="E220" s="191" t="s">
        <v>52</v>
      </c>
      <c r="F220" s="187"/>
      <c r="G220" s="40"/>
      <c r="H220" s="40"/>
      <c r="I220" s="40"/>
      <c r="J220" s="40">
        <v>915</v>
      </c>
      <c r="K220" s="40"/>
      <c r="L220" s="40"/>
      <c r="M220" s="40"/>
      <c r="N220" s="40">
        <f>350/1.18</f>
        <v>296.61016949152543</v>
      </c>
      <c r="O220" s="40"/>
      <c r="P220" s="189"/>
      <c r="Q220" s="112"/>
      <c r="R220" s="112"/>
      <c r="S220" s="170">
        <f t="shared" si="12"/>
        <v>211</v>
      </c>
      <c r="T220" s="112"/>
      <c r="U220" s="112"/>
      <c r="V220" s="112"/>
    </row>
    <row r="221" spans="1:22" ht="24.75" customHeight="1">
      <c r="A221" s="1"/>
      <c r="B221" s="162">
        <v>212</v>
      </c>
      <c r="C221" s="200" t="s">
        <v>1271</v>
      </c>
      <c r="D221" s="202">
        <v>1</v>
      </c>
      <c r="E221" s="191" t="s">
        <v>98</v>
      </c>
      <c r="F221" s="187"/>
      <c r="G221" s="40"/>
      <c r="H221" s="40"/>
      <c r="I221" s="40"/>
      <c r="J221" s="40"/>
      <c r="K221" s="40"/>
      <c r="L221" s="40"/>
      <c r="M221" s="40"/>
      <c r="N221" s="40">
        <f>180*108%</f>
        <v>194.4</v>
      </c>
      <c r="O221" s="40"/>
      <c r="P221" s="189"/>
      <c r="Q221" s="112"/>
      <c r="R221" s="112"/>
      <c r="S221" s="170">
        <f t="shared" si="12"/>
        <v>212</v>
      </c>
      <c r="T221" s="112"/>
      <c r="U221" s="112"/>
      <c r="V221" s="112"/>
    </row>
    <row r="222" spans="1:22" ht="24.75" customHeight="1">
      <c r="A222" s="1"/>
      <c r="B222" s="162">
        <v>213</v>
      </c>
      <c r="C222" s="200" t="s">
        <v>1272</v>
      </c>
      <c r="D222" s="202">
        <v>1</v>
      </c>
      <c r="E222" s="191" t="s">
        <v>276</v>
      </c>
      <c r="F222" s="187"/>
      <c r="G222" s="40"/>
      <c r="H222" s="40"/>
      <c r="I222" s="40"/>
      <c r="J222" s="40"/>
      <c r="K222" s="40"/>
      <c r="L222" s="40"/>
      <c r="M222" s="40"/>
      <c r="N222" s="40">
        <f>1890/1.18</f>
        <v>1601.6949152542375</v>
      </c>
      <c r="O222" s="40"/>
      <c r="P222" s="189"/>
      <c r="Q222" s="112"/>
      <c r="R222" s="112"/>
      <c r="S222" s="170">
        <f t="shared" si="12"/>
        <v>213</v>
      </c>
      <c r="T222" s="112"/>
      <c r="U222" s="112"/>
      <c r="V222" s="112"/>
    </row>
    <row r="223" spans="1:22" ht="24.75" customHeight="1">
      <c r="A223" s="1"/>
      <c r="B223" s="162">
        <v>214</v>
      </c>
      <c r="C223" s="200" t="s">
        <v>1273</v>
      </c>
      <c r="D223" s="202">
        <v>1</v>
      </c>
      <c r="E223" s="191" t="s">
        <v>278</v>
      </c>
      <c r="F223" s="187"/>
      <c r="G223" s="40"/>
      <c r="H223" s="40"/>
      <c r="I223" s="40"/>
      <c r="J223" s="40"/>
      <c r="K223" s="40"/>
      <c r="L223" s="40"/>
      <c r="M223" s="40"/>
      <c r="N223" s="40">
        <f>18490/1.18</f>
        <v>15669.491525423729</v>
      </c>
      <c r="O223" s="40"/>
      <c r="P223" s="189"/>
      <c r="Q223" s="112"/>
      <c r="R223" s="112"/>
      <c r="S223" s="170">
        <f t="shared" si="12"/>
        <v>214</v>
      </c>
      <c r="T223" s="112"/>
      <c r="U223" s="112"/>
      <c r="V223" s="112"/>
    </row>
    <row r="224" spans="1:22" ht="24.75" customHeight="1">
      <c r="A224" s="1"/>
      <c r="B224" s="162">
        <v>215</v>
      </c>
      <c r="C224" s="200" t="s">
        <v>289</v>
      </c>
      <c r="D224" s="202">
        <v>1</v>
      </c>
      <c r="E224" s="191" t="s">
        <v>52</v>
      </c>
      <c r="F224" s="187"/>
      <c r="G224" s="40"/>
      <c r="H224" s="40"/>
      <c r="I224" s="40"/>
      <c r="J224" s="40">
        <v>240</v>
      </c>
      <c r="K224" s="40"/>
      <c r="L224" s="40"/>
      <c r="M224" s="40"/>
      <c r="N224" s="40">
        <v>240</v>
      </c>
      <c r="O224" s="40"/>
      <c r="P224" s="189"/>
      <c r="Q224" s="112"/>
      <c r="R224" s="112"/>
      <c r="S224" s="170">
        <f t="shared" si="12"/>
        <v>215</v>
      </c>
      <c r="T224" s="112"/>
      <c r="U224" s="112"/>
      <c r="V224" s="112"/>
    </row>
    <row r="225" spans="1:22" ht="24.75" customHeight="1">
      <c r="A225" s="1"/>
      <c r="B225" s="162">
        <v>216</v>
      </c>
      <c r="C225" s="200" t="s">
        <v>290</v>
      </c>
      <c r="D225" s="202">
        <v>1</v>
      </c>
      <c r="E225" s="191" t="s">
        <v>52</v>
      </c>
      <c r="F225" s="187"/>
      <c r="G225" s="40"/>
      <c r="H225" s="40"/>
      <c r="I225" s="40"/>
      <c r="J225" s="40"/>
      <c r="K225" s="40"/>
      <c r="L225" s="40"/>
      <c r="M225" s="40"/>
      <c r="N225" s="40">
        <v>240</v>
      </c>
      <c r="O225" s="40"/>
      <c r="P225" s="189"/>
      <c r="Q225" s="112"/>
      <c r="R225" s="112"/>
      <c r="S225" s="170">
        <f t="shared" si="12"/>
        <v>216</v>
      </c>
      <c r="T225" s="112"/>
      <c r="U225" s="112"/>
      <c r="V225" s="112"/>
    </row>
    <row r="226" spans="1:22" ht="24.75" customHeight="1">
      <c r="A226" s="1"/>
      <c r="B226" s="162">
        <v>217</v>
      </c>
      <c r="C226" s="261" t="s">
        <v>1274</v>
      </c>
      <c r="D226" s="202">
        <v>1</v>
      </c>
      <c r="E226" s="191" t="s">
        <v>89</v>
      </c>
      <c r="F226" s="187"/>
      <c r="G226" s="40"/>
      <c r="H226" s="40"/>
      <c r="I226" s="40"/>
      <c r="J226" s="40"/>
      <c r="K226" s="40"/>
      <c r="L226" s="40"/>
      <c r="M226" s="40"/>
      <c r="N226" s="40"/>
      <c r="O226" s="40"/>
      <c r="P226" s="189"/>
      <c r="Q226" s="112"/>
      <c r="R226" s="112"/>
      <c r="S226" s="170">
        <f t="shared" si="12"/>
        <v>217</v>
      </c>
      <c r="T226" s="112"/>
      <c r="U226" s="112"/>
      <c r="V226" s="112"/>
    </row>
    <row r="227" spans="1:22" ht="24.75" customHeight="1">
      <c r="A227" s="1"/>
      <c r="B227" s="162">
        <v>218</v>
      </c>
      <c r="C227" s="76" t="s">
        <v>1275</v>
      </c>
      <c r="D227" s="166">
        <v>1</v>
      </c>
      <c r="E227" s="167" t="s">
        <v>265</v>
      </c>
      <c r="F227" s="187"/>
      <c r="G227" s="32"/>
      <c r="H227" s="32"/>
      <c r="I227" s="32"/>
      <c r="J227" s="32">
        <v>1300</v>
      </c>
      <c r="K227" s="32"/>
      <c r="L227" s="32"/>
      <c r="M227" s="32"/>
      <c r="N227" s="32">
        <f>2980/1.18</f>
        <v>2525.4237288135596</v>
      </c>
      <c r="O227" s="32"/>
      <c r="P227" s="181" t="s">
        <v>1276</v>
      </c>
      <c r="Q227" s="112"/>
      <c r="R227" s="112"/>
      <c r="S227" s="170">
        <f t="shared" si="12"/>
        <v>218</v>
      </c>
      <c r="T227" s="112"/>
      <c r="U227" s="112"/>
      <c r="V227" s="112"/>
    </row>
    <row r="228" spans="1:22" ht="24.75" customHeight="1">
      <c r="A228" s="1"/>
      <c r="B228" s="162">
        <v>219</v>
      </c>
      <c r="C228" s="76" t="s">
        <v>1277</v>
      </c>
      <c r="D228" s="166">
        <v>1</v>
      </c>
      <c r="E228" s="167" t="s">
        <v>265</v>
      </c>
      <c r="F228" s="187"/>
      <c r="G228" s="32"/>
      <c r="H228" s="32"/>
      <c r="I228" s="32"/>
      <c r="J228" s="32"/>
      <c r="K228" s="32"/>
      <c r="L228" s="32"/>
      <c r="M228" s="32"/>
      <c r="N228" s="32">
        <f>3280/1.18</f>
        <v>2779.6610169491528</v>
      </c>
      <c r="O228" s="32"/>
      <c r="P228" s="181" t="s">
        <v>1276</v>
      </c>
      <c r="Q228" s="112"/>
      <c r="R228" s="112"/>
      <c r="S228" s="170">
        <f t="shared" si="12"/>
        <v>219</v>
      </c>
      <c r="T228" s="112"/>
      <c r="U228" s="112"/>
      <c r="V228" s="112"/>
    </row>
    <row r="229" spans="1:22" ht="24.75" customHeight="1">
      <c r="A229" s="1"/>
      <c r="B229" s="162">
        <v>220</v>
      </c>
      <c r="C229" s="76" t="s">
        <v>1278</v>
      </c>
      <c r="D229" s="166">
        <v>1</v>
      </c>
      <c r="E229" s="167" t="s">
        <v>265</v>
      </c>
      <c r="F229" s="187"/>
      <c r="G229" s="32"/>
      <c r="H229" s="32"/>
      <c r="I229" s="32"/>
      <c r="J229" s="32">
        <v>2100</v>
      </c>
      <c r="K229" s="32"/>
      <c r="L229" s="32"/>
      <c r="M229" s="32"/>
      <c r="N229" s="32">
        <f>3720/1.18</f>
        <v>3152.5423728813562</v>
      </c>
      <c r="O229" s="32"/>
      <c r="P229" s="181" t="s">
        <v>1276</v>
      </c>
      <c r="Q229" s="112"/>
      <c r="R229" s="112"/>
      <c r="S229" s="170">
        <f t="shared" si="12"/>
        <v>220</v>
      </c>
      <c r="T229" s="112"/>
      <c r="U229" s="112"/>
      <c r="V229" s="112"/>
    </row>
    <row r="230" spans="1:22" ht="24.75" customHeight="1">
      <c r="A230" s="1"/>
      <c r="B230" s="162">
        <v>221</v>
      </c>
      <c r="C230" s="76" t="s">
        <v>1279</v>
      </c>
      <c r="D230" s="166">
        <v>1</v>
      </c>
      <c r="E230" s="167" t="s">
        <v>265</v>
      </c>
      <c r="F230" s="187"/>
      <c r="G230" s="32"/>
      <c r="H230" s="32"/>
      <c r="I230" s="32"/>
      <c r="J230" s="32"/>
      <c r="K230" s="32"/>
      <c r="L230" s="32"/>
      <c r="M230" s="32"/>
      <c r="N230" s="32">
        <f>3280/1.18</f>
        <v>2779.6610169491528</v>
      </c>
      <c r="O230" s="32"/>
      <c r="P230" s="181" t="s">
        <v>1276</v>
      </c>
      <c r="Q230" s="112"/>
      <c r="R230" s="112"/>
      <c r="S230" s="170">
        <f t="shared" si="12"/>
        <v>221</v>
      </c>
      <c r="T230" s="112"/>
      <c r="U230" s="112"/>
      <c r="V230" s="112"/>
    </row>
    <row r="231" spans="1:22" ht="24.75" customHeight="1">
      <c r="A231" s="1"/>
      <c r="B231" s="162">
        <v>222</v>
      </c>
      <c r="C231" s="76" t="s">
        <v>1280</v>
      </c>
      <c r="D231" s="166">
        <v>1</v>
      </c>
      <c r="E231" s="167" t="s">
        <v>265</v>
      </c>
      <c r="F231" s="187"/>
      <c r="G231" s="32"/>
      <c r="H231" s="32"/>
      <c r="I231" s="32"/>
      <c r="J231" s="32"/>
      <c r="K231" s="32"/>
      <c r="L231" s="32"/>
      <c r="M231" s="32"/>
      <c r="N231" s="32">
        <f>3940/1.18</f>
        <v>3338.9830508474579</v>
      </c>
      <c r="O231" s="32"/>
      <c r="P231" s="181" t="s">
        <v>1276</v>
      </c>
      <c r="Q231" s="112"/>
      <c r="R231" s="112"/>
      <c r="S231" s="170">
        <f t="shared" si="12"/>
        <v>222</v>
      </c>
      <c r="T231" s="112"/>
      <c r="U231" s="112"/>
      <c r="V231" s="112"/>
    </row>
    <row r="232" spans="1:22" ht="24.75" customHeight="1">
      <c r="A232" s="1"/>
      <c r="B232" s="162">
        <v>223</v>
      </c>
      <c r="C232" s="76" t="s">
        <v>1281</v>
      </c>
      <c r="D232" s="166">
        <v>1</v>
      </c>
      <c r="E232" s="167" t="s">
        <v>265</v>
      </c>
      <c r="F232" s="187"/>
      <c r="G232" s="32"/>
      <c r="H232" s="32"/>
      <c r="I232" s="32"/>
      <c r="J232" s="32"/>
      <c r="K232" s="32"/>
      <c r="L232" s="32"/>
      <c r="M232" s="32"/>
      <c r="N232" s="32">
        <f>6530/1.18</f>
        <v>5533.8983050847464</v>
      </c>
      <c r="O232" s="32"/>
      <c r="P232" s="181" t="s">
        <v>1276</v>
      </c>
      <c r="Q232" s="112"/>
      <c r="R232" s="112"/>
      <c r="S232" s="170">
        <f t="shared" si="12"/>
        <v>223</v>
      </c>
      <c r="T232" s="112"/>
      <c r="U232" s="112"/>
      <c r="V232" s="112"/>
    </row>
    <row r="233" spans="1:22" ht="24.75" customHeight="1">
      <c r="A233" s="1"/>
      <c r="B233" s="162">
        <v>224</v>
      </c>
      <c r="C233" s="200" t="s">
        <v>1282</v>
      </c>
      <c r="D233" s="166">
        <v>1</v>
      </c>
      <c r="E233" s="167" t="s">
        <v>265</v>
      </c>
      <c r="F233" s="187"/>
      <c r="G233" s="40"/>
      <c r="H233" s="40"/>
      <c r="I233" s="40"/>
      <c r="J233" s="40"/>
      <c r="K233" s="40"/>
      <c r="L233" s="40"/>
      <c r="M233" s="40"/>
      <c r="N233" s="40">
        <f>1460/1.18</f>
        <v>1237.2881355932204</v>
      </c>
      <c r="O233" s="40"/>
      <c r="P233" s="189"/>
      <c r="Q233" s="112"/>
      <c r="R233" s="112"/>
      <c r="S233" s="170">
        <f t="shared" si="12"/>
        <v>224</v>
      </c>
      <c r="T233" s="112"/>
      <c r="U233" s="112"/>
      <c r="V233" s="112"/>
    </row>
    <row r="234" spans="1:22" ht="24.75" customHeight="1">
      <c r="A234" s="1"/>
      <c r="B234" s="162">
        <v>225</v>
      </c>
      <c r="C234" s="200" t="s">
        <v>1283</v>
      </c>
      <c r="D234" s="166">
        <v>1</v>
      </c>
      <c r="E234" s="167" t="s">
        <v>265</v>
      </c>
      <c r="F234" s="187"/>
      <c r="G234" s="40"/>
      <c r="H234" s="40"/>
      <c r="I234" s="40"/>
      <c r="J234" s="40"/>
      <c r="K234" s="40"/>
      <c r="L234" s="40"/>
      <c r="M234" s="40"/>
      <c r="N234" s="40">
        <f>2990/1.18</f>
        <v>2533.898305084746</v>
      </c>
      <c r="O234" s="40"/>
      <c r="P234" s="189"/>
      <c r="Q234" s="112"/>
      <c r="R234" s="112"/>
      <c r="S234" s="170">
        <f t="shared" si="12"/>
        <v>225</v>
      </c>
      <c r="T234" s="112"/>
      <c r="U234" s="112"/>
      <c r="V234" s="112"/>
    </row>
    <row r="235" spans="1:22" ht="24.75" customHeight="1">
      <c r="A235" s="1"/>
      <c r="B235" s="162">
        <v>226</v>
      </c>
      <c r="C235" s="200" t="s">
        <v>284</v>
      </c>
      <c r="D235" s="202">
        <v>1</v>
      </c>
      <c r="E235" s="191" t="s">
        <v>52</v>
      </c>
      <c r="F235" s="187"/>
      <c r="G235" s="40"/>
      <c r="H235" s="40"/>
      <c r="I235" s="40"/>
      <c r="J235" s="40"/>
      <c r="K235" s="40"/>
      <c r="L235" s="40"/>
      <c r="M235" s="40"/>
      <c r="N235" s="40">
        <f>360/1.18</f>
        <v>305.08474576271186</v>
      </c>
      <c r="O235" s="40"/>
      <c r="P235" s="189"/>
      <c r="Q235" s="112"/>
      <c r="R235" s="112"/>
      <c r="S235" s="170">
        <f t="shared" si="12"/>
        <v>226</v>
      </c>
      <c r="T235" s="112"/>
      <c r="U235" s="112"/>
      <c r="V235" s="112"/>
    </row>
    <row r="236" spans="1:22" ht="24.75" customHeight="1">
      <c r="A236" s="1"/>
      <c r="B236" s="162">
        <v>227</v>
      </c>
      <c r="C236" s="200" t="s">
        <v>1284</v>
      </c>
      <c r="D236" s="202">
        <v>1</v>
      </c>
      <c r="E236" s="191" t="s">
        <v>52</v>
      </c>
      <c r="F236" s="187"/>
      <c r="G236" s="40"/>
      <c r="H236" s="40"/>
      <c r="I236" s="40"/>
      <c r="J236" s="40"/>
      <c r="K236" s="40"/>
      <c r="L236" s="40"/>
      <c r="M236" s="40"/>
      <c r="N236" s="40">
        <v>490</v>
      </c>
      <c r="O236" s="40"/>
      <c r="P236" s="189"/>
      <c r="Q236" s="112"/>
      <c r="R236" s="112"/>
      <c r="S236" s="170">
        <f t="shared" si="12"/>
        <v>227</v>
      </c>
      <c r="T236" s="112"/>
      <c r="U236" s="112"/>
      <c r="V236" s="112"/>
    </row>
    <row r="237" spans="1:22" ht="24.75" customHeight="1">
      <c r="A237" s="1"/>
      <c r="B237" s="162">
        <v>228</v>
      </c>
      <c r="C237" s="200" t="s">
        <v>1285</v>
      </c>
      <c r="D237" s="202">
        <v>1</v>
      </c>
      <c r="E237" s="191" t="s">
        <v>52</v>
      </c>
      <c r="F237" s="187"/>
      <c r="G237" s="40"/>
      <c r="H237" s="40"/>
      <c r="I237" s="40"/>
      <c r="J237" s="40"/>
      <c r="K237" s="40"/>
      <c r="L237" s="40"/>
      <c r="M237" s="40"/>
      <c r="N237" s="40">
        <v>987</v>
      </c>
      <c r="O237" s="40"/>
      <c r="P237" s="189"/>
      <c r="Q237" s="112"/>
      <c r="R237" s="112"/>
      <c r="S237" s="170">
        <f t="shared" si="12"/>
        <v>228</v>
      </c>
      <c r="T237" s="112"/>
      <c r="U237" s="112"/>
      <c r="V237" s="112"/>
    </row>
    <row r="238" spans="1:22" ht="24.75" customHeight="1">
      <c r="A238" s="1"/>
      <c r="B238" s="162">
        <v>229</v>
      </c>
      <c r="C238" s="200" t="s">
        <v>1286</v>
      </c>
      <c r="D238" s="202">
        <v>1</v>
      </c>
      <c r="E238" s="191" t="s">
        <v>52</v>
      </c>
      <c r="F238" s="187"/>
      <c r="G238" s="40"/>
      <c r="H238" s="40"/>
      <c r="I238" s="40"/>
      <c r="J238" s="40"/>
      <c r="K238" s="40"/>
      <c r="L238" s="40"/>
      <c r="M238" s="40"/>
      <c r="N238" s="40">
        <v>1695</v>
      </c>
      <c r="O238" s="40"/>
      <c r="P238" s="189"/>
      <c r="Q238" s="112"/>
      <c r="R238" s="112"/>
      <c r="S238" s="170">
        <f t="shared" si="12"/>
        <v>229</v>
      </c>
      <c r="T238" s="112"/>
      <c r="U238" s="112"/>
      <c r="V238" s="112"/>
    </row>
    <row r="239" spans="1:22" ht="24.75" customHeight="1">
      <c r="A239" s="1"/>
      <c r="B239" s="162">
        <v>230</v>
      </c>
      <c r="C239" s="200" t="s">
        <v>1287</v>
      </c>
      <c r="D239" s="202">
        <v>1</v>
      </c>
      <c r="E239" s="191" t="s">
        <v>52</v>
      </c>
      <c r="F239" s="187"/>
      <c r="G239" s="40"/>
      <c r="H239" s="40"/>
      <c r="I239" s="40"/>
      <c r="J239" s="40">
        <v>1300</v>
      </c>
      <c r="K239" s="40"/>
      <c r="L239" s="40"/>
      <c r="M239" s="40"/>
      <c r="N239" s="40">
        <v>1495</v>
      </c>
      <c r="O239" s="40"/>
      <c r="P239" s="189"/>
      <c r="Q239" s="112"/>
      <c r="R239" s="112"/>
      <c r="S239" s="170">
        <f t="shared" si="12"/>
        <v>230</v>
      </c>
      <c r="T239" s="112"/>
      <c r="U239" s="112"/>
      <c r="V239" s="112"/>
    </row>
    <row r="240" spans="1:22" ht="24.75" customHeight="1">
      <c r="A240" s="1"/>
      <c r="B240" s="162">
        <v>231</v>
      </c>
      <c r="C240" s="188" t="s">
        <v>1288</v>
      </c>
      <c r="D240" s="166">
        <v>1</v>
      </c>
      <c r="E240" s="167" t="s">
        <v>89</v>
      </c>
      <c r="F240" s="187"/>
      <c r="G240" s="32"/>
      <c r="H240" s="32"/>
      <c r="I240" s="32"/>
      <c r="J240" s="32"/>
      <c r="K240" s="32"/>
      <c r="L240" s="32"/>
      <c r="M240" s="32"/>
      <c r="N240" s="32"/>
      <c r="O240" s="32"/>
      <c r="P240" s="181"/>
      <c r="Q240" s="112"/>
      <c r="R240" s="112"/>
      <c r="S240" s="170">
        <f t="shared" si="12"/>
        <v>231</v>
      </c>
      <c r="T240" s="112"/>
      <c r="U240" s="112"/>
      <c r="V240" s="112"/>
    </row>
    <row r="241" spans="1:22" ht="27" hidden="1" customHeight="1">
      <c r="A241" s="1"/>
      <c r="B241" s="162">
        <v>232</v>
      </c>
      <c r="C241" s="261" t="s">
        <v>1289</v>
      </c>
      <c r="D241" s="166">
        <v>1</v>
      </c>
      <c r="E241" s="167" t="s">
        <v>89</v>
      </c>
      <c r="F241" s="187"/>
      <c r="G241" s="32"/>
      <c r="H241" s="32"/>
      <c r="I241" s="32"/>
      <c r="J241" s="32"/>
      <c r="K241" s="32"/>
      <c r="L241" s="32"/>
      <c r="M241" s="32"/>
      <c r="N241" s="32"/>
      <c r="O241" s="32"/>
      <c r="P241" s="181"/>
      <c r="Q241" s="112"/>
      <c r="R241" s="112"/>
      <c r="S241" s="170">
        <f t="shared" si="12"/>
        <v>232</v>
      </c>
      <c r="T241" s="1"/>
      <c r="U241" s="1"/>
      <c r="V241" s="1"/>
    </row>
    <row r="242" spans="1:22" ht="27" hidden="1" customHeight="1">
      <c r="A242" s="1"/>
      <c r="B242" s="162">
        <v>233</v>
      </c>
      <c r="C242" s="261" t="s">
        <v>1290</v>
      </c>
      <c r="D242" s="166">
        <v>1</v>
      </c>
      <c r="E242" s="167" t="s">
        <v>89</v>
      </c>
      <c r="F242" s="187"/>
      <c r="G242" s="32"/>
      <c r="H242" s="32"/>
      <c r="I242" s="32"/>
      <c r="J242" s="32"/>
      <c r="K242" s="32"/>
      <c r="L242" s="32"/>
      <c r="M242" s="32"/>
      <c r="N242" s="32"/>
      <c r="O242" s="32"/>
      <c r="P242" s="181"/>
      <c r="Q242" s="112"/>
      <c r="R242" s="112"/>
      <c r="S242" s="170">
        <f t="shared" si="12"/>
        <v>233</v>
      </c>
      <c r="T242" s="1"/>
      <c r="U242" s="1"/>
      <c r="V242" s="1"/>
    </row>
    <row r="243" spans="1:22" ht="27" hidden="1" customHeight="1">
      <c r="A243" s="1"/>
      <c r="B243" s="162">
        <v>234</v>
      </c>
      <c r="C243" s="261" t="s">
        <v>1291</v>
      </c>
      <c r="D243" s="166">
        <v>1</v>
      </c>
      <c r="E243" s="167" t="s">
        <v>89</v>
      </c>
      <c r="F243" s="187"/>
      <c r="G243" s="32"/>
      <c r="H243" s="32"/>
      <c r="I243" s="32"/>
      <c r="J243" s="32"/>
      <c r="K243" s="32"/>
      <c r="L243" s="32"/>
      <c r="M243" s="32"/>
      <c r="N243" s="32"/>
      <c r="O243" s="32"/>
      <c r="P243" s="181"/>
      <c r="Q243" s="112"/>
      <c r="R243" s="112"/>
      <c r="S243" s="170">
        <f t="shared" si="12"/>
        <v>234</v>
      </c>
      <c r="T243" s="1"/>
      <c r="U243" s="1"/>
      <c r="V243" s="1"/>
    </row>
    <row r="244" spans="1:22" ht="27" customHeight="1">
      <c r="A244" s="1"/>
      <c r="B244" s="162">
        <v>235</v>
      </c>
      <c r="C244" s="261" t="s">
        <v>1292</v>
      </c>
      <c r="D244" s="166">
        <v>1</v>
      </c>
      <c r="E244" s="167" t="s">
        <v>89</v>
      </c>
      <c r="F244" s="187"/>
      <c r="G244" s="32"/>
      <c r="H244" s="32"/>
      <c r="I244" s="32"/>
      <c r="J244" s="32"/>
      <c r="K244" s="32"/>
      <c r="L244" s="32"/>
      <c r="M244" s="32"/>
      <c r="N244" s="32"/>
      <c r="O244" s="32"/>
      <c r="P244" s="181"/>
      <c r="Q244" s="112"/>
      <c r="R244" s="112"/>
      <c r="S244" s="170">
        <f t="shared" si="12"/>
        <v>235</v>
      </c>
      <c r="T244" s="1"/>
      <c r="U244" s="1"/>
      <c r="V244" s="1"/>
    </row>
    <row r="245" spans="1:22" ht="27" customHeight="1">
      <c r="A245" s="1"/>
      <c r="B245" s="162">
        <v>236</v>
      </c>
      <c r="C245" s="261" t="s">
        <v>1293</v>
      </c>
      <c r="D245" s="166">
        <v>1</v>
      </c>
      <c r="E245" s="167" t="s">
        <v>89</v>
      </c>
      <c r="F245" s="187"/>
      <c r="G245" s="32"/>
      <c r="H245" s="32"/>
      <c r="I245" s="32"/>
      <c r="J245" s="32"/>
      <c r="K245" s="32"/>
      <c r="L245" s="32"/>
      <c r="M245" s="32"/>
      <c r="N245" s="32"/>
      <c r="O245" s="32"/>
      <c r="P245" s="181"/>
      <c r="Q245" s="112"/>
      <c r="R245" s="112"/>
      <c r="S245" s="170">
        <f t="shared" si="12"/>
        <v>236</v>
      </c>
      <c r="T245" s="1"/>
      <c r="U245" s="1"/>
      <c r="V245" s="1"/>
    </row>
    <row r="246" spans="1:22" ht="24.75" customHeight="1">
      <c r="A246" s="1"/>
      <c r="B246" s="162">
        <v>237</v>
      </c>
      <c r="C246" s="255" t="s">
        <v>1294</v>
      </c>
      <c r="D246" s="166">
        <v>1</v>
      </c>
      <c r="E246" s="167" t="s">
        <v>69</v>
      </c>
      <c r="F246" s="187"/>
      <c r="G246" s="32"/>
      <c r="H246" s="32"/>
      <c r="I246" s="32"/>
      <c r="J246" s="32"/>
      <c r="K246" s="32"/>
      <c r="L246" s="32"/>
      <c r="M246" s="32"/>
      <c r="N246" s="32"/>
      <c r="O246" s="32"/>
      <c r="P246" s="181"/>
      <c r="Q246" s="112"/>
      <c r="R246" s="112"/>
      <c r="S246" s="170">
        <f t="shared" si="12"/>
        <v>237</v>
      </c>
      <c r="T246" s="112"/>
      <c r="U246" s="112"/>
      <c r="V246" s="112"/>
    </row>
    <row r="247" spans="1:22" ht="24.75" customHeight="1">
      <c r="A247" s="1"/>
      <c r="B247" s="162">
        <v>238</v>
      </c>
      <c r="C247" s="266" t="s">
        <v>1295</v>
      </c>
      <c r="D247" s="166">
        <v>1</v>
      </c>
      <c r="E247" s="167" t="s">
        <v>69</v>
      </c>
      <c r="F247" s="187"/>
      <c r="G247" s="32"/>
      <c r="H247" s="32"/>
      <c r="I247" s="32"/>
      <c r="J247" s="32"/>
      <c r="K247" s="32"/>
      <c r="L247" s="32"/>
      <c r="M247" s="32"/>
      <c r="N247" s="32"/>
      <c r="O247" s="32"/>
      <c r="P247" s="181"/>
      <c r="Q247" s="112"/>
      <c r="R247" s="112"/>
      <c r="S247" s="170">
        <f t="shared" si="12"/>
        <v>238</v>
      </c>
      <c r="T247" s="112"/>
      <c r="U247" s="112"/>
      <c r="V247" s="112"/>
    </row>
    <row r="248" spans="1:22" ht="24.75" customHeight="1">
      <c r="A248" s="1"/>
      <c r="B248" s="162">
        <v>239</v>
      </c>
      <c r="C248" s="261" t="s">
        <v>1296</v>
      </c>
      <c r="D248" s="202">
        <v>1</v>
      </c>
      <c r="E248" s="191" t="s">
        <v>1297</v>
      </c>
      <c r="F248" s="187"/>
      <c r="G248" s="40"/>
      <c r="H248" s="40"/>
      <c r="I248" s="40"/>
      <c r="J248" s="40"/>
      <c r="K248" s="40"/>
      <c r="L248" s="40"/>
      <c r="M248" s="40"/>
      <c r="N248" s="40"/>
      <c r="O248" s="40"/>
      <c r="P248" s="189"/>
      <c r="Q248" s="112"/>
      <c r="R248" s="112"/>
      <c r="S248" s="170">
        <f t="shared" si="12"/>
        <v>239</v>
      </c>
      <c r="T248" s="112"/>
      <c r="U248" s="112"/>
      <c r="V248" s="112"/>
    </row>
    <row r="249" spans="1:22" ht="24.75" customHeight="1">
      <c r="A249" s="1"/>
      <c r="B249" s="162">
        <v>240</v>
      </c>
      <c r="C249" s="261" t="s">
        <v>1298</v>
      </c>
      <c r="D249" s="202">
        <v>1</v>
      </c>
      <c r="E249" s="191" t="s">
        <v>1297</v>
      </c>
      <c r="F249" s="187"/>
      <c r="G249" s="40"/>
      <c r="H249" s="40"/>
      <c r="I249" s="40"/>
      <c r="J249" s="40"/>
      <c r="K249" s="40"/>
      <c r="L249" s="40"/>
      <c r="M249" s="40"/>
      <c r="N249" s="40"/>
      <c r="O249" s="40"/>
      <c r="P249" s="189"/>
      <c r="Q249" s="112"/>
      <c r="R249" s="112"/>
      <c r="S249" s="170">
        <f t="shared" si="12"/>
        <v>240</v>
      </c>
      <c r="T249" s="112"/>
      <c r="U249" s="112"/>
      <c r="V249" s="112"/>
    </row>
    <row r="250" spans="1:22" ht="24.75" customHeight="1">
      <c r="A250" s="1"/>
      <c r="B250" s="162">
        <v>241</v>
      </c>
      <c r="C250" s="200" t="s">
        <v>1299</v>
      </c>
      <c r="D250" s="202">
        <v>1</v>
      </c>
      <c r="E250" s="191" t="s">
        <v>98</v>
      </c>
      <c r="F250" s="187"/>
      <c r="G250" s="40"/>
      <c r="H250" s="40"/>
      <c r="I250" s="40"/>
      <c r="J250" s="40"/>
      <c r="K250" s="40"/>
      <c r="L250" s="40"/>
      <c r="M250" s="40"/>
      <c r="N250" s="40"/>
      <c r="O250" s="40">
        <f>7200/1.18</f>
        <v>6101.6949152542375</v>
      </c>
      <c r="P250" s="189" t="s">
        <v>1300</v>
      </c>
      <c r="Q250" s="112"/>
      <c r="R250" s="112"/>
      <c r="S250" s="170"/>
      <c r="T250" s="112"/>
      <c r="U250" s="112"/>
      <c r="V250" s="112"/>
    </row>
    <row r="251" spans="1:22" ht="24.75" customHeight="1">
      <c r="A251" s="1"/>
      <c r="B251" s="162"/>
      <c r="C251" s="262" t="s">
        <v>1301</v>
      </c>
      <c r="D251" s="202">
        <v>1</v>
      </c>
      <c r="E251" s="191" t="s">
        <v>98</v>
      </c>
      <c r="F251" s="187"/>
      <c r="G251" s="40"/>
      <c r="H251" s="40"/>
      <c r="I251" s="40"/>
      <c r="J251" s="40"/>
      <c r="K251" s="40"/>
      <c r="L251" s="40"/>
      <c r="M251" s="40"/>
      <c r="N251" s="40"/>
      <c r="O251" s="40"/>
      <c r="P251" s="189"/>
      <c r="Q251" s="112"/>
      <c r="R251" s="112"/>
      <c r="S251" s="170"/>
      <c r="T251" s="112"/>
      <c r="U251" s="112"/>
      <c r="V251" s="112"/>
    </row>
    <row r="252" spans="1:22" ht="24.75" customHeight="1">
      <c r="A252" s="1"/>
      <c r="B252" s="162">
        <v>250</v>
      </c>
      <c r="C252" s="200" t="s">
        <v>107</v>
      </c>
      <c r="D252" s="202">
        <v>1</v>
      </c>
      <c r="E252" s="191" t="s">
        <v>98</v>
      </c>
      <c r="F252" s="187"/>
      <c r="G252" s="40"/>
      <c r="H252" s="40"/>
      <c r="I252" s="40"/>
      <c r="J252" s="40"/>
      <c r="K252" s="40"/>
      <c r="L252" s="40"/>
      <c r="M252" s="40"/>
      <c r="N252" s="40"/>
      <c r="O252" s="40">
        <f>225/1.18</f>
        <v>190.67796610169492</v>
      </c>
      <c r="P252" s="189" t="s">
        <v>1300</v>
      </c>
      <c r="Q252" s="112"/>
      <c r="R252" s="112"/>
      <c r="S252" s="170"/>
      <c r="T252" s="112"/>
      <c r="U252" s="112"/>
      <c r="V252" s="112"/>
    </row>
    <row r="253" spans="1:22" ht="24.75" customHeight="1">
      <c r="A253" s="1"/>
      <c r="B253" s="162">
        <v>251</v>
      </c>
      <c r="C253" s="200" t="s">
        <v>108</v>
      </c>
      <c r="D253" s="202">
        <v>1</v>
      </c>
      <c r="E253" s="191" t="s">
        <v>98</v>
      </c>
      <c r="F253" s="187"/>
      <c r="G253" s="40"/>
      <c r="H253" s="40"/>
      <c r="I253" s="40"/>
      <c r="J253" s="40"/>
      <c r="K253" s="40"/>
      <c r="L253" s="40"/>
      <c r="M253" s="40"/>
      <c r="N253" s="40"/>
      <c r="O253" s="40">
        <f>450/1.18</f>
        <v>381.35593220338984</v>
      </c>
      <c r="P253" s="189" t="s">
        <v>1300</v>
      </c>
      <c r="Q253" s="112"/>
      <c r="R253" s="112"/>
      <c r="S253" s="170"/>
      <c r="T253" s="112"/>
      <c r="U253" s="112"/>
      <c r="V253" s="112"/>
    </row>
    <row r="254" spans="1:22" ht="24.75" customHeight="1">
      <c r="A254" s="1"/>
      <c r="B254" s="162">
        <v>252</v>
      </c>
      <c r="C254" s="200" t="s">
        <v>109</v>
      </c>
      <c r="D254" s="202">
        <v>1</v>
      </c>
      <c r="E254" s="191" t="s">
        <v>98</v>
      </c>
      <c r="F254" s="187"/>
      <c r="G254" s="40"/>
      <c r="H254" s="40"/>
      <c r="I254" s="40"/>
      <c r="J254" s="40"/>
      <c r="K254" s="40"/>
      <c r="L254" s="40"/>
      <c r="M254" s="40"/>
      <c r="N254" s="40"/>
      <c r="O254" s="40">
        <f>500/1.18</f>
        <v>423.72881355932208</v>
      </c>
      <c r="P254" s="189" t="s">
        <v>1300</v>
      </c>
      <c r="Q254" s="112"/>
      <c r="R254" s="112"/>
      <c r="S254" s="170"/>
      <c r="T254" s="112"/>
      <c r="U254" s="112"/>
      <c r="V254" s="112"/>
    </row>
    <row r="255" spans="1:22" ht="27" customHeight="1">
      <c r="A255" s="1"/>
      <c r="B255" s="162">
        <v>253</v>
      </c>
      <c r="C255" s="200" t="s">
        <v>110</v>
      </c>
      <c r="D255" s="202">
        <v>1</v>
      </c>
      <c r="E255" s="191" t="s">
        <v>98</v>
      </c>
      <c r="F255" s="187"/>
      <c r="G255" s="32"/>
      <c r="H255" s="32"/>
      <c r="I255" s="32"/>
      <c r="J255" s="32"/>
      <c r="K255" s="32"/>
      <c r="L255" s="32"/>
      <c r="M255" s="32"/>
      <c r="N255" s="32"/>
      <c r="O255" s="32">
        <f>1150/1.18</f>
        <v>974.57627118644075</v>
      </c>
      <c r="P255" s="189" t="s">
        <v>1300</v>
      </c>
      <c r="Q255" s="112"/>
      <c r="R255" s="112"/>
      <c r="S255" s="170">
        <f>IF((D255)=0,"",(B249+1))</f>
        <v>241</v>
      </c>
      <c r="T255" s="1"/>
      <c r="U255" s="1"/>
      <c r="V255" s="1"/>
    </row>
    <row r="256" spans="1:22" ht="27" customHeight="1">
      <c r="A256" s="1"/>
      <c r="B256" s="162">
        <v>254</v>
      </c>
      <c r="C256" s="200" t="s">
        <v>111</v>
      </c>
      <c r="D256" s="202">
        <v>1</v>
      </c>
      <c r="E256" s="191" t="s">
        <v>98</v>
      </c>
      <c r="F256" s="187"/>
      <c r="G256" s="32"/>
      <c r="H256" s="32"/>
      <c r="I256" s="32"/>
      <c r="J256" s="32"/>
      <c r="K256" s="32"/>
      <c r="L256" s="32"/>
      <c r="M256" s="32"/>
      <c r="N256" s="32"/>
      <c r="O256" s="32">
        <f>1350/1.18</f>
        <v>1144.0677966101696</v>
      </c>
      <c r="P256" s="189" t="s">
        <v>1300</v>
      </c>
      <c r="Q256" s="112"/>
      <c r="R256" s="112"/>
      <c r="S256" s="170"/>
      <c r="T256" s="1"/>
      <c r="U256" s="1"/>
      <c r="V256" s="1"/>
    </row>
    <row r="257" spans="1:22" ht="27" customHeight="1">
      <c r="A257" s="1"/>
      <c r="B257" s="162">
        <v>255</v>
      </c>
      <c r="C257" s="200" t="s">
        <v>112</v>
      </c>
      <c r="D257" s="202">
        <v>1</v>
      </c>
      <c r="E257" s="191" t="s">
        <v>98</v>
      </c>
      <c r="F257" s="187"/>
      <c r="G257" s="32"/>
      <c r="H257" s="32"/>
      <c r="I257" s="32"/>
      <c r="J257" s="32"/>
      <c r="K257" s="32"/>
      <c r="L257" s="32"/>
      <c r="M257" s="32"/>
      <c r="N257" s="32"/>
      <c r="O257" s="32">
        <f>2800/1.18</f>
        <v>2372.8813559322034</v>
      </c>
      <c r="P257" s="189" t="s">
        <v>1300</v>
      </c>
      <c r="Q257" s="112"/>
      <c r="R257" s="112"/>
      <c r="S257" s="170"/>
      <c r="T257" s="1"/>
      <c r="U257" s="1"/>
      <c r="V257" s="1"/>
    </row>
    <row r="258" spans="1:22" ht="27" customHeight="1">
      <c r="A258" s="1"/>
      <c r="B258" s="162">
        <v>256</v>
      </c>
      <c r="C258" s="200" t="s">
        <v>113</v>
      </c>
      <c r="D258" s="202">
        <v>1</v>
      </c>
      <c r="E258" s="191" t="s">
        <v>98</v>
      </c>
      <c r="F258" s="187"/>
      <c r="G258" s="32"/>
      <c r="H258" s="32"/>
      <c r="I258" s="32"/>
      <c r="J258" s="32"/>
      <c r="K258" s="32"/>
      <c r="L258" s="32"/>
      <c r="M258" s="32"/>
      <c r="N258" s="32"/>
      <c r="O258" s="32">
        <f>1200/1.18</f>
        <v>1016.949152542373</v>
      </c>
      <c r="P258" s="189" t="s">
        <v>1300</v>
      </c>
      <c r="Q258" s="112"/>
      <c r="R258" s="112"/>
      <c r="S258" s="170"/>
      <c r="T258" s="1"/>
      <c r="U258" s="1"/>
      <c r="V258" s="1"/>
    </row>
    <row r="259" spans="1:22" ht="27" customHeight="1">
      <c r="A259" s="1"/>
      <c r="B259" s="162">
        <v>257</v>
      </c>
      <c r="C259" s="200" t="s">
        <v>114</v>
      </c>
      <c r="D259" s="202">
        <v>1</v>
      </c>
      <c r="E259" s="191" t="s">
        <v>98</v>
      </c>
      <c r="F259" s="187"/>
      <c r="G259" s="32"/>
      <c r="H259" s="32"/>
      <c r="I259" s="32"/>
      <c r="J259" s="32"/>
      <c r="K259" s="32"/>
      <c r="L259" s="32"/>
      <c r="M259" s="32"/>
      <c r="N259" s="32"/>
      <c r="O259" s="32">
        <f>1800/1.18</f>
        <v>1525.4237288135594</v>
      </c>
      <c r="P259" s="189" t="s">
        <v>1300</v>
      </c>
      <c r="Q259" s="112"/>
      <c r="R259" s="112"/>
      <c r="S259" s="170"/>
      <c r="T259" s="1"/>
      <c r="U259" s="1"/>
      <c r="V259" s="1"/>
    </row>
    <row r="260" spans="1:22" ht="27" customHeight="1">
      <c r="A260" s="1"/>
      <c r="B260" s="162">
        <v>258</v>
      </c>
      <c r="C260" s="200" t="s">
        <v>115</v>
      </c>
      <c r="D260" s="202">
        <v>1</v>
      </c>
      <c r="E260" s="191" t="s">
        <v>98</v>
      </c>
      <c r="F260" s="187"/>
      <c r="G260" s="32"/>
      <c r="H260" s="32"/>
      <c r="I260" s="32"/>
      <c r="J260" s="32"/>
      <c r="K260" s="32"/>
      <c r="L260" s="32"/>
      <c r="M260" s="32"/>
      <c r="N260" s="32"/>
      <c r="O260" s="32">
        <f>2800/1.18</f>
        <v>2372.8813559322034</v>
      </c>
      <c r="P260" s="189" t="s">
        <v>1300</v>
      </c>
      <c r="Q260" s="112"/>
      <c r="R260" s="112"/>
      <c r="S260" s="170"/>
      <c r="T260" s="1"/>
      <c r="U260" s="1"/>
      <c r="V260" s="1"/>
    </row>
    <row r="261" spans="1:22" ht="27" customHeight="1">
      <c r="A261" s="1"/>
      <c r="B261" s="162">
        <v>259</v>
      </c>
      <c r="C261" s="200" t="s">
        <v>119</v>
      </c>
      <c r="D261" s="202">
        <v>1</v>
      </c>
      <c r="E261" s="191" t="s">
        <v>98</v>
      </c>
      <c r="F261" s="187"/>
      <c r="G261" s="32"/>
      <c r="H261" s="32"/>
      <c r="I261" s="32"/>
      <c r="J261" s="32"/>
      <c r="K261" s="32"/>
      <c r="L261" s="32"/>
      <c r="M261" s="32"/>
      <c r="N261" s="32"/>
      <c r="O261" s="32">
        <f>3000/1.18</f>
        <v>2542.3728813559323</v>
      </c>
      <c r="P261" s="189" t="s">
        <v>1300</v>
      </c>
      <c r="Q261" s="112"/>
      <c r="R261" s="112"/>
      <c r="S261" s="170"/>
      <c r="T261" s="1"/>
      <c r="U261" s="1"/>
      <c r="V261" s="1"/>
    </row>
    <row r="262" spans="1:22" ht="27" customHeight="1">
      <c r="A262" s="1"/>
      <c r="B262" s="162">
        <v>260</v>
      </c>
      <c r="C262" s="200" t="s">
        <v>1302</v>
      </c>
      <c r="D262" s="202">
        <v>1</v>
      </c>
      <c r="E262" s="267" t="s">
        <v>1303</v>
      </c>
      <c r="F262" s="187"/>
      <c r="G262" s="32"/>
      <c r="H262" s="32"/>
      <c r="I262" s="32"/>
      <c r="J262" s="32"/>
      <c r="K262" s="32"/>
      <c r="L262" s="32"/>
      <c r="M262" s="32"/>
      <c r="N262" s="32"/>
      <c r="O262" s="32">
        <f>1400/1.18</f>
        <v>1186.4406779661017</v>
      </c>
      <c r="P262" s="189" t="s">
        <v>1300</v>
      </c>
      <c r="Q262" s="112"/>
      <c r="R262" s="112"/>
      <c r="S262" s="170"/>
      <c r="T262" s="1"/>
      <c r="U262" s="1"/>
      <c r="V262" s="1"/>
    </row>
    <row r="263" spans="1:22" ht="27" customHeight="1">
      <c r="A263" s="1"/>
      <c r="B263" s="162">
        <v>261</v>
      </c>
      <c r="C263" s="200" t="s">
        <v>1302</v>
      </c>
      <c r="D263" s="166">
        <v>1</v>
      </c>
      <c r="E263" s="267" t="s">
        <v>1304</v>
      </c>
      <c r="F263" s="187"/>
      <c r="G263" s="32"/>
      <c r="H263" s="32"/>
      <c r="I263" s="32"/>
      <c r="J263" s="32"/>
      <c r="K263" s="32"/>
      <c r="L263" s="32"/>
      <c r="M263" s="32"/>
      <c r="N263" s="32"/>
      <c r="O263" s="32">
        <f>160/1.18</f>
        <v>135.59322033898306</v>
      </c>
      <c r="P263" s="189" t="s">
        <v>1300</v>
      </c>
      <c r="Q263" s="112"/>
      <c r="R263" s="112"/>
      <c r="S263" s="170"/>
      <c r="T263" s="1"/>
      <c r="U263" s="1"/>
      <c r="V263" s="1"/>
    </row>
    <row r="264" spans="1:22" ht="27" customHeight="1">
      <c r="A264" s="1"/>
      <c r="B264" s="162"/>
      <c r="C264" s="262" t="s">
        <v>1305</v>
      </c>
      <c r="D264" s="202"/>
      <c r="E264" s="167"/>
      <c r="F264" s="187"/>
      <c r="G264" s="32"/>
      <c r="H264" s="32"/>
      <c r="I264" s="32"/>
      <c r="J264" s="32"/>
      <c r="K264" s="32"/>
      <c r="L264" s="32"/>
      <c r="M264" s="32"/>
      <c r="N264" s="32"/>
      <c r="O264" s="32"/>
      <c r="P264" s="189"/>
      <c r="Q264" s="112"/>
      <c r="R264" s="112"/>
      <c r="S264" s="170"/>
      <c r="T264" s="1"/>
      <c r="U264" s="1"/>
      <c r="V264" s="1"/>
    </row>
    <row r="265" spans="1:22" ht="27" customHeight="1">
      <c r="A265" s="1"/>
      <c r="B265" s="162">
        <v>262</v>
      </c>
      <c r="C265" s="200" t="s">
        <v>107</v>
      </c>
      <c r="D265" s="202">
        <v>1</v>
      </c>
      <c r="E265" s="191" t="s">
        <v>98</v>
      </c>
      <c r="F265" s="187"/>
      <c r="G265" s="32"/>
      <c r="H265" s="32"/>
      <c r="I265" s="32"/>
      <c r="J265" s="32"/>
      <c r="K265" s="32"/>
      <c r="L265" s="32"/>
      <c r="M265" s="32"/>
      <c r="N265" s="32"/>
      <c r="O265" s="32">
        <f>95/1.18</f>
        <v>80.508474576271198</v>
      </c>
      <c r="P265" s="189" t="s">
        <v>1300</v>
      </c>
      <c r="Q265" s="112"/>
      <c r="R265" s="112"/>
      <c r="S265" s="170"/>
      <c r="T265" s="1"/>
      <c r="U265" s="1"/>
      <c r="V265" s="1"/>
    </row>
    <row r="266" spans="1:22" ht="27" customHeight="1">
      <c r="A266" s="1"/>
      <c r="B266" s="162">
        <v>263</v>
      </c>
      <c r="C266" s="200" t="s">
        <v>117</v>
      </c>
      <c r="D266" s="202">
        <v>1</v>
      </c>
      <c r="E266" s="191" t="s">
        <v>98</v>
      </c>
      <c r="F266" s="187"/>
      <c r="G266" s="32"/>
      <c r="H266" s="32"/>
      <c r="I266" s="32"/>
      <c r="J266" s="32"/>
      <c r="K266" s="32"/>
      <c r="L266" s="32"/>
      <c r="M266" s="32"/>
      <c r="N266" s="32"/>
      <c r="O266" s="32">
        <f>180/1.18</f>
        <v>152.54237288135593</v>
      </c>
      <c r="P266" s="189" t="s">
        <v>1300</v>
      </c>
      <c r="Q266" s="112"/>
      <c r="R266" s="112"/>
      <c r="S266" s="170"/>
      <c r="T266" s="1"/>
      <c r="U266" s="1"/>
      <c r="V266" s="1"/>
    </row>
    <row r="267" spans="1:22" ht="27" customHeight="1">
      <c r="A267" s="1"/>
      <c r="B267" s="162">
        <v>264</v>
      </c>
      <c r="C267" s="200" t="s">
        <v>118</v>
      </c>
      <c r="D267" s="202">
        <v>1</v>
      </c>
      <c r="E267" s="191" t="s">
        <v>98</v>
      </c>
      <c r="F267" s="187"/>
      <c r="G267" s="32"/>
      <c r="H267" s="32"/>
      <c r="I267" s="32"/>
      <c r="J267" s="32"/>
      <c r="K267" s="32"/>
      <c r="L267" s="32"/>
      <c r="M267" s="32"/>
      <c r="N267" s="32"/>
      <c r="O267" s="32">
        <f>425/1.18</f>
        <v>360.16949152542372</v>
      </c>
      <c r="P267" s="189" t="s">
        <v>1300</v>
      </c>
      <c r="Q267" s="112"/>
      <c r="R267" s="112"/>
      <c r="S267" s="170"/>
      <c r="T267" s="1"/>
      <c r="U267" s="1"/>
      <c r="V267" s="1"/>
    </row>
    <row r="268" spans="1:22" ht="27" customHeight="1">
      <c r="A268" s="1"/>
      <c r="B268" s="162">
        <v>265</v>
      </c>
      <c r="C268" s="200" t="s">
        <v>110</v>
      </c>
      <c r="D268" s="202">
        <v>1</v>
      </c>
      <c r="E268" s="191" t="s">
        <v>98</v>
      </c>
      <c r="F268" s="187"/>
      <c r="G268" s="32"/>
      <c r="H268" s="32"/>
      <c r="I268" s="32"/>
      <c r="J268" s="32"/>
      <c r="K268" s="32"/>
      <c r="L268" s="32"/>
      <c r="M268" s="32"/>
      <c r="N268" s="32"/>
      <c r="O268" s="32">
        <f>700/1.18</f>
        <v>593.22033898305085</v>
      </c>
      <c r="P268" s="189" t="s">
        <v>1300</v>
      </c>
      <c r="Q268" s="112"/>
      <c r="R268" s="112"/>
      <c r="S268" s="170"/>
      <c r="T268" s="1"/>
      <c r="U268" s="1"/>
      <c r="V268" s="1"/>
    </row>
    <row r="269" spans="1:22" ht="27" customHeight="1">
      <c r="A269" s="1"/>
      <c r="B269" s="162">
        <v>266</v>
      </c>
      <c r="C269" s="200" t="s">
        <v>111</v>
      </c>
      <c r="D269" s="202">
        <v>1</v>
      </c>
      <c r="E269" s="191" t="s">
        <v>98</v>
      </c>
      <c r="F269" s="187"/>
      <c r="G269" s="32"/>
      <c r="H269" s="32"/>
      <c r="I269" s="32"/>
      <c r="J269" s="32"/>
      <c r="K269" s="32"/>
      <c r="L269" s="32"/>
      <c r="M269" s="32"/>
      <c r="N269" s="32"/>
      <c r="O269" s="32">
        <f>750/1.18</f>
        <v>635.59322033898309</v>
      </c>
      <c r="P269" s="189" t="s">
        <v>1300</v>
      </c>
      <c r="Q269" s="112"/>
      <c r="R269" s="112"/>
      <c r="S269" s="170"/>
      <c r="T269" s="1"/>
      <c r="U269" s="1"/>
      <c r="V269" s="1"/>
    </row>
    <row r="270" spans="1:22" ht="27" customHeight="1">
      <c r="A270" s="1"/>
      <c r="B270" s="162">
        <v>267</v>
      </c>
      <c r="C270" s="200" t="s">
        <v>112</v>
      </c>
      <c r="D270" s="202">
        <v>1</v>
      </c>
      <c r="E270" s="191" t="s">
        <v>98</v>
      </c>
      <c r="F270" s="187"/>
      <c r="G270" s="32"/>
      <c r="H270" s="32"/>
      <c r="I270" s="32"/>
      <c r="J270" s="32"/>
      <c r="K270" s="32"/>
      <c r="L270" s="32"/>
      <c r="M270" s="32"/>
      <c r="N270" s="32"/>
      <c r="O270" s="32">
        <f>1850/1.18</f>
        <v>1567.7966101694917</v>
      </c>
      <c r="P270" s="189" t="s">
        <v>1300</v>
      </c>
      <c r="Q270" s="112"/>
      <c r="R270" s="112"/>
      <c r="S270" s="170"/>
      <c r="T270" s="1"/>
      <c r="U270" s="1"/>
      <c r="V270" s="1"/>
    </row>
    <row r="271" spans="1:22" ht="27" customHeight="1">
      <c r="A271" s="1"/>
      <c r="B271" s="162">
        <v>268</v>
      </c>
      <c r="C271" s="200" t="s">
        <v>113</v>
      </c>
      <c r="D271" s="202">
        <v>1</v>
      </c>
      <c r="E271" s="191" t="s">
        <v>98</v>
      </c>
      <c r="F271" s="187"/>
      <c r="G271" s="32"/>
      <c r="H271" s="32"/>
      <c r="I271" s="32"/>
      <c r="J271" s="32"/>
      <c r="K271" s="32"/>
      <c r="L271" s="32"/>
      <c r="M271" s="32"/>
      <c r="N271" s="32"/>
      <c r="O271" s="32">
        <f>725/1.18</f>
        <v>614.40677966101703</v>
      </c>
      <c r="P271" s="189" t="s">
        <v>1300</v>
      </c>
      <c r="Q271" s="112"/>
      <c r="R271" s="112"/>
      <c r="S271" s="170"/>
      <c r="T271" s="1"/>
      <c r="U271" s="1"/>
      <c r="V271" s="1"/>
    </row>
    <row r="272" spans="1:22" ht="27" customHeight="1">
      <c r="A272" s="1"/>
      <c r="B272" s="162">
        <v>269</v>
      </c>
      <c r="C272" s="200" t="s">
        <v>114</v>
      </c>
      <c r="D272" s="202">
        <v>1</v>
      </c>
      <c r="E272" s="191" t="s">
        <v>98</v>
      </c>
      <c r="F272" s="187"/>
      <c r="G272" s="32"/>
      <c r="H272" s="32"/>
      <c r="I272" s="32"/>
      <c r="J272" s="32"/>
      <c r="K272" s="32"/>
      <c r="L272" s="32"/>
      <c r="M272" s="32"/>
      <c r="N272" s="32"/>
      <c r="O272" s="32">
        <f>1100/1.18</f>
        <v>932.20338983050851</v>
      </c>
      <c r="P272" s="189" t="s">
        <v>1300</v>
      </c>
      <c r="Q272" s="112"/>
      <c r="R272" s="112"/>
      <c r="S272" s="170"/>
      <c r="T272" s="1"/>
      <c r="U272" s="1"/>
      <c r="V272" s="1"/>
    </row>
    <row r="273" spans="1:22" ht="27" customHeight="1">
      <c r="A273" s="1"/>
      <c r="B273" s="162">
        <v>270</v>
      </c>
      <c r="C273" s="200" t="s">
        <v>115</v>
      </c>
      <c r="D273" s="202">
        <v>1</v>
      </c>
      <c r="E273" s="191" t="s">
        <v>98</v>
      </c>
      <c r="F273" s="187"/>
      <c r="G273" s="32"/>
      <c r="H273" s="32"/>
      <c r="I273" s="32"/>
      <c r="J273" s="32"/>
      <c r="K273" s="32"/>
      <c r="L273" s="32"/>
      <c r="M273" s="32"/>
      <c r="N273" s="32"/>
      <c r="O273" s="32">
        <f>1300/1.18</f>
        <v>1101.6949152542375</v>
      </c>
      <c r="P273" s="189" t="s">
        <v>1300</v>
      </c>
      <c r="Q273" s="112"/>
      <c r="R273" s="112"/>
      <c r="S273" s="170"/>
      <c r="T273" s="1"/>
      <c r="U273" s="1"/>
      <c r="V273" s="1"/>
    </row>
    <row r="274" spans="1:22" ht="27" customHeight="1">
      <c r="A274" s="1"/>
      <c r="B274" s="162">
        <v>271</v>
      </c>
      <c r="C274" s="200" t="s">
        <v>119</v>
      </c>
      <c r="D274" s="202">
        <v>1</v>
      </c>
      <c r="E274" s="268" t="s">
        <v>98</v>
      </c>
      <c r="F274" s="187"/>
      <c r="G274" s="32"/>
      <c r="H274" s="32"/>
      <c r="I274" s="32"/>
      <c r="J274" s="32"/>
      <c r="K274" s="32"/>
      <c r="L274" s="32"/>
      <c r="M274" s="32"/>
      <c r="N274" s="32"/>
      <c r="O274" s="32">
        <f>1850/1.18</f>
        <v>1567.7966101694917</v>
      </c>
      <c r="P274" s="189" t="s">
        <v>1300</v>
      </c>
      <c r="Q274" s="112"/>
      <c r="R274" s="112"/>
      <c r="S274" s="170"/>
      <c r="T274" s="1"/>
      <c r="U274" s="1"/>
      <c r="V274" s="1"/>
    </row>
    <row r="275" spans="1:22" ht="27" customHeight="1">
      <c r="A275" s="1"/>
      <c r="B275" s="162">
        <v>272</v>
      </c>
      <c r="C275" s="76" t="s">
        <v>120</v>
      </c>
      <c r="D275" s="166">
        <v>1</v>
      </c>
      <c r="E275" s="267" t="s">
        <v>98</v>
      </c>
      <c r="F275" s="187"/>
      <c r="G275" s="32"/>
      <c r="H275" s="32"/>
      <c r="I275" s="32"/>
      <c r="J275" s="32"/>
      <c r="K275" s="32"/>
      <c r="L275" s="32"/>
      <c r="M275" s="32"/>
      <c r="N275" s="32"/>
      <c r="O275" s="32">
        <f>2900/1.18</f>
        <v>2457.6271186440681</v>
      </c>
      <c r="P275" s="181" t="s">
        <v>1300</v>
      </c>
      <c r="Q275" s="112"/>
      <c r="R275" s="112"/>
      <c r="S275" s="170"/>
      <c r="T275" s="1"/>
      <c r="U275" s="1"/>
      <c r="V275" s="1"/>
    </row>
    <row r="276" spans="1:22" ht="15.75" customHeight="1">
      <c r="A276" s="1"/>
      <c r="B276" s="53"/>
      <c r="C276" s="1"/>
      <c r="D276" s="3"/>
      <c r="E276" s="3"/>
      <c r="F276" s="1"/>
      <c r="G276" s="1">
        <v>19910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53"/>
      <c r="C277" s="1"/>
      <c r="D277" s="3"/>
      <c r="E277" s="3"/>
      <c r="F277" s="1"/>
      <c r="G277" s="1">
        <f>+G276/20</f>
        <v>995.5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53"/>
      <c r="C278" s="1"/>
      <c r="D278" s="3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53"/>
      <c r="C279" s="1"/>
      <c r="D279" s="3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53"/>
      <c r="C280" s="1"/>
      <c r="D280" s="3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/>
    <row r="282" spans="1:22" ht="15.75" customHeight="1"/>
    <row r="283" spans="1:22" ht="15.75" customHeight="1"/>
    <row r="284" spans="1:22" ht="15.75" customHeight="1"/>
    <row r="285" spans="1:22" ht="15.75" customHeight="1"/>
    <row r="286" spans="1:22" ht="15.75" customHeight="1"/>
    <row r="287" spans="1:22" ht="15.75" customHeight="1"/>
    <row r="288" spans="1:2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rowBreaks count="1" manualBreakCount="1">
    <brk id="214" man="1"/>
  </rowBreaks>
  <colBreaks count="1" manualBreakCount="1">
    <brk id="1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/>
  </sheetViews>
  <sheetFormatPr baseColWidth="10" defaultColWidth="14.5" defaultRowHeight="15" customHeight="1"/>
  <cols>
    <col min="1" max="1" width="1.1640625" customWidth="1"/>
    <col min="2" max="2" width="8.6640625" customWidth="1"/>
    <col min="3" max="3" width="55" customWidth="1"/>
    <col min="4" max="4" width="9.83203125" customWidth="1"/>
    <col min="5" max="5" width="8.83203125" customWidth="1"/>
    <col min="6" max="6" width="8.6640625" customWidth="1"/>
    <col min="7" max="7" width="14.33203125" hidden="1" customWidth="1"/>
    <col min="8" max="14" width="8.6640625" hidden="1" customWidth="1"/>
    <col min="15" max="15" width="14.5" customWidth="1"/>
    <col min="16" max="17" width="8.6640625" customWidth="1"/>
    <col min="18" max="18" width="6.5" customWidth="1"/>
  </cols>
  <sheetData>
    <row r="1" spans="1:18" ht="25">
      <c r="A1" s="1"/>
      <c r="B1" s="2" t="s">
        <v>1306</v>
      </c>
      <c r="C1" s="1"/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6">
      <c r="A2" s="1"/>
      <c r="B2" s="53"/>
      <c r="C2" s="1"/>
      <c r="D2" s="1"/>
      <c r="E2" s="3"/>
      <c r="F2" s="3"/>
      <c r="G2" s="1"/>
      <c r="H2" s="1">
        <v>6</v>
      </c>
      <c r="I2" s="1">
        <v>7</v>
      </c>
      <c r="J2" s="1">
        <v>8</v>
      </c>
      <c r="K2" s="1">
        <v>9</v>
      </c>
      <c r="L2" s="1"/>
      <c r="M2" s="1"/>
      <c r="N2" s="1"/>
      <c r="O2" s="1"/>
      <c r="P2" s="1"/>
      <c r="Q2" s="1"/>
      <c r="R2" s="1"/>
    </row>
    <row r="3" spans="1:18" ht="33.75" customHeight="1">
      <c r="A3" s="14"/>
      <c r="B3" s="144" t="s">
        <v>1</v>
      </c>
      <c r="C3" s="269" t="s">
        <v>2</v>
      </c>
      <c r="D3" s="270"/>
      <c r="E3" s="148" t="s">
        <v>3</v>
      </c>
      <c r="F3" s="149" t="s">
        <v>4</v>
      </c>
      <c r="G3" s="150" t="s">
        <v>5</v>
      </c>
      <c r="H3" s="151">
        <v>45107</v>
      </c>
      <c r="I3" s="151">
        <v>45138</v>
      </c>
      <c r="J3" s="151">
        <v>45169</v>
      </c>
      <c r="K3" s="151">
        <v>45199</v>
      </c>
      <c r="L3" s="151">
        <v>45230</v>
      </c>
      <c r="M3" s="151">
        <v>45260</v>
      </c>
      <c r="N3" s="151">
        <v>45291</v>
      </c>
      <c r="O3" s="151">
        <v>45322</v>
      </c>
      <c r="P3" s="151">
        <v>45351</v>
      </c>
      <c r="Q3" s="14"/>
      <c r="R3" s="14"/>
    </row>
    <row r="4" spans="1:18" ht="24.75" customHeight="1">
      <c r="A4" s="1"/>
      <c r="B4" s="271"/>
      <c r="C4" s="272" t="s">
        <v>391</v>
      </c>
      <c r="D4" s="273"/>
      <c r="E4" s="274"/>
      <c r="F4" s="275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1"/>
      <c r="R4" s="1"/>
    </row>
    <row r="5" spans="1:18" ht="24.75" hidden="1" customHeight="1">
      <c r="A5" s="1"/>
      <c r="B5" s="278"/>
      <c r="C5" s="279"/>
      <c r="D5" s="60"/>
      <c r="E5" s="280"/>
      <c r="F5" s="62"/>
      <c r="G5" s="281"/>
      <c r="H5" s="282"/>
      <c r="I5" s="282"/>
      <c r="J5" s="282"/>
      <c r="K5" s="282"/>
      <c r="L5" s="282"/>
      <c r="M5" s="282"/>
      <c r="N5" s="282"/>
      <c r="O5" s="282"/>
      <c r="P5" s="282"/>
      <c r="Q5" s="1"/>
      <c r="R5" s="14"/>
    </row>
    <row r="6" spans="1:18" ht="24.75" customHeight="1">
      <c r="A6" s="1"/>
      <c r="B6" s="283">
        <v>1</v>
      </c>
      <c r="C6" s="284" t="s">
        <v>392</v>
      </c>
      <c r="D6" s="284" t="s">
        <v>1307</v>
      </c>
      <c r="E6" s="285">
        <v>1</v>
      </c>
      <c r="F6" s="286" t="s">
        <v>394</v>
      </c>
      <c r="G6" s="287"/>
      <c r="H6" s="288"/>
      <c r="I6" s="288"/>
      <c r="J6" s="288"/>
      <c r="K6" s="288"/>
      <c r="L6" s="288"/>
      <c r="M6" s="288"/>
      <c r="N6" s="288"/>
      <c r="O6" s="289">
        <f>7250/1.18</f>
        <v>6144.0677966101703</v>
      </c>
      <c r="P6" s="288"/>
      <c r="Q6" s="1"/>
      <c r="R6" s="170">
        <f t="shared" ref="R6:R7" si="0">IF((E6)=0,"",(B5+1))</f>
        <v>1</v>
      </c>
    </row>
    <row r="7" spans="1:18" ht="16">
      <c r="B7" s="283">
        <v>2</v>
      </c>
      <c r="C7" s="284" t="s">
        <v>396</v>
      </c>
      <c r="D7" s="284" t="s">
        <v>1308</v>
      </c>
      <c r="E7" s="285">
        <v>1</v>
      </c>
      <c r="F7" s="286" t="s">
        <v>394</v>
      </c>
      <c r="G7" s="287"/>
      <c r="H7" s="288"/>
      <c r="I7" s="288"/>
      <c r="J7" s="288"/>
      <c r="K7" s="288"/>
      <c r="L7" s="288"/>
      <c r="M7" s="288"/>
      <c r="N7" s="288"/>
      <c r="O7" s="289">
        <f>14490/1.18</f>
        <v>12279.661016949152</v>
      </c>
      <c r="P7" s="288"/>
      <c r="R7" s="170">
        <f t="shared" si="0"/>
        <v>2</v>
      </c>
    </row>
    <row r="8" spans="1:18" ht="16">
      <c r="B8" s="283">
        <v>3</v>
      </c>
      <c r="C8" s="284" t="s">
        <v>398</v>
      </c>
      <c r="D8" s="284" t="s">
        <v>1309</v>
      </c>
      <c r="E8" s="285">
        <v>1</v>
      </c>
      <c r="F8" s="286" t="s">
        <v>394</v>
      </c>
      <c r="G8" s="287"/>
      <c r="H8" s="288"/>
      <c r="I8" s="288"/>
      <c r="J8" s="288"/>
      <c r="K8" s="288"/>
      <c r="L8" s="288"/>
      <c r="M8" s="288"/>
      <c r="N8" s="288"/>
      <c r="O8" s="289">
        <f>19470/1.18</f>
        <v>16500</v>
      </c>
      <c r="P8" s="288"/>
      <c r="R8" s="170" t="e">
        <f>IF((E8)=0,"",(#REF!+1))</f>
        <v>#REF!</v>
      </c>
    </row>
    <row r="9" spans="1:18" ht="16">
      <c r="B9" s="283">
        <v>4</v>
      </c>
      <c r="C9" s="284" t="s">
        <v>400</v>
      </c>
      <c r="D9" s="284" t="s">
        <v>1310</v>
      </c>
      <c r="E9" s="285">
        <v>1</v>
      </c>
      <c r="F9" s="286" t="s">
        <v>394</v>
      </c>
      <c r="G9" s="287"/>
      <c r="H9" s="288"/>
      <c r="I9" s="288"/>
      <c r="J9" s="288"/>
      <c r="K9" s="288"/>
      <c r="L9" s="288"/>
      <c r="M9" s="288"/>
      <c r="N9" s="288"/>
      <c r="O9" s="289">
        <f>33720/1.18</f>
        <v>28576.271186440681</v>
      </c>
      <c r="P9" s="288"/>
      <c r="R9" s="170">
        <f t="shared" ref="R9:R12" si="1">IF((E9)=0,"",(B8+1))</f>
        <v>4</v>
      </c>
    </row>
    <row r="10" spans="1:18" ht="16">
      <c r="B10" s="283">
        <v>5</v>
      </c>
      <c r="C10" s="284" t="s">
        <v>402</v>
      </c>
      <c r="D10" s="284" t="s">
        <v>1311</v>
      </c>
      <c r="E10" s="285">
        <v>1</v>
      </c>
      <c r="F10" s="290" t="s">
        <v>394</v>
      </c>
      <c r="G10" s="287"/>
      <c r="H10" s="288"/>
      <c r="I10" s="288"/>
      <c r="J10" s="288"/>
      <c r="K10" s="288"/>
      <c r="L10" s="288"/>
      <c r="M10" s="288"/>
      <c r="N10" s="288"/>
      <c r="O10" s="289">
        <f>51240/1.18</f>
        <v>43423.728813559326</v>
      </c>
      <c r="P10" s="288"/>
      <c r="R10" s="170">
        <f t="shared" si="1"/>
        <v>5</v>
      </c>
    </row>
    <row r="11" spans="1:18" ht="16">
      <c r="B11" s="283">
        <v>6</v>
      </c>
      <c r="C11" s="284" t="s">
        <v>404</v>
      </c>
      <c r="D11" s="284" t="s">
        <v>1312</v>
      </c>
      <c r="E11" s="285">
        <v>1</v>
      </c>
      <c r="F11" s="290" t="s">
        <v>394</v>
      </c>
      <c r="G11" s="287"/>
      <c r="H11" s="288"/>
      <c r="I11" s="288"/>
      <c r="J11" s="288"/>
      <c r="K11" s="288"/>
      <c r="L11" s="288"/>
      <c r="M11" s="288"/>
      <c r="N11" s="288"/>
      <c r="O11" s="289">
        <f>86100/1.18</f>
        <v>72966.101694915254</v>
      </c>
      <c r="P11" s="288"/>
      <c r="R11" s="170">
        <f t="shared" si="1"/>
        <v>6</v>
      </c>
    </row>
    <row r="12" spans="1:18" ht="16">
      <c r="B12" s="283">
        <v>7</v>
      </c>
      <c r="C12" s="284" t="s">
        <v>406</v>
      </c>
      <c r="D12" s="284" t="s">
        <v>1313</v>
      </c>
      <c r="E12" s="285">
        <v>1</v>
      </c>
      <c r="F12" s="290" t="s">
        <v>394</v>
      </c>
      <c r="G12" s="287"/>
      <c r="H12" s="288"/>
      <c r="I12" s="288"/>
      <c r="J12" s="288"/>
      <c r="K12" s="288"/>
      <c r="L12" s="288"/>
      <c r="M12" s="288"/>
      <c r="N12" s="288"/>
      <c r="O12" s="289">
        <f>133960/1.18</f>
        <v>113525.42372881356</v>
      </c>
      <c r="P12" s="288"/>
      <c r="R12" s="170">
        <f t="shared" si="1"/>
        <v>7</v>
      </c>
    </row>
    <row r="13" spans="1:18" ht="16">
      <c r="B13" s="283">
        <v>8</v>
      </c>
      <c r="C13" s="284" t="s">
        <v>408</v>
      </c>
      <c r="D13" s="284" t="s">
        <v>1314</v>
      </c>
      <c r="E13" s="285">
        <v>1</v>
      </c>
      <c r="F13" s="290" t="s">
        <v>394</v>
      </c>
      <c r="G13" s="287"/>
      <c r="H13" s="288"/>
      <c r="I13" s="288"/>
      <c r="J13" s="288"/>
      <c r="K13" s="288"/>
      <c r="L13" s="288"/>
      <c r="M13" s="288"/>
      <c r="N13" s="288"/>
      <c r="O13" s="289">
        <f>301190/1.18</f>
        <v>255245.76271186443</v>
      </c>
      <c r="P13" s="288"/>
      <c r="R13" s="170" t="e">
        <f>IF((E13)=0,"",(#REF!+1))</f>
        <v>#REF!</v>
      </c>
    </row>
    <row r="14" spans="1:18" ht="16">
      <c r="B14" s="283">
        <v>9</v>
      </c>
      <c r="C14" s="284" t="s">
        <v>410</v>
      </c>
      <c r="D14" s="284" t="s">
        <v>1315</v>
      </c>
      <c r="E14" s="285">
        <v>1</v>
      </c>
      <c r="F14" s="290" t="s">
        <v>394</v>
      </c>
      <c r="G14" s="287"/>
      <c r="H14" s="288"/>
      <c r="I14" s="288"/>
      <c r="J14" s="288"/>
      <c r="K14" s="288"/>
      <c r="L14" s="288"/>
      <c r="M14" s="288"/>
      <c r="N14" s="288"/>
      <c r="O14" s="289">
        <f>376480/1.18</f>
        <v>319050.84745762713</v>
      </c>
      <c r="P14" s="288"/>
      <c r="R14" s="170">
        <f t="shared" ref="R14:R29" si="2">IF((E14)=0,"",(B13+1))</f>
        <v>9</v>
      </c>
    </row>
    <row r="15" spans="1:18" ht="16">
      <c r="B15" s="283">
        <v>10</v>
      </c>
      <c r="C15" s="284" t="s">
        <v>412</v>
      </c>
      <c r="D15" s="284" t="s">
        <v>1316</v>
      </c>
      <c r="E15" s="285">
        <v>1</v>
      </c>
      <c r="F15" s="290" t="s">
        <v>394</v>
      </c>
      <c r="G15" s="287"/>
      <c r="H15" s="288"/>
      <c r="I15" s="288"/>
      <c r="J15" s="288"/>
      <c r="K15" s="288"/>
      <c r="L15" s="288"/>
      <c r="M15" s="288"/>
      <c r="N15" s="288"/>
      <c r="O15" s="289">
        <f>28600/1.18</f>
        <v>24237.288135593222</v>
      </c>
      <c r="P15" s="288"/>
      <c r="R15" s="170">
        <f t="shared" si="2"/>
        <v>10</v>
      </c>
    </row>
    <row r="16" spans="1:18" ht="16">
      <c r="B16" s="283">
        <v>11</v>
      </c>
      <c r="C16" s="284" t="s">
        <v>414</v>
      </c>
      <c r="D16" s="284" t="s">
        <v>1317</v>
      </c>
      <c r="E16" s="285">
        <v>1</v>
      </c>
      <c r="F16" s="290" t="s">
        <v>394</v>
      </c>
      <c r="G16" s="287"/>
      <c r="H16" s="288"/>
      <c r="I16" s="288"/>
      <c r="J16" s="288"/>
      <c r="K16" s="288"/>
      <c r="L16" s="288"/>
      <c r="M16" s="288"/>
      <c r="N16" s="288"/>
      <c r="O16" s="289">
        <f>44950/1.18</f>
        <v>38093.220338983054</v>
      </c>
      <c r="P16" s="288"/>
      <c r="R16" s="170">
        <f t="shared" si="2"/>
        <v>11</v>
      </c>
    </row>
    <row r="17" spans="2:18" ht="16">
      <c r="B17" s="283">
        <v>12</v>
      </c>
      <c r="C17" s="284" t="s">
        <v>416</v>
      </c>
      <c r="D17" s="284" t="s">
        <v>1318</v>
      </c>
      <c r="E17" s="285">
        <v>1</v>
      </c>
      <c r="F17" s="290" t="s">
        <v>394</v>
      </c>
      <c r="G17" s="287"/>
      <c r="H17" s="288"/>
      <c r="I17" s="288"/>
      <c r="J17" s="288"/>
      <c r="K17" s="288"/>
      <c r="L17" s="288"/>
      <c r="M17" s="288"/>
      <c r="N17" s="288"/>
      <c r="O17" s="289">
        <f>69490/1.18</f>
        <v>58889.830508474581</v>
      </c>
      <c r="P17" s="288"/>
      <c r="R17" s="170">
        <f t="shared" si="2"/>
        <v>12</v>
      </c>
    </row>
    <row r="18" spans="2:18" ht="16">
      <c r="B18" s="283">
        <v>13</v>
      </c>
      <c r="C18" s="284" t="s">
        <v>418</v>
      </c>
      <c r="D18" s="284" t="s">
        <v>1319</v>
      </c>
      <c r="E18" s="285">
        <v>1</v>
      </c>
      <c r="F18" s="290" t="s">
        <v>394</v>
      </c>
      <c r="G18" s="287"/>
      <c r="H18" s="288"/>
      <c r="I18" s="288"/>
      <c r="J18" s="288"/>
      <c r="K18" s="288"/>
      <c r="L18" s="288"/>
      <c r="M18" s="288"/>
      <c r="N18" s="288"/>
      <c r="O18" s="289">
        <f>103520/1.18</f>
        <v>87728.813559322036</v>
      </c>
      <c r="P18" s="288"/>
      <c r="R18" s="170">
        <f t="shared" si="2"/>
        <v>13</v>
      </c>
    </row>
    <row r="19" spans="2:18" ht="16">
      <c r="B19" s="283">
        <v>14</v>
      </c>
      <c r="C19" s="284" t="s">
        <v>420</v>
      </c>
      <c r="D19" s="284" t="s">
        <v>1320</v>
      </c>
      <c r="E19" s="285">
        <v>1</v>
      </c>
      <c r="F19" s="290" t="s">
        <v>394</v>
      </c>
      <c r="G19" s="287"/>
      <c r="H19" s="288"/>
      <c r="I19" s="288"/>
      <c r="J19" s="288"/>
      <c r="K19" s="288"/>
      <c r="L19" s="288"/>
      <c r="M19" s="288"/>
      <c r="N19" s="288"/>
      <c r="O19" s="289">
        <f>174560/1.18</f>
        <v>147932.20338983051</v>
      </c>
      <c r="P19" s="288"/>
      <c r="R19" s="170">
        <f t="shared" si="2"/>
        <v>14</v>
      </c>
    </row>
    <row r="20" spans="2:18" ht="16">
      <c r="B20" s="283">
        <v>15</v>
      </c>
      <c r="C20" s="284" t="s">
        <v>422</v>
      </c>
      <c r="D20" s="284" t="s">
        <v>1321</v>
      </c>
      <c r="E20" s="285">
        <v>1</v>
      </c>
      <c r="F20" s="290" t="s">
        <v>394</v>
      </c>
      <c r="G20" s="287"/>
      <c r="H20" s="288"/>
      <c r="I20" s="288"/>
      <c r="J20" s="288"/>
      <c r="K20" s="288"/>
      <c r="L20" s="288"/>
      <c r="M20" s="288"/>
      <c r="N20" s="288"/>
      <c r="O20" s="289">
        <f>270070/1.18</f>
        <v>228872.88135593222</v>
      </c>
      <c r="P20" s="288"/>
      <c r="R20" s="170">
        <f t="shared" si="2"/>
        <v>15</v>
      </c>
    </row>
    <row r="21" spans="2:18" ht="15.75" customHeight="1">
      <c r="B21" s="283">
        <v>16</v>
      </c>
      <c r="C21" s="291" t="s">
        <v>424</v>
      </c>
      <c r="D21" s="291" t="s">
        <v>1322</v>
      </c>
      <c r="E21" s="285">
        <v>1</v>
      </c>
      <c r="F21" s="292" t="s">
        <v>394</v>
      </c>
      <c r="G21" s="287"/>
      <c r="H21" s="288"/>
      <c r="I21" s="288"/>
      <c r="J21" s="288"/>
      <c r="K21" s="288"/>
      <c r="L21" s="288"/>
      <c r="M21" s="288"/>
      <c r="N21" s="288"/>
      <c r="O21" s="289">
        <f>7000/1.18</f>
        <v>5932.203389830509</v>
      </c>
      <c r="P21" s="288"/>
      <c r="R21" s="170">
        <f t="shared" si="2"/>
        <v>16</v>
      </c>
    </row>
    <row r="22" spans="2:18" ht="15.75" customHeight="1">
      <c r="B22" s="283">
        <v>17</v>
      </c>
      <c r="C22" s="291" t="s">
        <v>426</v>
      </c>
      <c r="D22" s="291" t="s">
        <v>1323</v>
      </c>
      <c r="E22" s="285">
        <v>1</v>
      </c>
      <c r="F22" s="292" t="s">
        <v>394</v>
      </c>
      <c r="G22" s="287"/>
      <c r="H22" s="288"/>
      <c r="I22" s="288"/>
      <c r="J22" s="288"/>
      <c r="K22" s="288"/>
      <c r="L22" s="288"/>
      <c r="M22" s="288"/>
      <c r="N22" s="288"/>
      <c r="O22" s="289">
        <f>12550/1.18</f>
        <v>10635.593220338984</v>
      </c>
      <c r="P22" s="288"/>
      <c r="R22" s="170">
        <f t="shared" si="2"/>
        <v>17</v>
      </c>
    </row>
    <row r="23" spans="2:18" ht="15.75" customHeight="1">
      <c r="B23" s="283">
        <v>18</v>
      </c>
      <c r="C23" s="291" t="s">
        <v>428</v>
      </c>
      <c r="D23" s="291" t="s">
        <v>1324</v>
      </c>
      <c r="E23" s="285">
        <v>1</v>
      </c>
      <c r="F23" s="292" t="s">
        <v>394</v>
      </c>
      <c r="G23" s="287"/>
      <c r="H23" s="288"/>
      <c r="I23" s="288"/>
      <c r="J23" s="288"/>
      <c r="K23" s="288"/>
      <c r="L23" s="288"/>
      <c r="M23" s="288"/>
      <c r="N23" s="288"/>
      <c r="O23" s="289">
        <f>31730/1.18</f>
        <v>26889.830508474577</v>
      </c>
      <c r="P23" s="288"/>
      <c r="R23" s="170">
        <f t="shared" si="2"/>
        <v>18</v>
      </c>
    </row>
    <row r="24" spans="2:18" ht="15.75" customHeight="1">
      <c r="B24" s="283">
        <v>19</v>
      </c>
      <c r="C24" s="291" t="s">
        <v>430</v>
      </c>
      <c r="D24" s="291" t="s">
        <v>1325</v>
      </c>
      <c r="E24" s="285">
        <v>1</v>
      </c>
      <c r="F24" s="292" t="s">
        <v>394</v>
      </c>
      <c r="G24" s="287"/>
      <c r="H24" s="288"/>
      <c r="I24" s="288"/>
      <c r="J24" s="288"/>
      <c r="K24" s="288"/>
      <c r="L24" s="288"/>
      <c r="M24" s="288"/>
      <c r="N24" s="288"/>
      <c r="O24" s="289">
        <f>47870/1.18</f>
        <v>40567.796610169491</v>
      </c>
      <c r="P24" s="288"/>
      <c r="R24" s="170">
        <f t="shared" si="2"/>
        <v>19</v>
      </c>
    </row>
    <row r="25" spans="2:18" ht="15.75" customHeight="1">
      <c r="B25" s="283">
        <v>20</v>
      </c>
      <c r="C25" s="291" t="s">
        <v>432</v>
      </c>
      <c r="D25" s="291" t="s">
        <v>1326</v>
      </c>
      <c r="E25" s="285">
        <v>1</v>
      </c>
      <c r="F25" s="292" t="s">
        <v>394</v>
      </c>
      <c r="G25" s="287"/>
      <c r="H25" s="288"/>
      <c r="I25" s="288"/>
      <c r="J25" s="288"/>
      <c r="K25" s="288"/>
      <c r="L25" s="288"/>
      <c r="M25" s="288"/>
      <c r="N25" s="288"/>
      <c r="O25" s="289">
        <f>81700/1.18</f>
        <v>69237.288135593219</v>
      </c>
      <c r="P25" s="288"/>
      <c r="R25" s="170">
        <f t="shared" si="2"/>
        <v>20</v>
      </c>
    </row>
    <row r="26" spans="2:18" ht="15.75" customHeight="1">
      <c r="B26" s="283">
        <v>21</v>
      </c>
      <c r="C26" s="291" t="s">
        <v>434</v>
      </c>
      <c r="D26" s="291" t="s">
        <v>1327</v>
      </c>
      <c r="E26" s="285">
        <v>1</v>
      </c>
      <c r="F26" s="292" t="s">
        <v>394</v>
      </c>
      <c r="G26" s="287"/>
      <c r="H26" s="288"/>
      <c r="I26" s="288"/>
      <c r="J26" s="288"/>
      <c r="K26" s="288"/>
      <c r="L26" s="288"/>
      <c r="M26" s="288"/>
      <c r="N26" s="288"/>
      <c r="O26" s="289">
        <f>128200/1.18</f>
        <v>108644.06779661018</v>
      </c>
      <c r="P26" s="288"/>
      <c r="R26" s="170">
        <f t="shared" si="2"/>
        <v>21</v>
      </c>
    </row>
    <row r="27" spans="2:18" ht="15.75" customHeight="1">
      <c r="B27" s="283">
        <v>22</v>
      </c>
      <c r="C27" s="291" t="s">
        <v>436</v>
      </c>
      <c r="D27" s="291" t="s">
        <v>1328</v>
      </c>
      <c r="E27" s="285">
        <v>1</v>
      </c>
      <c r="F27" s="292" t="s">
        <v>394</v>
      </c>
      <c r="G27" s="287"/>
      <c r="H27" s="288"/>
      <c r="I27" s="288"/>
      <c r="J27" s="288"/>
      <c r="K27" s="288"/>
      <c r="L27" s="288"/>
      <c r="M27" s="288"/>
      <c r="N27" s="288"/>
      <c r="O27" s="289">
        <f>288670/1.18</f>
        <v>244635.59322033898</v>
      </c>
      <c r="P27" s="288"/>
      <c r="R27" s="170">
        <f t="shared" si="2"/>
        <v>22</v>
      </c>
    </row>
    <row r="28" spans="2:18" ht="15.75" customHeight="1">
      <c r="B28" s="283">
        <v>23</v>
      </c>
      <c r="C28" s="291" t="s">
        <v>438</v>
      </c>
      <c r="D28" s="291" t="s">
        <v>1329</v>
      </c>
      <c r="E28" s="285">
        <v>1</v>
      </c>
      <c r="F28" s="292" t="s">
        <v>394</v>
      </c>
      <c r="G28" s="287"/>
      <c r="H28" s="288"/>
      <c r="I28" s="288"/>
      <c r="J28" s="288"/>
      <c r="K28" s="288"/>
      <c r="L28" s="288"/>
      <c r="M28" s="288"/>
      <c r="N28" s="288"/>
      <c r="O28" s="289">
        <f>363970/1.18</f>
        <v>308449.15254237287</v>
      </c>
      <c r="P28" s="288"/>
      <c r="R28" s="170">
        <f t="shared" si="2"/>
        <v>23</v>
      </c>
    </row>
    <row r="29" spans="2:18" ht="15.75" customHeight="1">
      <c r="B29" s="283">
        <v>24</v>
      </c>
      <c r="C29" s="293" t="s">
        <v>440</v>
      </c>
      <c r="D29" s="284" t="s">
        <v>1330</v>
      </c>
      <c r="E29" s="285">
        <v>1</v>
      </c>
      <c r="F29" s="292" t="s">
        <v>394</v>
      </c>
      <c r="G29" s="287"/>
      <c r="H29" s="288"/>
      <c r="I29" s="288"/>
      <c r="J29" s="288"/>
      <c r="K29" s="288"/>
      <c r="L29" s="288"/>
      <c r="M29" s="288"/>
      <c r="N29" s="288"/>
      <c r="O29" s="289">
        <f>489440/1.18</f>
        <v>414779.66101694916</v>
      </c>
      <c r="P29" s="288"/>
      <c r="R29" s="170">
        <f t="shared" si="2"/>
        <v>24</v>
      </c>
    </row>
    <row r="30" spans="2:18" ht="15.75" customHeight="1">
      <c r="B30" s="283">
        <v>25</v>
      </c>
      <c r="C30" s="293" t="s">
        <v>442</v>
      </c>
      <c r="D30" s="284" t="s">
        <v>1331</v>
      </c>
      <c r="E30" s="285">
        <v>1</v>
      </c>
      <c r="F30" s="292" t="s">
        <v>394</v>
      </c>
      <c r="G30" s="287"/>
      <c r="H30" s="288"/>
      <c r="I30" s="288"/>
      <c r="J30" s="288"/>
      <c r="K30" s="288"/>
      <c r="L30" s="288"/>
      <c r="M30" s="288"/>
      <c r="N30" s="288"/>
      <c r="O30" s="289">
        <f>702750/1.18</f>
        <v>595550.84745762718</v>
      </c>
      <c r="P30" s="288"/>
      <c r="R30" s="170"/>
    </row>
    <row r="31" spans="2:18" ht="15.75" customHeight="1">
      <c r="B31" s="283">
        <v>26</v>
      </c>
      <c r="C31" s="293" t="s">
        <v>444</v>
      </c>
      <c r="D31" s="284" t="s">
        <v>1332</v>
      </c>
      <c r="E31" s="285">
        <v>1</v>
      </c>
      <c r="F31" s="292" t="s">
        <v>394</v>
      </c>
      <c r="G31" s="287"/>
      <c r="H31" s="288"/>
      <c r="I31" s="288"/>
      <c r="J31" s="288"/>
      <c r="K31" s="288"/>
      <c r="L31" s="288"/>
      <c r="M31" s="288"/>
      <c r="N31" s="288"/>
      <c r="O31" s="289">
        <f>967920/1.18</f>
        <v>820271.18644067796</v>
      </c>
      <c r="P31" s="288"/>
      <c r="R31" s="170"/>
    </row>
    <row r="32" spans="2:18" ht="15.75" customHeight="1">
      <c r="B32" s="283">
        <v>27</v>
      </c>
      <c r="C32" s="293" t="s">
        <v>446</v>
      </c>
      <c r="D32" s="284" t="s">
        <v>1333</v>
      </c>
      <c r="E32" s="285">
        <v>1</v>
      </c>
      <c r="F32" s="292" t="s">
        <v>394</v>
      </c>
      <c r="G32" s="287"/>
      <c r="H32" s="288"/>
      <c r="I32" s="288"/>
      <c r="J32" s="288"/>
      <c r="K32" s="288"/>
      <c r="L32" s="288"/>
      <c r="M32" s="288"/>
      <c r="N32" s="288"/>
      <c r="O32" s="289">
        <f>1220000/1.18</f>
        <v>1033898.3050847459</v>
      </c>
      <c r="P32" s="288"/>
      <c r="R32" s="170"/>
    </row>
    <row r="33" spans="2:18" ht="15.75" customHeight="1">
      <c r="B33" s="283">
        <v>28</v>
      </c>
      <c r="C33" s="293" t="s">
        <v>448</v>
      </c>
      <c r="D33" s="284" t="s">
        <v>1334</v>
      </c>
      <c r="E33" s="285">
        <v>1</v>
      </c>
      <c r="F33" s="292" t="s">
        <v>394</v>
      </c>
      <c r="G33" s="287"/>
      <c r="H33" s="288"/>
      <c r="I33" s="288"/>
      <c r="J33" s="288"/>
      <c r="K33" s="288"/>
      <c r="L33" s="288"/>
      <c r="M33" s="288"/>
      <c r="N33" s="288"/>
      <c r="O33" s="289">
        <f>1509000/1.18</f>
        <v>1278813.559322034</v>
      </c>
      <c r="P33" s="288"/>
      <c r="R33" s="170"/>
    </row>
    <row r="34" spans="2:18" ht="15.75" customHeight="1">
      <c r="B34" s="283">
        <v>29</v>
      </c>
      <c r="C34" s="293" t="s">
        <v>450</v>
      </c>
      <c r="D34" s="284" t="s">
        <v>451</v>
      </c>
      <c r="E34" s="285">
        <v>1</v>
      </c>
      <c r="F34" s="292" t="s">
        <v>394</v>
      </c>
      <c r="G34" s="287"/>
      <c r="H34" s="288"/>
      <c r="I34" s="288"/>
      <c r="J34" s="288"/>
      <c r="K34" s="288"/>
      <c r="L34" s="288"/>
      <c r="M34" s="288"/>
      <c r="N34" s="288"/>
      <c r="O34" s="289">
        <f>1886000/1.18</f>
        <v>1598305.0847457629</v>
      </c>
      <c r="P34" s="288"/>
      <c r="R34" s="170"/>
    </row>
    <row r="35" spans="2:18" ht="15.75" customHeight="1">
      <c r="B35" s="283">
        <v>30</v>
      </c>
      <c r="C35" s="293" t="s">
        <v>452</v>
      </c>
      <c r="D35" s="284" t="s">
        <v>1335</v>
      </c>
      <c r="E35" s="285">
        <v>1</v>
      </c>
      <c r="F35" s="292" t="s">
        <v>394</v>
      </c>
      <c r="G35" s="287"/>
      <c r="H35" s="288"/>
      <c r="I35" s="288"/>
      <c r="J35" s="288"/>
      <c r="K35" s="288"/>
      <c r="L35" s="288"/>
      <c r="M35" s="288"/>
      <c r="N35" s="288"/>
      <c r="O35" s="289">
        <f>2478000/1.18</f>
        <v>2100000</v>
      </c>
      <c r="P35" s="288"/>
      <c r="R35" s="170"/>
    </row>
    <row r="36" spans="2:18" ht="15.75" customHeight="1">
      <c r="B36" s="283">
        <v>31</v>
      </c>
      <c r="C36" s="293" t="s">
        <v>454</v>
      </c>
      <c r="D36" s="284" t="s">
        <v>1336</v>
      </c>
      <c r="E36" s="285">
        <v>1</v>
      </c>
      <c r="F36" s="292" t="s">
        <v>394</v>
      </c>
      <c r="G36" s="287"/>
      <c r="H36" s="288"/>
      <c r="I36" s="288"/>
      <c r="J36" s="288"/>
      <c r="K36" s="288"/>
      <c r="L36" s="288"/>
      <c r="M36" s="288"/>
      <c r="N36" s="288"/>
      <c r="O36" s="289">
        <f>3106000/1.18</f>
        <v>2632203.3898305087</v>
      </c>
      <c r="P36" s="288"/>
      <c r="R36" s="170"/>
    </row>
    <row r="37" spans="2:18" ht="15.75" customHeight="1">
      <c r="B37" s="283"/>
      <c r="C37" s="293"/>
      <c r="D37" s="293"/>
      <c r="E37" s="285"/>
      <c r="F37" s="292"/>
      <c r="G37" s="287"/>
      <c r="H37" s="288"/>
      <c r="I37" s="288"/>
      <c r="J37" s="288"/>
      <c r="K37" s="288"/>
      <c r="L37" s="288"/>
      <c r="M37" s="288"/>
      <c r="N37" s="288"/>
      <c r="O37" s="288"/>
      <c r="P37" s="288"/>
      <c r="R37" s="170"/>
    </row>
    <row r="38" spans="2:18" ht="15.75" customHeight="1">
      <c r="B38" s="283"/>
      <c r="C38" s="294" t="s">
        <v>456</v>
      </c>
      <c r="D38" s="284"/>
      <c r="E38" s="295"/>
      <c r="F38" s="292"/>
      <c r="G38" s="287"/>
      <c r="H38" s="288"/>
      <c r="I38" s="288"/>
      <c r="J38" s="288"/>
      <c r="K38" s="288"/>
      <c r="L38" s="288"/>
      <c r="M38" s="288"/>
      <c r="N38" s="288"/>
      <c r="O38" s="288"/>
      <c r="P38" s="288"/>
      <c r="R38" s="170" t="str">
        <f>IF((E38)=0,"",(B29+1))</f>
        <v/>
      </c>
    </row>
    <row r="39" spans="2:18" ht="15.75" customHeight="1">
      <c r="B39" s="283">
        <v>2</v>
      </c>
      <c r="C39" s="284" t="s">
        <v>457</v>
      </c>
      <c r="D39" s="284"/>
      <c r="E39" s="285">
        <v>1</v>
      </c>
      <c r="F39" s="286" t="s">
        <v>458</v>
      </c>
      <c r="G39" s="287"/>
      <c r="H39" s="288"/>
      <c r="I39" s="288"/>
      <c r="J39" s="288"/>
      <c r="K39" s="288"/>
      <c r="L39" s="288"/>
      <c r="M39" s="288"/>
      <c r="N39" s="288"/>
      <c r="O39" s="288"/>
      <c r="P39" s="288"/>
      <c r="R39" s="170">
        <f>IF((E39)=0,"",(B29+1))</f>
        <v>25</v>
      </c>
    </row>
    <row r="40" spans="2:18" ht="15.75" customHeight="1">
      <c r="B40" s="283">
        <v>28</v>
      </c>
      <c r="C40" s="284" t="s">
        <v>459</v>
      </c>
      <c r="D40" s="284"/>
      <c r="E40" s="285">
        <v>1</v>
      </c>
      <c r="F40" s="286" t="s">
        <v>458</v>
      </c>
      <c r="G40" s="287"/>
      <c r="H40" s="288"/>
      <c r="I40" s="288"/>
      <c r="J40" s="288"/>
      <c r="K40" s="288"/>
      <c r="L40" s="288"/>
      <c r="M40" s="288"/>
      <c r="N40" s="288"/>
      <c r="O40" s="288"/>
      <c r="P40" s="288"/>
      <c r="R40" s="170">
        <f t="shared" ref="R40:R95" si="3">IF((E40)=0,"",(B39+1))</f>
        <v>3</v>
      </c>
    </row>
    <row r="41" spans="2:18" ht="15.75" customHeight="1">
      <c r="B41" s="283">
        <v>29</v>
      </c>
      <c r="C41" s="284" t="s">
        <v>460</v>
      </c>
      <c r="D41" s="284"/>
      <c r="E41" s="285">
        <v>1</v>
      </c>
      <c r="F41" s="286" t="s">
        <v>458</v>
      </c>
      <c r="G41" s="287"/>
      <c r="H41" s="288"/>
      <c r="I41" s="288"/>
      <c r="J41" s="288"/>
      <c r="K41" s="288"/>
      <c r="L41" s="288"/>
      <c r="M41" s="288"/>
      <c r="N41" s="288"/>
      <c r="O41" s="288"/>
      <c r="P41" s="288"/>
      <c r="R41" s="170">
        <f t="shared" si="3"/>
        <v>29</v>
      </c>
    </row>
    <row r="42" spans="2:18" ht="15.75" customHeight="1">
      <c r="B42" s="283">
        <v>30</v>
      </c>
      <c r="C42" s="284" t="s">
        <v>461</v>
      </c>
      <c r="D42" s="284"/>
      <c r="E42" s="285">
        <v>1</v>
      </c>
      <c r="F42" s="286" t="s">
        <v>458</v>
      </c>
      <c r="G42" s="287"/>
      <c r="H42" s="288"/>
      <c r="I42" s="288"/>
      <c r="J42" s="288"/>
      <c r="K42" s="288"/>
      <c r="L42" s="288"/>
      <c r="M42" s="288"/>
      <c r="N42" s="288"/>
      <c r="O42" s="288"/>
      <c r="P42" s="288"/>
      <c r="R42" s="170">
        <f t="shared" si="3"/>
        <v>30</v>
      </c>
    </row>
    <row r="43" spans="2:18" ht="15.75" customHeight="1">
      <c r="B43" s="283">
        <v>31</v>
      </c>
      <c r="C43" s="284" t="s">
        <v>462</v>
      </c>
      <c r="D43" s="284"/>
      <c r="E43" s="285">
        <v>1</v>
      </c>
      <c r="F43" s="286" t="s">
        <v>458</v>
      </c>
      <c r="G43" s="287"/>
      <c r="H43" s="288"/>
      <c r="I43" s="288"/>
      <c r="J43" s="288"/>
      <c r="K43" s="288"/>
      <c r="L43" s="288"/>
      <c r="M43" s="288"/>
      <c r="N43" s="288"/>
      <c r="O43" s="288"/>
      <c r="P43" s="288"/>
      <c r="R43" s="170">
        <f t="shared" si="3"/>
        <v>31</v>
      </c>
    </row>
    <row r="44" spans="2:18" ht="15.75" customHeight="1">
      <c r="B44" s="283">
        <v>32</v>
      </c>
      <c r="C44" s="284" t="s">
        <v>463</v>
      </c>
      <c r="D44" s="284"/>
      <c r="E44" s="285">
        <v>1</v>
      </c>
      <c r="F44" s="286" t="s">
        <v>458</v>
      </c>
      <c r="G44" s="287"/>
      <c r="H44" s="288"/>
      <c r="I44" s="288"/>
      <c r="J44" s="288"/>
      <c r="K44" s="288"/>
      <c r="L44" s="288"/>
      <c r="M44" s="288"/>
      <c r="N44" s="288"/>
      <c r="O44" s="288"/>
      <c r="P44" s="288"/>
      <c r="R44" s="170">
        <f t="shared" si="3"/>
        <v>32</v>
      </c>
    </row>
    <row r="45" spans="2:18" ht="15.75" customHeight="1">
      <c r="B45" s="283">
        <v>33</v>
      </c>
      <c r="C45" s="284" t="s">
        <v>464</v>
      </c>
      <c r="D45" s="284"/>
      <c r="E45" s="285">
        <v>1</v>
      </c>
      <c r="F45" s="286" t="s">
        <v>458</v>
      </c>
      <c r="G45" s="287"/>
      <c r="H45" s="288"/>
      <c r="I45" s="288"/>
      <c r="J45" s="288"/>
      <c r="K45" s="288"/>
      <c r="L45" s="288"/>
      <c r="M45" s="288"/>
      <c r="N45" s="288"/>
      <c r="O45" s="288"/>
      <c r="P45" s="288"/>
      <c r="R45" s="170">
        <f t="shared" si="3"/>
        <v>33</v>
      </c>
    </row>
    <row r="46" spans="2:18" ht="15.75" customHeight="1">
      <c r="B46" s="283">
        <v>34</v>
      </c>
      <c r="C46" s="284" t="s">
        <v>465</v>
      </c>
      <c r="D46" s="284"/>
      <c r="E46" s="285">
        <v>1</v>
      </c>
      <c r="F46" s="286" t="s">
        <v>458</v>
      </c>
      <c r="G46" s="287"/>
      <c r="H46" s="288"/>
      <c r="I46" s="288"/>
      <c r="J46" s="288"/>
      <c r="K46" s="288"/>
      <c r="L46" s="288"/>
      <c r="M46" s="288"/>
      <c r="N46" s="288"/>
      <c r="O46" s="288"/>
      <c r="P46" s="288"/>
      <c r="R46" s="170">
        <f t="shared" si="3"/>
        <v>34</v>
      </c>
    </row>
    <row r="47" spans="2:18" ht="15.75" customHeight="1">
      <c r="B47" s="283">
        <v>35</v>
      </c>
      <c r="C47" s="284" t="s">
        <v>466</v>
      </c>
      <c r="D47" s="284"/>
      <c r="E47" s="285">
        <v>1</v>
      </c>
      <c r="F47" s="286" t="s">
        <v>458</v>
      </c>
      <c r="G47" s="287"/>
      <c r="H47" s="288"/>
      <c r="I47" s="288"/>
      <c r="J47" s="288"/>
      <c r="K47" s="288"/>
      <c r="L47" s="288"/>
      <c r="M47" s="288"/>
      <c r="N47" s="288"/>
      <c r="O47" s="288"/>
      <c r="P47" s="288"/>
      <c r="R47" s="170">
        <f t="shared" si="3"/>
        <v>35</v>
      </c>
    </row>
    <row r="48" spans="2:18" ht="15.75" customHeight="1">
      <c r="B48" s="283">
        <v>36</v>
      </c>
      <c r="C48" s="284" t="s">
        <v>467</v>
      </c>
      <c r="D48" s="284"/>
      <c r="E48" s="285">
        <v>1</v>
      </c>
      <c r="F48" s="286" t="s">
        <v>458</v>
      </c>
      <c r="G48" s="287"/>
      <c r="H48" s="288"/>
      <c r="I48" s="288"/>
      <c r="J48" s="288"/>
      <c r="K48" s="288"/>
      <c r="L48" s="288"/>
      <c r="M48" s="288"/>
      <c r="N48" s="288"/>
      <c r="O48" s="288"/>
      <c r="P48" s="288"/>
      <c r="R48" s="170">
        <f t="shared" si="3"/>
        <v>36</v>
      </c>
    </row>
    <row r="49" spans="2:18" ht="15.75" customHeight="1">
      <c r="B49" s="283">
        <v>37</v>
      </c>
      <c r="C49" s="284" t="s">
        <v>468</v>
      </c>
      <c r="D49" s="284"/>
      <c r="E49" s="285">
        <v>1</v>
      </c>
      <c r="F49" s="286" t="s">
        <v>458</v>
      </c>
      <c r="G49" s="287"/>
      <c r="H49" s="288"/>
      <c r="I49" s="288"/>
      <c r="J49" s="288"/>
      <c r="K49" s="288"/>
      <c r="L49" s="288"/>
      <c r="M49" s="288"/>
      <c r="N49" s="288"/>
      <c r="O49" s="288"/>
      <c r="P49" s="288"/>
      <c r="R49" s="170">
        <f t="shared" si="3"/>
        <v>37</v>
      </c>
    </row>
    <row r="50" spans="2:18" ht="15.75" customHeight="1">
      <c r="B50" s="283">
        <v>38</v>
      </c>
      <c r="C50" s="284" t="s">
        <v>469</v>
      </c>
      <c r="D50" s="284"/>
      <c r="E50" s="285">
        <v>1</v>
      </c>
      <c r="F50" s="286" t="s">
        <v>458</v>
      </c>
      <c r="G50" s="287"/>
      <c r="H50" s="288"/>
      <c r="I50" s="288"/>
      <c r="J50" s="288"/>
      <c r="K50" s="288"/>
      <c r="L50" s="288"/>
      <c r="M50" s="288"/>
      <c r="N50" s="288"/>
      <c r="O50" s="288"/>
      <c r="P50" s="288"/>
      <c r="R50" s="170">
        <f t="shared" si="3"/>
        <v>38</v>
      </c>
    </row>
    <row r="51" spans="2:18" ht="15.75" customHeight="1">
      <c r="B51" s="283">
        <v>39</v>
      </c>
      <c r="C51" s="284" t="s">
        <v>470</v>
      </c>
      <c r="D51" s="284"/>
      <c r="E51" s="285">
        <v>1</v>
      </c>
      <c r="F51" s="286" t="s">
        <v>458</v>
      </c>
      <c r="G51" s="287"/>
      <c r="H51" s="288"/>
      <c r="I51" s="288"/>
      <c r="J51" s="288"/>
      <c r="K51" s="288"/>
      <c r="L51" s="288"/>
      <c r="M51" s="288"/>
      <c r="N51" s="288"/>
      <c r="O51" s="288"/>
      <c r="P51" s="288"/>
      <c r="R51" s="170">
        <f t="shared" si="3"/>
        <v>39</v>
      </c>
    </row>
    <row r="52" spans="2:18" ht="15.75" customHeight="1">
      <c r="B52" s="283">
        <v>40</v>
      </c>
      <c r="C52" s="284" t="s">
        <v>471</v>
      </c>
      <c r="D52" s="284"/>
      <c r="E52" s="285">
        <v>1</v>
      </c>
      <c r="F52" s="286" t="s">
        <v>458</v>
      </c>
      <c r="G52" s="287"/>
      <c r="H52" s="288"/>
      <c r="I52" s="288"/>
      <c r="J52" s="288"/>
      <c r="K52" s="288"/>
      <c r="L52" s="288"/>
      <c r="M52" s="288"/>
      <c r="N52" s="288"/>
      <c r="O52" s="288"/>
      <c r="P52" s="288"/>
      <c r="R52" s="170">
        <f t="shared" si="3"/>
        <v>40</v>
      </c>
    </row>
    <row r="53" spans="2:18" ht="15.75" customHeight="1">
      <c r="B53" s="283">
        <v>41</v>
      </c>
      <c r="C53" s="284" t="s">
        <v>472</v>
      </c>
      <c r="D53" s="284"/>
      <c r="E53" s="285">
        <v>1</v>
      </c>
      <c r="F53" s="286" t="s">
        <v>458</v>
      </c>
      <c r="G53" s="287"/>
      <c r="H53" s="288"/>
      <c r="I53" s="288"/>
      <c r="J53" s="288"/>
      <c r="K53" s="288"/>
      <c r="L53" s="288"/>
      <c r="M53" s="288"/>
      <c r="N53" s="288"/>
      <c r="O53" s="288"/>
      <c r="P53" s="288"/>
      <c r="R53" s="170">
        <f t="shared" si="3"/>
        <v>41</v>
      </c>
    </row>
    <row r="54" spans="2:18" ht="15.75" customHeight="1">
      <c r="B54" s="283">
        <v>42</v>
      </c>
      <c r="C54" s="284" t="s">
        <v>473</v>
      </c>
      <c r="D54" s="284"/>
      <c r="E54" s="285">
        <v>1</v>
      </c>
      <c r="F54" s="286" t="s">
        <v>458</v>
      </c>
      <c r="G54" s="287"/>
      <c r="H54" s="288"/>
      <c r="I54" s="288"/>
      <c r="J54" s="288"/>
      <c r="K54" s="288"/>
      <c r="L54" s="288"/>
      <c r="M54" s="288"/>
      <c r="N54" s="288"/>
      <c r="O54" s="288"/>
      <c r="P54" s="288"/>
      <c r="R54" s="170">
        <f t="shared" si="3"/>
        <v>42</v>
      </c>
    </row>
    <row r="55" spans="2:18" ht="15.75" customHeight="1">
      <c r="B55" s="283">
        <v>43</v>
      </c>
      <c r="C55" s="284" t="s">
        <v>474</v>
      </c>
      <c r="D55" s="284"/>
      <c r="E55" s="285">
        <v>1</v>
      </c>
      <c r="F55" s="286" t="s">
        <v>458</v>
      </c>
      <c r="G55" s="287"/>
      <c r="H55" s="288"/>
      <c r="I55" s="288"/>
      <c r="J55" s="288"/>
      <c r="K55" s="288"/>
      <c r="L55" s="288"/>
      <c r="M55" s="288"/>
      <c r="N55" s="288"/>
      <c r="O55" s="288"/>
      <c r="P55" s="288"/>
      <c r="R55" s="170">
        <f t="shared" si="3"/>
        <v>43</v>
      </c>
    </row>
    <row r="56" spans="2:18" ht="15.75" customHeight="1">
      <c r="B56" s="283">
        <v>44</v>
      </c>
      <c r="C56" s="284" t="s">
        <v>475</v>
      </c>
      <c r="D56" s="284"/>
      <c r="E56" s="285">
        <v>1</v>
      </c>
      <c r="F56" s="286" t="s">
        <v>458</v>
      </c>
      <c r="G56" s="287"/>
      <c r="H56" s="288"/>
      <c r="I56" s="288"/>
      <c r="J56" s="288"/>
      <c r="K56" s="288"/>
      <c r="L56" s="288"/>
      <c r="M56" s="288"/>
      <c r="N56" s="288"/>
      <c r="O56" s="288"/>
      <c r="P56" s="288"/>
      <c r="R56" s="170">
        <f t="shared" si="3"/>
        <v>44</v>
      </c>
    </row>
    <row r="57" spans="2:18" ht="15.75" customHeight="1">
      <c r="B57" s="283">
        <v>45</v>
      </c>
      <c r="C57" s="284" t="s">
        <v>476</v>
      </c>
      <c r="D57" s="284"/>
      <c r="E57" s="285">
        <v>1</v>
      </c>
      <c r="F57" s="286" t="s">
        <v>458</v>
      </c>
      <c r="G57" s="287"/>
      <c r="H57" s="288"/>
      <c r="I57" s="288"/>
      <c r="J57" s="288"/>
      <c r="K57" s="288"/>
      <c r="L57" s="288"/>
      <c r="M57" s="288"/>
      <c r="N57" s="288"/>
      <c r="O57" s="288"/>
      <c r="P57" s="288"/>
      <c r="R57" s="170">
        <f t="shared" si="3"/>
        <v>45</v>
      </c>
    </row>
    <row r="58" spans="2:18" ht="15.75" customHeight="1">
      <c r="B58" s="283">
        <v>46</v>
      </c>
      <c r="C58" s="284" t="s">
        <v>477</v>
      </c>
      <c r="D58" s="284"/>
      <c r="E58" s="285">
        <v>1</v>
      </c>
      <c r="F58" s="286" t="s">
        <v>458</v>
      </c>
      <c r="G58" s="287"/>
      <c r="H58" s="288"/>
      <c r="I58" s="288"/>
      <c r="J58" s="288"/>
      <c r="K58" s="288"/>
      <c r="L58" s="288"/>
      <c r="M58" s="288"/>
      <c r="N58" s="288"/>
      <c r="O58" s="288"/>
      <c r="P58" s="288"/>
      <c r="R58" s="170">
        <f t="shared" si="3"/>
        <v>46</v>
      </c>
    </row>
    <row r="59" spans="2:18" ht="15.75" customHeight="1">
      <c r="B59" s="283">
        <v>47</v>
      </c>
      <c r="C59" s="284" t="s">
        <v>478</v>
      </c>
      <c r="D59" s="284"/>
      <c r="E59" s="285">
        <v>1</v>
      </c>
      <c r="F59" s="286" t="s">
        <v>458</v>
      </c>
      <c r="G59" s="287"/>
      <c r="H59" s="288"/>
      <c r="I59" s="288"/>
      <c r="J59" s="288"/>
      <c r="K59" s="288"/>
      <c r="L59" s="288"/>
      <c r="M59" s="288"/>
      <c r="N59" s="288"/>
      <c r="O59" s="288"/>
      <c r="P59" s="288"/>
      <c r="R59" s="170">
        <f t="shared" si="3"/>
        <v>47</v>
      </c>
    </row>
    <row r="60" spans="2:18" ht="15.75" customHeight="1">
      <c r="B60" s="283">
        <v>48</v>
      </c>
      <c r="C60" s="284" t="s">
        <v>479</v>
      </c>
      <c r="D60" s="284"/>
      <c r="E60" s="285">
        <v>1</v>
      </c>
      <c r="F60" s="286" t="s">
        <v>458</v>
      </c>
      <c r="G60" s="287"/>
      <c r="H60" s="288"/>
      <c r="I60" s="288"/>
      <c r="J60" s="288"/>
      <c r="K60" s="288"/>
      <c r="L60" s="288"/>
      <c r="M60" s="288"/>
      <c r="N60" s="288"/>
      <c r="O60" s="288"/>
      <c r="P60" s="288"/>
      <c r="R60" s="170">
        <f t="shared" si="3"/>
        <v>48</v>
      </c>
    </row>
    <row r="61" spans="2:18" ht="15.75" customHeight="1">
      <c r="B61" s="283">
        <v>49</v>
      </c>
      <c r="C61" s="284" t="s">
        <v>480</v>
      </c>
      <c r="D61" s="284"/>
      <c r="E61" s="285">
        <v>1</v>
      </c>
      <c r="F61" s="286" t="s">
        <v>458</v>
      </c>
      <c r="G61" s="287"/>
      <c r="H61" s="288"/>
      <c r="I61" s="288"/>
      <c r="J61" s="288"/>
      <c r="K61" s="288"/>
      <c r="L61" s="288"/>
      <c r="M61" s="288"/>
      <c r="N61" s="288"/>
      <c r="O61" s="288"/>
      <c r="P61" s="288"/>
      <c r="R61" s="170">
        <f t="shared" si="3"/>
        <v>49</v>
      </c>
    </row>
    <row r="62" spans="2:18" ht="15.75" customHeight="1">
      <c r="B62" s="283">
        <v>50</v>
      </c>
      <c r="C62" s="284" t="s">
        <v>481</v>
      </c>
      <c r="D62" s="284"/>
      <c r="E62" s="285">
        <v>1</v>
      </c>
      <c r="F62" s="286" t="s">
        <v>458</v>
      </c>
      <c r="G62" s="287"/>
      <c r="H62" s="288"/>
      <c r="I62" s="288"/>
      <c r="J62" s="288"/>
      <c r="K62" s="288"/>
      <c r="L62" s="288"/>
      <c r="M62" s="288"/>
      <c r="N62" s="288"/>
      <c r="O62" s="288"/>
      <c r="P62" s="288"/>
      <c r="R62" s="170">
        <f t="shared" si="3"/>
        <v>50</v>
      </c>
    </row>
    <row r="63" spans="2:18" ht="15.75" customHeight="1">
      <c r="B63" s="283">
        <v>51</v>
      </c>
      <c r="C63" s="293" t="s">
        <v>1337</v>
      </c>
      <c r="D63" s="293"/>
      <c r="E63" s="285">
        <v>1</v>
      </c>
      <c r="F63" s="286" t="s">
        <v>458</v>
      </c>
      <c r="G63" s="287"/>
      <c r="H63" s="288"/>
      <c r="I63" s="288"/>
      <c r="J63" s="288"/>
      <c r="K63" s="288"/>
      <c r="L63" s="288"/>
      <c r="M63" s="288"/>
      <c r="N63" s="288"/>
      <c r="O63" s="288"/>
      <c r="P63" s="288"/>
      <c r="R63" s="170">
        <f t="shared" si="3"/>
        <v>51</v>
      </c>
    </row>
    <row r="64" spans="2:18" ht="15.75" customHeight="1">
      <c r="B64" s="283">
        <v>52</v>
      </c>
      <c r="C64" s="293" t="s">
        <v>1338</v>
      </c>
      <c r="D64" s="293"/>
      <c r="E64" s="285">
        <v>1</v>
      </c>
      <c r="F64" s="286" t="s">
        <v>458</v>
      </c>
      <c r="G64" s="287"/>
      <c r="H64" s="288"/>
      <c r="I64" s="288"/>
      <c r="J64" s="288"/>
      <c r="K64" s="288"/>
      <c r="L64" s="288"/>
      <c r="M64" s="288"/>
      <c r="N64" s="288"/>
      <c r="O64" s="288"/>
      <c r="P64" s="288"/>
      <c r="R64" s="170">
        <f t="shared" si="3"/>
        <v>52</v>
      </c>
    </row>
    <row r="65" spans="2:18" ht="15.75" customHeight="1">
      <c r="B65" s="283">
        <v>53</v>
      </c>
      <c r="C65" s="293" t="s">
        <v>1339</v>
      </c>
      <c r="D65" s="293"/>
      <c r="E65" s="285">
        <v>1</v>
      </c>
      <c r="F65" s="286" t="s">
        <v>458</v>
      </c>
      <c r="G65" s="287"/>
      <c r="H65" s="288"/>
      <c r="I65" s="288"/>
      <c r="J65" s="288"/>
      <c r="K65" s="288"/>
      <c r="L65" s="288"/>
      <c r="M65" s="288"/>
      <c r="N65" s="288"/>
      <c r="O65" s="288"/>
      <c r="P65" s="288"/>
      <c r="R65" s="170">
        <f t="shared" si="3"/>
        <v>53</v>
      </c>
    </row>
    <row r="66" spans="2:18" ht="15.75" customHeight="1">
      <c r="B66" s="283">
        <v>54</v>
      </c>
      <c r="C66" s="284" t="s">
        <v>1340</v>
      </c>
      <c r="D66" s="284"/>
      <c r="E66" s="285">
        <v>1</v>
      </c>
      <c r="F66" s="286" t="s">
        <v>458</v>
      </c>
      <c r="G66" s="287"/>
      <c r="H66" s="288"/>
      <c r="I66" s="288"/>
      <c r="J66" s="288"/>
      <c r="K66" s="288"/>
      <c r="L66" s="288"/>
      <c r="M66" s="288"/>
      <c r="N66" s="288"/>
      <c r="O66" s="288"/>
      <c r="P66" s="288"/>
      <c r="R66" s="170">
        <f t="shared" si="3"/>
        <v>54</v>
      </c>
    </row>
    <row r="67" spans="2:18" ht="15.75" customHeight="1">
      <c r="B67" s="283">
        <v>55</v>
      </c>
      <c r="C67" s="284" t="s">
        <v>1341</v>
      </c>
      <c r="D67" s="284"/>
      <c r="E67" s="285">
        <v>1</v>
      </c>
      <c r="F67" s="286" t="s">
        <v>458</v>
      </c>
      <c r="G67" s="287"/>
      <c r="H67" s="288"/>
      <c r="I67" s="288"/>
      <c r="J67" s="288"/>
      <c r="K67" s="288"/>
      <c r="L67" s="288"/>
      <c r="M67" s="288"/>
      <c r="N67" s="288"/>
      <c r="O67" s="288"/>
      <c r="P67" s="288"/>
      <c r="R67" s="170">
        <f t="shared" si="3"/>
        <v>55</v>
      </c>
    </row>
    <row r="68" spans="2:18" ht="15.75" customHeight="1">
      <c r="B68" s="283">
        <v>56</v>
      </c>
      <c r="C68" s="284" t="s">
        <v>1342</v>
      </c>
      <c r="D68" s="284"/>
      <c r="E68" s="285">
        <v>1</v>
      </c>
      <c r="F68" s="286" t="s">
        <v>458</v>
      </c>
      <c r="G68" s="287"/>
      <c r="H68" s="288"/>
      <c r="I68" s="288"/>
      <c r="J68" s="288"/>
      <c r="K68" s="288"/>
      <c r="L68" s="288"/>
      <c r="M68" s="288"/>
      <c r="N68" s="288"/>
      <c r="O68" s="288"/>
      <c r="P68" s="288"/>
      <c r="R68" s="170">
        <f t="shared" si="3"/>
        <v>56</v>
      </c>
    </row>
    <row r="69" spans="2:18" ht="15.75" customHeight="1">
      <c r="B69" s="283">
        <v>57</v>
      </c>
      <c r="C69" s="284" t="s">
        <v>1343</v>
      </c>
      <c r="D69" s="284"/>
      <c r="E69" s="285">
        <v>1</v>
      </c>
      <c r="F69" s="286" t="s">
        <v>458</v>
      </c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R69" s="170">
        <f t="shared" si="3"/>
        <v>57</v>
      </c>
    </row>
    <row r="70" spans="2:18" ht="15.75" customHeight="1">
      <c r="B70" s="283">
        <v>58</v>
      </c>
      <c r="C70" s="284" t="s">
        <v>1344</v>
      </c>
      <c r="D70" s="284"/>
      <c r="E70" s="285">
        <v>1</v>
      </c>
      <c r="F70" s="286" t="s">
        <v>458</v>
      </c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R70" s="170">
        <f t="shared" si="3"/>
        <v>58</v>
      </c>
    </row>
    <row r="71" spans="2:18" ht="15.75" customHeight="1">
      <c r="B71" s="283">
        <v>59</v>
      </c>
      <c r="C71" s="284" t="s">
        <v>1345</v>
      </c>
      <c r="D71" s="284"/>
      <c r="E71" s="285">
        <v>1</v>
      </c>
      <c r="F71" s="286" t="s">
        <v>458</v>
      </c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R71" s="170">
        <f t="shared" si="3"/>
        <v>59</v>
      </c>
    </row>
    <row r="72" spans="2:18" ht="15.75" customHeight="1">
      <c r="B72" s="283">
        <v>60</v>
      </c>
      <c r="C72" s="284" t="s">
        <v>1346</v>
      </c>
      <c r="D72" s="284"/>
      <c r="E72" s="285">
        <v>1</v>
      </c>
      <c r="F72" s="286" t="s">
        <v>458</v>
      </c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R72" s="170">
        <f t="shared" si="3"/>
        <v>60</v>
      </c>
    </row>
    <row r="73" spans="2:18" ht="15.75" customHeight="1">
      <c r="B73" s="283">
        <v>61</v>
      </c>
      <c r="C73" s="284" t="s">
        <v>1347</v>
      </c>
      <c r="D73" s="284"/>
      <c r="E73" s="285">
        <v>1</v>
      </c>
      <c r="F73" s="286" t="s">
        <v>458</v>
      </c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R73" s="170">
        <f t="shared" si="3"/>
        <v>61</v>
      </c>
    </row>
    <row r="74" spans="2:18" ht="15.75" customHeight="1">
      <c r="B74" s="283">
        <v>62</v>
      </c>
      <c r="C74" s="284" t="s">
        <v>1348</v>
      </c>
      <c r="D74" s="284"/>
      <c r="E74" s="285">
        <v>1</v>
      </c>
      <c r="F74" s="286" t="s">
        <v>458</v>
      </c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R74" s="170">
        <f t="shared" si="3"/>
        <v>62</v>
      </c>
    </row>
    <row r="75" spans="2:18" ht="15.75" customHeight="1">
      <c r="B75" s="283">
        <v>63</v>
      </c>
      <c r="C75" s="284" t="s">
        <v>1349</v>
      </c>
      <c r="D75" s="284"/>
      <c r="E75" s="285">
        <v>1</v>
      </c>
      <c r="F75" s="286" t="s">
        <v>458</v>
      </c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R75" s="170">
        <f t="shared" si="3"/>
        <v>63</v>
      </c>
    </row>
    <row r="76" spans="2:18" ht="15.75" customHeight="1">
      <c r="B76" s="283">
        <v>64</v>
      </c>
      <c r="C76" s="284" t="s">
        <v>1350</v>
      </c>
      <c r="D76" s="284"/>
      <c r="E76" s="285">
        <v>1</v>
      </c>
      <c r="F76" s="286" t="s">
        <v>458</v>
      </c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R76" s="170">
        <f t="shared" si="3"/>
        <v>64</v>
      </c>
    </row>
    <row r="77" spans="2:18" ht="15.75" customHeight="1">
      <c r="B77" s="283">
        <v>65</v>
      </c>
      <c r="C77" s="284" t="s">
        <v>1351</v>
      </c>
      <c r="D77" s="284"/>
      <c r="E77" s="285">
        <v>1</v>
      </c>
      <c r="F77" s="286" t="s">
        <v>458</v>
      </c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R77" s="170">
        <f t="shared" si="3"/>
        <v>65</v>
      </c>
    </row>
    <row r="78" spans="2:18" ht="15.75" customHeight="1">
      <c r="B78" s="283">
        <v>66</v>
      </c>
      <c r="C78" s="284" t="s">
        <v>526</v>
      </c>
      <c r="D78" s="284"/>
      <c r="E78" s="285">
        <v>1</v>
      </c>
      <c r="F78" s="286" t="s">
        <v>458</v>
      </c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R78" s="170">
        <f t="shared" si="3"/>
        <v>66</v>
      </c>
    </row>
    <row r="79" spans="2:18" ht="15.75" customHeight="1">
      <c r="B79" s="283">
        <v>67</v>
      </c>
      <c r="C79" s="284" t="s">
        <v>1352</v>
      </c>
      <c r="D79" s="284"/>
      <c r="E79" s="285">
        <v>1</v>
      </c>
      <c r="F79" s="286" t="s">
        <v>458</v>
      </c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R79" s="170">
        <f t="shared" si="3"/>
        <v>67</v>
      </c>
    </row>
    <row r="80" spans="2:18" ht="15.75" customHeight="1">
      <c r="B80" s="283">
        <v>68</v>
      </c>
      <c r="C80" s="284" t="s">
        <v>1353</v>
      </c>
      <c r="D80" s="284"/>
      <c r="E80" s="285">
        <v>1</v>
      </c>
      <c r="F80" s="286" t="s">
        <v>458</v>
      </c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R80" s="170">
        <f t="shared" si="3"/>
        <v>68</v>
      </c>
    </row>
    <row r="81" spans="2:18" ht="15.75" customHeight="1">
      <c r="B81" s="283">
        <v>69</v>
      </c>
      <c r="C81" s="284" t="s">
        <v>1354</v>
      </c>
      <c r="D81" s="284"/>
      <c r="E81" s="285">
        <v>1</v>
      </c>
      <c r="F81" s="286" t="s">
        <v>458</v>
      </c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R81" s="170">
        <f t="shared" si="3"/>
        <v>69</v>
      </c>
    </row>
    <row r="82" spans="2:18" ht="15.75" customHeight="1">
      <c r="B82" s="283">
        <v>70</v>
      </c>
      <c r="C82" s="284" t="s">
        <v>527</v>
      </c>
      <c r="D82" s="284"/>
      <c r="E82" s="285">
        <v>1</v>
      </c>
      <c r="F82" s="286" t="s">
        <v>458</v>
      </c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R82" s="170">
        <f t="shared" si="3"/>
        <v>70</v>
      </c>
    </row>
    <row r="83" spans="2:18" ht="15.75" customHeight="1">
      <c r="B83" s="283">
        <v>71</v>
      </c>
      <c r="C83" s="284" t="s">
        <v>528</v>
      </c>
      <c r="D83" s="284"/>
      <c r="E83" s="285">
        <v>1</v>
      </c>
      <c r="F83" s="286" t="s">
        <v>458</v>
      </c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R83" s="170">
        <f t="shared" si="3"/>
        <v>71</v>
      </c>
    </row>
    <row r="84" spans="2:18" ht="15.75" customHeight="1">
      <c r="B84" s="283">
        <v>72</v>
      </c>
      <c r="C84" s="284" t="s">
        <v>529</v>
      </c>
      <c r="D84" s="284"/>
      <c r="E84" s="285">
        <v>1</v>
      </c>
      <c r="F84" s="286" t="s">
        <v>458</v>
      </c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R84" s="170">
        <f t="shared" si="3"/>
        <v>72</v>
      </c>
    </row>
    <row r="85" spans="2:18" ht="15.75" customHeight="1">
      <c r="B85" s="283">
        <v>73</v>
      </c>
      <c r="C85" s="284" t="s">
        <v>530</v>
      </c>
      <c r="D85" s="284"/>
      <c r="E85" s="285">
        <v>1</v>
      </c>
      <c r="F85" s="286" t="s">
        <v>458</v>
      </c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R85" s="170">
        <f t="shared" si="3"/>
        <v>73</v>
      </c>
    </row>
    <row r="86" spans="2:18" ht="15.75" customHeight="1">
      <c r="B86" s="283">
        <v>74</v>
      </c>
      <c r="C86" s="284" t="s">
        <v>531</v>
      </c>
      <c r="D86" s="284"/>
      <c r="E86" s="285">
        <v>1</v>
      </c>
      <c r="F86" s="286" t="s">
        <v>458</v>
      </c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R86" s="170">
        <f t="shared" si="3"/>
        <v>74</v>
      </c>
    </row>
    <row r="87" spans="2:18" ht="15.75" customHeight="1">
      <c r="B87" s="283">
        <v>75</v>
      </c>
      <c r="C87" s="284" t="s">
        <v>532</v>
      </c>
      <c r="D87" s="284"/>
      <c r="E87" s="285">
        <v>1</v>
      </c>
      <c r="F87" s="286" t="s">
        <v>458</v>
      </c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R87" s="170">
        <f t="shared" si="3"/>
        <v>75</v>
      </c>
    </row>
    <row r="88" spans="2:18" ht="15.75" customHeight="1">
      <c r="B88" s="283">
        <v>76</v>
      </c>
      <c r="C88" s="284" t="s">
        <v>533</v>
      </c>
      <c r="D88" s="284"/>
      <c r="E88" s="285">
        <v>1</v>
      </c>
      <c r="F88" s="286" t="s">
        <v>458</v>
      </c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R88" s="170">
        <f t="shared" si="3"/>
        <v>76</v>
      </c>
    </row>
    <row r="89" spans="2:18" ht="15.75" customHeight="1">
      <c r="B89" s="283">
        <v>77</v>
      </c>
      <c r="C89" s="284" t="s">
        <v>534</v>
      </c>
      <c r="D89" s="284"/>
      <c r="E89" s="285">
        <v>1</v>
      </c>
      <c r="F89" s="286" t="s">
        <v>458</v>
      </c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R89" s="170">
        <f t="shared" si="3"/>
        <v>77</v>
      </c>
    </row>
    <row r="90" spans="2:18" ht="15.75" customHeight="1">
      <c r="B90" s="283">
        <v>78</v>
      </c>
      <c r="C90" s="284" t="s">
        <v>535</v>
      </c>
      <c r="D90" s="284"/>
      <c r="E90" s="285">
        <v>1</v>
      </c>
      <c r="F90" s="286" t="s">
        <v>458</v>
      </c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R90" s="170">
        <f t="shared" si="3"/>
        <v>78</v>
      </c>
    </row>
    <row r="91" spans="2:18" ht="15.75" customHeight="1">
      <c r="B91" s="283">
        <v>79</v>
      </c>
      <c r="C91" s="284" t="s">
        <v>536</v>
      </c>
      <c r="D91" s="284"/>
      <c r="E91" s="285">
        <v>1</v>
      </c>
      <c r="F91" s="286" t="s">
        <v>458</v>
      </c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R91" s="170">
        <f t="shared" si="3"/>
        <v>79</v>
      </c>
    </row>
    <row r="92" spans="2:18" ht="15.75" customHeight="1">
      <c r="B92" s="283">
        <v>80</v>
      </c>
      <c r="C92" s="284" t="s">
        <v>537</v>
      </c>
      <c r="D92" s="284"/>
      <c r="E92" s="285">
        <v>1</v>
      </c>
      <c r="F92" s="286" t="s">
        <v>458</v>
      </c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R92" s="170">
        <f t="shared" si="3"/>
        <v>80</v>
      </c>
    </row>
    <row r="93" spans="2:18" ht="15.75" customHeight="1">
      <c r="B93" s="283">
        <v>81</v>
      </c>
      <c r="C93" s="284" t="s">
        <v>538</v>
      </c>
      <c r="D93" s="284"/>
      <c r="E93" s="285">
        <v>1</v>
      </c>
      <c r="F93" s="286" t="s">
        <v>458</v>
      </c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R93" s="170">
        <f t="shared" si="3"/>
        <v>81</v>
      </c>
    </row>
    <row r="94" spans="2:18" ht="15.75" customHeight="1">
      <c r="B94" s="283"/>
      <c r="C94" s="297"/>
      <c r="D94" s="297"/>
      <c r="E94" s="295"/>
      <c r="F94" s="297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R94" s="170" t="str">
        <f t="shared" si="3"/>
        <v/>
      </c>
    </row>
    <row r="95" spans="2:18" ht="15.75" customHeight="1">
      <c r="B95" s="283"/>
      <c r="C95" s="294" t="s">
        <v>539</v>
      </c>
      <c r="D95" s="284"/>
      <c r="E95" s="295"/>
      <c r="F95" s="292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R95" s="170" t="str">
        <f t="shared" si="3"/>
        <v/>
      </c>
    </row>
    <row r="96" spans="2:18" ht="15.75" customHeight="1">
      <c r="B96" s="283">
        <v>82</v>
      </c>
      <c r="C96" s="284" t="s">
        <v>1355</v>
      </c>
      <c r="D96" s="284"/>
      <c r="E96" s="285">
        <v>1</v>
      </c>
      <c r="F96" s="290" t="s">
        <v>458</v>
      </c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R96" s="170">
        <f>IF((E96)=0,"",(B93+1))</f>
        <v>82</v>
      </c>
    </row>
    <row r="97" spans="2:18" ht="15.75" customHeight="1">
      <c r="B97" s="283">
        <v>83</v>
      </c>
      <c r="C97" s="284" t="s">
        <v>1356</v>
      </c>
      <c r="D97" s="284"/>
      <c r="E97" s="285">
        <v>1</v>
      </c>
      <c r="F97" s="290" t="s">
        <v>458</v>
      </c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R97" s="170">
        <f t="shared" ref="R97:R108" si="4">IF((E97)=0,"",(B96+1))</f>
        <v>83</v>
      </c>
    </row>
    <row r="98" spans="2:18" ht="15.75" customHeight="1">
      <c r="B98" s="283">
        <v>84</v>
      </c>
      <c r="C98" s="284" t="s">
        <v>1357</v>
      </c>
      <c r="D98" s="284"/>
      <c r="E98" s="285">
        <v>1</v>
      </c>
      <c r="F98" s="290" t="s">
        <v>458</v>
      </c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R98" s="170">
        <f t="shared" si="4"/>
        <v>84</v>
      </c>
    </row>
    <row r="99" spans="2:18" ht="15.75" customHeight="1">
      <c r="B99" s="283">
        <v>85</v>
      </c>
      <c r="C99" s="284" t="s">
        <v>1358</v>
      </c>
      <c r="D99" s="284"/>
      <c r="E99" s="285">
        <v>1</v>
      </c>
      <c r="F99" s="290" t="s">
        <v>458</v>
      </c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R99" s="170">
        <f t="shared" si="4"/>
        <v>85</v>
      </c>
    </row>
    <row r="100" spans="2:18" ht="15.75" customHeight="1">
      <c r="B100" s="283">
        <v>86</v>
      </c>
      <c r="C100" s="284" t="s">
        <v>1359</v>
      </c>
      <c r="D100" s="284"/>
      <c r="E100" s="285">
        <v>1</v>
      </c>
      <c r="F100" s="290" t="s">
        <v>458</v>
      </c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R100" s="170">
        <f t="shared" si="4"/>
        <v>86</v>
      </c>
    </row>
    <row r="101" spans="2:18" ht="15.75" customHeight="1">
      <c r="B101" s="283">
        <v>87</v>
      </c>
      <c r="C101" s="293" t="s">
        <v>1360</v>
      </c>
      <c r="D101" s="293"/>
      <c r="E101" s="285">
        <v>1</v>
      </c>
      <c r="F101" s="290" t="s">
        <v>458</v>
      </c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R101" s="170">
        <f t="shared" si="4"/>
        <v>87</v>
      </c>
    </row>
    <row r="102" spans="2:18" ht="15.75" customHeight="1">
      <c r="B102" s="283">
        <v>88</v>
      </c>
      <c r="C102" s="284" t="s">
        <v>1361</v>
      </c>
      <c r="D102" s="284"/>
      <c r="E102" s="285">
        <v>1</v>
      </c>
      <c r="F102" s="290" t="s">
        <v>458</v>
      </c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R102" s="170">
        <f t="shared" si="4"/>
        <v>88</v>
      </c>
    </row>
    <row r="103" spans="2:18" ht="15.75" customHeight="1">
      <c r="B103" s="283">
        <v>89</v>
      </c>
      <c r="C103" s="284" t="s">
        <v>1362</v>
      </c>
      <c r="D103" s="284"/>
      <c r="E103" s="285">
        <v>1</v>
      </c>
      <c r="F103" s="290" t="s">
        <v>458</v>
      </c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R103" s="170">
        <f t="shared" si="4"/>
        <v>89</v>
      </c>
    </row>
    <row r="104" spans="2:18" ht="15.75" customHeight="1">
      <c r="B104" s="283">
        <v>90</v>
      </c>
      <c r="C104" s="284" t="s">
        <v>1363</v>
      </c>
      <c r="D104" s="284"/>
      <c r="E104" s="285">
        <v>1</v>
      </c>
      <c r="F104" s="290" t="s">
        <v>458</v>
      </c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R104" s="170">
        <f t="shared" si="4"/>
        <v>90</v>
      </c>
    </row>
    <row r="105" spans="2:18" ht="15.75" customHeight="1">
      <c r="B105" s="283">
        <v>91</v>
      </c>
      <c r="C105" s="293" t="s">
        <v>1364</v>
      </c>
      <c r="D105" s="293"/>
      <c r="E105" s="285">
        <v>1</v>
      </c>
      <c r="F105" s="290" t="s">
        <v>458</v>
      </c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R105" s="170">
        <f t="shared" si="4"/>
        <v>91</v>
      </c>
    </row>
    <row r="106" spans="2:18" ht="15.75" customHeight="1">
      <c r="B106" s="283">
        <v>92</v>
      </c>
      <c r="C106" s="284" t="s">
        <v>1365</v>
      </c>
      <c r="D106" s="284"/>
      <c r="E106" s="285">
        <v>1</v>
      </c>
      <c r="F106" s="290" t="s">
        <v>458</v>
      </c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R106" s="170">
        <f t="shared" si="4"/>
        <v>92</v>
      </c>
    </row>
    <row r="107" spans="2:18" ht="15.75" customHeight="1">
      <c r="B107" s="283">
        <v>93</v>
      </c>
      <c r="C107" s="284" t="s">
        <v>1366</v>
      </c>
      <c r="D107" s="284"/>
      <c r="E107" s="285">
        <v>1</v>
      </c>
      <c r="F107" s="286" t="s">
        <v>458</v>
      </c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R107" s="170">
        <f t="shared" si="4"/>
        <v>93</v>
      </c>
    </row>
    <row r="108" spans="2:18" ht="15.75" customHeight="1">
      <c r="B108" s="283">
        <v>94</v>
      </c>
      <c r="C108" s="284" t="s">
        <v>1367</v>
      </c>
      <c r="D108" s="284"/>
      <c r="E108" s="285">
        <v>1</v>
      </c>
      <c r="F108" s="286" t="s">
        <v>458</v>
      </c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R108" s="170">
        <f t="shared" si="4"/>
        <v>94</v>
      </c>
    </row>
    <row r="109" spans="2:18" ht="15.75" customHeight="1">
      <c r="B109" s="283"/>
      <c r="C109" s="284"/>
      <c r="D109" s="284"/>
      <c r="E109" s="285"/>
      <c r="F109" s="28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R109" s="170"/>
    </row>
    <row r="110" spans="2:18" ht="15.75" customHeight="1">
      <c r="B110" s="283"/>
      <c r="C110" s="294" t="s">
        <v>576</v>
      </c>
      <c r="D110" s="284"/>
      <c r="E110" s="285"/>
      <c r="F110" s="297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R110" s="170" t="str">
        <f>IF((E110)=0,"",(B108+1))</f>
        <v/>
      </c>
    </row>
    <row r="111" spans="2:18" ht="15.75" customHeight="1">
      <c r="B111" s="283"/>
      <c r="C111" s="298" t="s">
        <v>577</v>
      </c>
      <c r="D111" s="298"/>
      <c r="E111" s="285"/>
      <c r="F111" s="297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R111" s="170" t="str">
        <f>IF((E111)=0,"",(B110+1))</f>
        <v/>
      </c>
    </row>
    <row r="112" spans="2:18" ht="15.75" customHeight="1">
      <c r="B112" s="283">
        <v>95</v>
      </c>
      <c r="C112" s="293" t="s">
        <v>578</v>
      </c>
      <c r="D112" s="293"/>
      <c r="E112" s="285">
        <v>1</v>
      </c>
      <c r="F112" s="286" t="s">
        <v>458</v>
      </c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R112" s="170">
        <f>IF((E112)=0,"",(B108+1))</f>
        <v>95</v>
      </c>
    </row>
    <row r="113" spans="2:18" ht="15.75" customHeight="1">
      <c r="B113" s="283">
        <v>96</v>
      </c>
      <c r="C113" s="293" t="s">
        <v>579</v>
      </c>
      <c r="D113" s="293"/>
      <c r="E113" s="285">
        <v>1</v>
      </c>
      <c r="F113" s="286" t="s">
        <v>458</v>
      </c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R113" s="170">
        <f t="shared" ref="R113:R142" si="5">IF((E113)=0,"",(B112+1))</f>
        <v>96</v>
      </c>
    </row>
    <row r="114" spans="2:18" ht="15" customHeight="1">
      <c r="B114" s="283">
        <v>97</v>
      </c>
      <c r="C114" s="293" t="s">
        <v>580</v>
      </c>
      <c r="D114" s="293"/>
      <c r="E114" s="285">
        <v>1</v>
      </c>
      <c r="F114" s="286" t="s">
        <v>458</v>
      </c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R114" s="170">
        <f t="shared" si="5"/>
        <v>97</v>
      </c>
    </row>
    <row r="115" spans="2:18" ht="15" customHeight="1">
      <c r="B115" s="283">
        <v>98</v>
      </c>
      <c r="C115" s="293" t="s">
        <v>581</v>
      </c>
      <c r="D115" s="293"/>
      <c r="E115" s="285">
        <v>1</v>
      </c>
      <c r="F115" s="286" t="s">
        <v>458</v>
      </c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R115" s="170">
        <f t="shared" si="5"/>
        <v>98</v>
      </c>
    </row>
    <row r="116" spans="2:18" ht="24.75" customHeight="1">
      <c r="B116" s="283">
        <v>99</v>
      </c>
      <c r="C116" s="293" t="s">
        <v>582</v>
      </c>
      <c r="D116" s="293"/>
      <c r="E116" s="285">
        <v>1</v>
      </c>
      <c r="F116" s="286" t="s">
        <v>458</v>
      </c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R116" s="170">
        <f t="shared" si="5"/>
        <v>99</v>
      </c>
    </row>
    <row r="117" spans="2:18" ht="15" customHeight="1">
      <c r="B117" s="283">
        <v>100</v>
      </c>
      <c r="C117" s="293" t="s">
        <v>583</v>
      </c>
      <c r="D117" s="293"/>
      <c r="E117" s="285">
        <v>1</v>
      </c>
      <c r="F117" s="286" t="s">
        <v>458</v>
      </c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R117" s="170">
        <f t="shared" si="5"/>
        <v>100</v>
      </c>
    </row>
    <row r="118" spans="2:18" ht="15.75" customHeight="1">
      <c r="B118" s="283">
        <v>101</v>
      </c>
      <c r="C118" s="293" t="s">
        <v>584</v>
      </c>
      <c r="D118" s="293"/>
      <c r="E118" s="285">
        <v>1</v>
      </c>
      <c r="F118" s="286" t="s">
        <v>458</v>
      </c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R118" s="170">
        <f t="shared" si="5"/>
        <v>101</v>
      </c>
    </row>
    <row r="119" spans="2:18" ht="15" customHeight="1">
      <c r="B119" s="283">
        <v>102</v>
      </c>
      <c r="C119" s="293" t="s">
        <v>585</v>
      </c>
      <c r="D119" s="293"/>
      <c r="E119" s="285">
        <v>1</v>
      </c>
      <c r="F119" s="286" t="s">
        <v>458</v>
      </c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R119" s="170">
        <f t="shared" si="5"/>
        <v>102</v>
      </c>
    </row>
    <row r="120" spans="2:18" ht="15" customHeight="1">
      <c r="B120" s="283">
        <v>103</v>
      </c>
      <c r="C120" s="293" t="s">
        <v>586</v>
      </c>
      <c r="D120" s="293"/>
      <c r="E120" s="285">
        <v>1</v>
      </c>
      <c r="F120" s="286" t="s">
        <v>458</v>
      </c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R120" s="170">
        <f t="shared" si="5"/>
        <v>103</v>
      </c>
    </row>
    <row r="121" spans="2:18" ht="15" customHeight="1">
      <c r="B121" s="283">
        <v>104</v>
      </c>
      <c r="C121" s="293" t="s">
        <v>587</v>
      </c>
      <c r="D121" s="293"/>
      <c r="E121" s="285">
        <v>1</v>
      </c>
      <c r="F121" s="286" t="s">
        <v>458</v>
      </c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R121" s="170">
        <f t="shared" si="5"/>
        <v>104</v>
      </c>
    </row>
    <row r="122" spans="2:18" ht="15" customHeight="1">
      <c r="B122" s="283">
        <v>105</v>
      </c>
      <c r="C122" s="293" t="s">
        <v>588</v>
      </c>
      <c r="D122" s="293"/>
      <c r="E122" s="285">
        <v>1</v>
      </c>
      <c r="F122" s="286" t="s">
        <v>458</v>
      </c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R122" s="170">
        <f t="shared" si="5"/>
        <v>105</v>
      </c>
    </row>
    <row r="123" spans="2:18" ht="15" customHeight="1">
      <c r="B123" s="283">
        <v>106</v>
      </c>
      <c r="C123" s="293" t="s">
        <v>589</v>
      </c>
      <c r="D123" s="293"/>
      <c r="E123" s="285">
        <v>1</v>
      </c>
      <c r="F123" s="286" t="s">
        <v>458</v>
      </c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R123" s="170">
        <f t="shared" si="5"/>
        <v>106</v>
      </c>
    </row>
    <row r="124" spans="2:18" ht="15" customHeight="1">
      <c r="B124" s="283">
        <v>107</v>
      </c>
      <c r="C124" s="293" t="s">
        <v>590</v>
      </c>
      <c r="D124" s="293"/>
      <c r="E124" s="285">
        <v>1</v>
      </c>
      <c r="F124" s="286" t="s">
        <v>458</v>
      </c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R124" s="170">
        <f t="shared" si="5"/>
        <v>107</v>
      </c>
    </row>
    <row r="125" spans="2:18" ht="15" customHeight="1">
      <c r="B125" s="283">
        <v>108</v>
      </c>
      <c r="C125" s="293" t="s">
        <v>591</v>
      </c>
      <c r="D125" s="293"/>
      <c r="E125" s="285">
        <v>1</v>
      </c>
      <c r="F125" s="286" t="s">
        <v>458</v>
      </c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R125" s="170">
        <f t="shared" si="5"/>
        <v>108</v>
      </c>
    </row>
    <row r="126" spans="2:18" ht="15" customHeight="1">
      <c r="B126" s="283">
        <v>109</v>
      </c>
      <c r="C126" s="293" t="s">
        <v>592</v>
      </c>
      <c r="D126" s="293"/>
      <c r="E126" s="285">
        <v>1</v>
      </c>
      <c r="F126" s="286" t="s">
        <v>458</v>
      </c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R126" s="170">
        <f t="shared" si="5"/>
        <v>109</v>
      </c>
    </row>
    <row r="127" spans="2:18" ht="15" customHeight="1">
      <c r="B127" s="283">
        <v>110</v>
      </c>
      <c r="C127" s="293" t="s">
        <v>593</v>
      </c>
      <c r="D127" s="293"/>
      <c r="E127" s="285">
        <v>1</v>
      </c>
      <c r="F127" s="286" t="s">
        <v>458</v>
      </c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R127" s="170">
        <f t="shared" si="5"/>
        <v>110</v>
      </c>
    </row>
    <row r="128" spans="2:18" ht="15" customHeight="1">
      <c r="B128" s="283">
        <v>111</v>
      </c>
      <c r="C128" s="293" t="s">
        <v>594</v>
      </c>
      <c r="D128" s="293"/>
      <c r="E128" s="285">
        <v>1</v>
      </c>
      <c r="F128" s="286" t="s">
        <v>458</v>
      </c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R128" s="170">
        <f t="shared" si="5"/>
        <v>111</v>
      </c>
    </row>
    <row r="129" spans="2:18" ht="15" customHeight="1">
      <c r="B129" s="283">
        <v>112</v>
      </c>
      <c r="C129" s="293" t="s">
        <v>595</v>
      </c>
      <c r="D129" s="293"/>
      <c r="E129" s="285">
        <v>1</v>
      </c>
      <c r="F129" s="286" t="s">
        <v>458</v>
      </c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R129" s="170">
        <f t="shared" si="5"/>
        <v>112</v>
      </c>
    </row>
    <row r="130" spans="2:18" ht="15" customHeight="1">
      <c r="B130" s="283">
        <v>113</v>
      </c>
      <c r="C130" s="293" t="s">
        <v>596</v>
      </c>
      <c r="D130" s="293"/>
      <c r="E130" s="285">
        <v>1</v>
      </c>
      <c r="F130" s="286" t="s">
        <v>458</v>
      </c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R130" s="170">
        <f t="shared" si="5"/>
        <v>113</v>
      </c>
    </row>
    <row r="131" spans="2:18" ht="15.75" customHeight="1">
      <c r="B131" s="283">
        <v>114</v>
      </c>
      <c r="C131" s="293" t="s">
        <v>597</v>
      </c>
      <c r="D131" s="293"/>
      <c r="E131" s="285">
        <v>1</v>
      </c>
      <c r="F131" s="286" t="s">
        <v>458</v>
      </c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R131" s="170">
        <f t="shared" si="5"/>
        <v>114</v>
      </c>
    </row>
    <row r="132" spans="2:18" ht="15.75" customHeight="1">
      <c r="B132" s="283">
        <v>115</v>
      </c>
      <c r="C132" s="293" t="s">
        <v>598</v>
      </c>
      <c r="D132" s="293"/>
      <c r="E132" s="285">
        <v>1</v>
      </c>
      <c r="F132" s="286" t="s">
        <v>458</v>
      </c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R132" s="170">
        <f t="shared" si="5"/>
        <v>115</v>
      </c>
    </row>
    <row r="133" spans="2:18" ht="15.75" customHeight="1">
      <c r="B133" s="283">
        <v>116</v>
      </c>
      <c r="C133" s="293" t="s">
        <v>599</v>
      </c>
      <c r="D133" s="293"/>
      <c r="E133" s="285">
        <v>1</v>
      </c>
      <c r="F133" s="286" t="s">
        <v>458</v>
      </c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R133" s="170">
        <f t="shared" si="5"/>
        <v>116</v>
      </c>
    </row>
    <row r="134" spans="2:18" ht="15.75" customHeight="1">
      <c r="B134" s="283">
        <v>117</v>
      </c>
      <c r="C134" s="293" t="s">
        <v>600</v>
      </c>
      <c r="D134" s="293"/>
      <c r="E134" s="285">
        <v>1</v>
      </c>
      <c r="F134" s="286" t="s">
        <v>458</v>
      </c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R134" s="170">
        <f t="shared" si="5"/>
        <v>117</v>
      </c>
    </row>
    <row r="135" spans="2:18" ht="15" customHeight="1">
      <c r="B135" s="283">
        <v>118</v>
      </c>
      <c r="C135" s="293" t="s">
        <v>601</v>
      </c>
      <c r="D135" s="293"/>
      <c r="E135" s="285">
        <v>1</v>
      </c>
      <c r="F135" s="286" t="s">
        <v>458</v>
      </c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R135" s="170">
        <f t="shared" si="5"/>
        <v>118</v>
      </c>
    </row>
    <row r="136" spans="2:18" ht="15" customHeight="1">
      <c r="B136" s="283">
        <v>119</v>
      </c>
      <c r="C136" s="293" t="s">
        <v>602</v>
      </c>
      <c r="D136" s="293"/>
      <c r="E136" s="285">
        <v>1</v>
      </c>
      <c r="F136" s="286" t="s">
        <v>458</v>
      </c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R136" s="170">
        <f t="shared" si="5"/>
        <v>119</v>
      </c>
    </row>
    <row r="137" spans="2:18" ht="15" customHeight="1">
      <c r="B137" s="283">
        <v>120</v>
      </c>
      <c r="C137" s="293" t="s">
        <v>603</v>
      </c>
      <c r="D137" s="293"/>
      <c r="E137" s="285">
        <v>1</v>
      </c>
      <c r="F137" s="286" t="s">
        <v>458</v>
      </c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R137" s="170">
        <f t="shared" si="5"/>
        <v>120</v>
      </c>
    </row>
    <row r="138" spans="2:18" ht="15" customHeight="1">
      <c r="B138" s="283">
        <v>121</v>
      </c>
      <c r="C138" s="293" t="s">
        <v>604</v>
      </c>
      <c r="D138" s="293"/>
      <c r="E138" s="285">
        <v>1</v>
      </c>
      <c r="F138" s="286" t="s">
        <v>458</v>
      </c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R138" s="170">
        <f t="shared" si="5"/>
        <v>121</v>
      </c>
    </row>
    <row r="139" spans="2:18" ht="15.75" customHeight="1">
      <c r="B139" s="283">
        <v>122</v>
      </c>
      <c r="C139" s="293" t="s">
        <v>605</v>
      </c>
      <c r="D139" s="293"/>
      <c r="E139" s="285">
        <v>1</v>
      </c>
      <c r="F139" s="286" t="s">
        <v>458</v>
      </c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R139" s="170">
        <f t="shared" si="5"/>
        <v>122</v>
      </c>
    </row>
    <row r="140" spans="2:18" ht="15.75" customHeight="1">
      <c r="B140" s="283">
        <v>123</v>
      </c>
      <c r="C140" s="284" t="s">
        <v>606</v>
      </c>
      <c r="D140" s="284"/>
      <c r="E140" s="285">
        <v>1</v>
      </c>
      <c r="F140" s="286" t="s">
        <v>458</v>
      </c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R140" s="170">
        <f t="shared" si="5"/>
        <v>123</v>
      </c>
    </row>
    <row r="141" spans="2:18" ht="15.75" customHeight="1">
      <c r="B141" s="283">
        <v>124</v>
      </c>
      <c r="C141" s="293" t="s">
        <v>607</v>
      </c>
      <c r="D141" s="293"/>
      <c r="E141" s="285">
        <v>1</v>
      </c>
      <c r="F141" s="286" t="s">
        <v>458</v>
      </c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R141" s="170">
        <f t="shared" si="5"/>
        <v>124</v>
      </c>
    </row>
    <row r="142" spans="2:18" ht="15.75" customHeight="1">
      <c r="B142" s="283">
        <v>125</v>
      </c>
      <c r="C142" s="293" t="s">
        <v>608</v>
      </c>
      <c r="D142" s="293"/>
      <c r="E142" s="285">
        <v>1</v>
      </c>
      <c r="F142" s="286" t="s">
        <v>458</v>
      </c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R142" s="170">
        <f t="shared" si="5"/>
        <v>125</v>
      </c>
    </row>
    <row r="143" spans="2:18" ht="15.75" customHeight="1">
      <c r="B143" s="283"/>
      <c r="C143" s="293"/>
      <c r="D143" s="293"/>
      <c r="E143" s="285"/>
      <c r="F143" s="28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R143" s="170"/>
    </row>
    <row r="144" spans="2:18" ht="15.75" customHeight="1">
      <c r="B144" s="283"/>
      <c r="C144" s="294" t="s">
        <v>609</v>
      </c>
      <c r="D144" s="284"/>
      <c r="E144" s="285"/>
      <c r="F144" s="297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R144" s="170" t="str">
        <f>IF((E144)=0,"",(B142+1))</f>
        <v/>
      </c>
    </row>
    <row r="145" spans="2:18" ht="15.75" customHeight="1">
      <c r="B145" s="283">
        <v>126</v>
      </c>
      <c r="C145" s="284" t="s">
        <v>1368</v>
      </c>
      <c r="D145" s="284"/>
      <c r="E145" s="285">
        <v>1</v>
      </c>
      <c r="F145" s="286" t="s">
        <v>458</v>
      </c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R145" s="170">
        <f>IF((E145)=0,"",(B142+1))</f>
        <v>126</v>
      </c>
    </row>
    <row r="146" spans="2:18" ht="15.75" customHeight="1">
      <c r="B146" s="283">
        <v>127</v>
      </c>
      <c r="C146" s="293" t="s">
        <v>613</v>
      </c>
      <c r="D146" s="293"/>
      <c r="E146" s="285">
        <v>1</v>
      </c>
      <c r="F146" s="286" t="s">
        <v>458</v>
      </c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R146" s="170">
        <f t="shared" ref="R146:R152" si="6">IF((E146)=0,"",(B145+1))</f>
        <v>127</v>
      </c>
    </row>
    <row r="147" spans="2:18" ht="15.75" customHeight="1">
      <c r="B147" s="283">
        <v>128</v>
      </c>
      <c r="C147" s="284" t="s">
        <v>614</v>
      </c>
      <c r="D147" s="284"/>
      <c r="E147" s="285">
        <v>1</v>
      </c>
      <c r="F147" s="286" t="s">
        <v>458</v>
      </c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R147" s="170">
        <f t="shared" si="6"/>
        <v>128</v>
      </c>
    </row>
    <row r="148" spans="2:18" ht="15.75" customHeight="1">
      <c r="B148" s="283">
        <v>129</v>
      </c>
      <c r="C148" s="293" t="s">
        <v>615</v>
      </c>
      <c r="D148" s="293"/>
      <c r="E148" s="285">
        <v>1</v>
      </c>
      <c r="F148" s="290" t="s">
        <v>458</v>
      </c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R148" s="170">
        <f t="shared" si="6"/>
        <v>129</v>
      </c>
    </row>
    <row r="149" spans="2:18" ht="15.75" customHeight="1">
      <c r="B149" s="283">
        <v>130</v>
      </c>
      <c r="C149" s="293" t="s">
        <v>616</v>
      </c>
      <c r="D149" s="293"/>
      <c r="E149" s="285">
        <v>1</v>
      </c>
      <c r="F149" s="290" t="s">
        <v>458</v>
      </c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R149" s="170">
        <f t="shared" si="6"/>
        <v>130</v>
      </c>
    </row>
    <row r="150" spans="2:18" ht="15.75" customHeight="1">
      <c r="B150" s="283">
        <v>131</v>
      </c>
      <c r="C150" s="284" t="s">
        <v>617</v>
      </c>
      <c r="D150" s="284"/>
      <c r="E150" s="285">
        <v>1</v>
      </c>
      <c r="F150" s="290" t="s">
        <v>458</v>
      </c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R150" s="170">
        <f t="shared" si="6"/>
        <v>131</v>
      </c>
    </row>
    <row r="151" spans="2:18" ht="15.75" customHeight="1">
      <c r="B151" s="283"/>
      <c r="C151" s="294"/>
      <c r="D151" s="284"/>
      <c r="E151" s="290"/>
      <c r="F151" s="297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R151" s="170" t="str">
        <f t="shared" si="6"/>
        <v/>
      </c>
    </row>
    <row r="152" spans="2:18" ht="15.75" customHeight="1">
      <c r="B152" s="283"/>
      <c r="C152" s="294" t="s">
        <v>618</v>
      </c>
      <c r="D152" s="284"/>
      <c r="E152" s="290"/>
      <c r="F152" s="297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R152" s="170" t="str">
        <f t="shared" si="6"/>
        <v/>
      </c>
    </row>
    <row r="153" spans="2:18" ht="15.75" customHeight="1">
      <c r="B153" s="283">
        <v>132</v>
      </c>
      <c r="C153" s="284" t="s">
        <v>619</v>
      </c>
      <c r="D153" s="284"/>
      <c r="E153" s="285">
        <v>1</v>
      </c>
      <c r="F153" s="286" t="s">
        <v>620</v>
      </c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R153" s="170">
        <f>IF((E153)=0,"",(B150+1))</f>
        <v>132</v>
      </c>
    </row>
    <row r="154" spans="2:18" ht="15.75" customHeight="1">
      <c r="B154" s="283">
        <v>133</v>
      </c>
      <c r="C154" s="284" t="s">
        <v>621</v>
      </c>
      <c r="D154" s="284"/>
      <c r="E154" s="285">
        <v>1</v>
      </c>
      <c r="F154" s="286" t="s">
        <v>620</v>
      </c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R154" s="170">
        <f t="shared" ref="R154:R176" si="7">IF((E154)=0,"",(B153+1))</f>
        <v>133</v>
      </c>
    </row>
    <row r="155" spans="2:18" ht="15.75" customHeight="1">
      <c r="B155" s="283">
        <v>134</v>
      </c>
      <c r="C155" s="284" t="s">
        <v>622</v>
      </c>
      <c r="D155" s="284"/>
      <c r="E155" s="285">
        <v>1</v>
      </c>
      <c r="F155" s="286" t="s">
        <v>620</v>
      </c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R155" s="170">
        <f t="shared" si="7"/>
        <v>134</v>
      </c>
    </row>
    <row r="156" spans="2:18" ht="15.75" customHeight="1">
      <c r="B156" s="283">
        <v>135</v>
      </c>
      <c r="C156" s="284" t="s">
        <v>623</v>
      </c>
      <c r="D156" s="284"/>
      <c r="E156" s="285">
        <v>1</v>
      </c>
      <c r="F156" s="286" t="s">
        <v>620</v>
      </c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R156" s="170">
        <f t="shared" si="7"/>
        <v>135</v>
      </c>
    </row>
    <row r="157" spans="2:18" ht="15.75" customHeight="1">
      <c r="B157" s="283">
        <v>136</v>
      </c>
      <c r="C157" s="284" t="s">
        <v>624</v>
      </c>
      <c r="D157" s="284"/>
      <c r="E157" s="285">
        <v>1</v>
      </c>
      <c r="F157" s="286" t="s">
        <v>620</v>
      </c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R157" s="170">
        <f t="shared" si="7"/>
        <v>136</v>
      </c>
    </row>
    <row r="158" spans="2:18" ht="15.75" customHeight="1">
      <c r="B158" s="283">
        <v>137</v>
      </c>
      <c r="C158" s="284" t="s">
        <v>625</v>
      </c>
      <c r="D158" s="284"/>
      <c r="E158" s="285">
        <v>1</v>
      </c>
      <c r="F158" s="286" t="s">
        <v>458</v>
      </c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R158" s="170">
        <f t="shared" si="7"/>
        <v>137</v>
      </c>
    </row>
    <row r="159" spans="2:18" ht="15.75" customHeight="1">
      <c r="B159" s="283">
        <v>138</v>
      </c>
      <c r="C159" s="284" t="s">
        <v>626</v>
      </c>
      <c r="D159" s="284"/>
      <c r="E159" s="285">
        <v>1</v>
      </c>
      <c r="F159" s="290" t="s">
        <v>458</v>
      </c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R159" s="170">
        <f t="shared" si="7"/>
        <v>138</v>
      </c>
    </row>
    <row r="160" spans="2:18" ht="15.75" customHeight="1">
      <c r="B160" s="283">
        <v>139</v>
      </c>
      <c r="C160" s="284" t="s">
        <v>627</v>
      </c>
      <c r="D160" s="284"/>
      <c r="E160" s="285">
        <v>1</v>
      </c>
      <c r="F160" s="290" t="s">
        <v>458</v>
      </c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R160" s="170">
        <f t="shared" si="7"/>
        <v>139</v>
      </c>
    </row>
    <row r="161" spans="2:18" ht="15.75" customHeight="1">
      <c r="B161" s="283">
        <v>140</v>
      </c>
      <c r="C161" s="284" t="s">
        <v>628</v>
      </c>
      <c r="D161" s="284"/>
      <c r="E161" s="285">
        <v>1</v>
      </c>
      <c r="F161" s="290" t="s">
        <v>458</v>
      </c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R161" s="170">
        <f t="shared" si="7"/>
        <v>140</v>
      </c>
    </row>
    <row r="162" spans="2:18" ht="15.75" customHeight="1">
      <c r="B162" s="283">
        <v>141</v>
      </c>
      <c r="C162" s="284" t="s">
        <v>629</v>
      </c>
      <c r="D162" s="284"/>
      <c r="E162" s="285">
        <v>1</v>
      </c>
      <c r="F162" s="290" t="s">
        <v>458</v>
      </c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R162" s="170">
        <f t="shared" si="7"/>
        <v>141</v>
      </c>
    </row>
    <row r="163" spans="2:18" ht="15.75" customHeight="1">
      <c r="B163" s="283">
        <v>142</v>
      </c>
      <c r="C163" s="284" t="s">
        <v>630</v>
      </c>
      <c r="D163" s="284"/>
      <c r="E163" s="285">
        <v>1</v>
      </c>
      <c r="F163" s="290" t="s">
        <v>458</v>
      </c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R163" s="170">
        <f t="shared" si="7"/>
        <v>142</v>
      </c>
    </row>
    <row r="164" spans="2:18" ht="15.75" customHeight="1">
      <c r="B164" s="283">
        <v>143</v>
      </c>
      <c r="C164" s="284" t="s">
        <v>631</v>
      </c>
      <c r="D164" s="284"/>
      <c r="E164" s="285">
        <v>1</v>
      </c>
      <c r="F164" s="290" t="s">
        <v>458</v>
      </c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R164" s="170">
        <f t="shared" si="7"/>
        <v>143</v>
      </c>
    </row>
    <row r="165" spans="2:18" ht="15.75" customHeight="1">
      <c r="B165" s="283">
        <v>144</v>
      </c>
      <c r="C165" s="284" t="s">
        <v>632</v>
      </c>
      <c r="D165" s="284"/>
      <c r="E165" s="285">
        <v>1</v>
      </c>
      <c r="F165" s="290" t="s">
        <v>458</v>
      </c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R165" s="170">
        <f t="shared" si="7"/>
        <v>144</v>
      </c>
    </row>
    <row r="166" spans="2:18" ht="15.75" customHeight="1">
      <c r="B166" s="283">
        <v>145</v>
      </c>
      <c r="C166" s="284" t="s">
        <v>633</v>
      </c>
      <c r="D166" s="284"/>
      <c r="E166" s="285">
        <v>1</v>
      </c>
      <c r="F166" s="290" t="s">
        <v>458</v>
      </c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R166" s="170">
        <f t="shared" si="7"/>
        <v>145</v>
      </c>
    </row>
    <row r="167" spans="2:18" ht="15.75" customHeight="1">
      <c r="B167" s="283">
        <v>146</v>
      </c>
      <c r="C167" s="284" t="s">
        <v>634</v>
      </c>
      <c r="D167" s="284"/>
      <c r="E167" s="285">
        <v>1</v>
      </c>
      <c r="F167" s="290" t="s">
        <v>458</v>
      </c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R167" s="170">
        <f t="shared" si="7"/>
        <v>146</v>
      </c>
    </row>
    <row r="168" spans="2:18" ht="15.75" customHeight="1">
      <c r="B168" s="283">
        <v>147</v>
      </c>
      <c r="C168" s="284" t="s">
        <v>635</v>
      </c>
      <c r="D168" s="284"/>
      <c r="E168" s="285">
        <v>1</v>
      </c>
      <c r="F168" s="290" t="s">
        <v>458</v>
      </c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R168" s="170">
        <f t="shared" si="7"/>
        <v>147</v>
      </c>
    </row>
    <row r="169" spans="2:18" ht="15.75" customHeight="1">
      <c r="B169" s="283">
        <v>148</v>
      </c>
      <c r="C169" s="284" t="s">
        <v>636</v>
      </c>
      <c r="D169" s="284"/>
      <c r="E169" s="285">
        <v>1</v>
      </c>
      <c r="F169" s="290" t="s">
        <v>458</v>
      </c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R169" s="170">
        <f t="shared" si="7"/>
        <v>148</v>
      </c>
    </row>
    <row r="170" spans="2:18" ht="15.75" customHeight="1">
      <c r="B170" s="283">
        <v>149</v>
      </c>
      <c r="C170" s="284" t="s">
        <v>637</v>
      </c>
      <c r="D170" s="284"/>
      <c r="E170" s="285">
        <v>1</v>
      </c>
      <c r="F170" s="290" t="s">
        <v>458</v>
      </c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R170" s="170">
        <f t="shared" si="7"/>
        <v>149</v>
      </c>
    </row>
    <row r="171" spans="2:18" ht="15.75" customHeight="1">
      <c r="B171" s="283">
        <v>150</v>
      </c>
      <c r="C171" s="284" t="s">
        <v>638</v>
      </c>
      <c r="D171" s="284"/>
      <c r="E171" s="285">
        <v>1</v>
      </c>
      <c r="F171" s="290" t="s">
        <v>458</v>
      </c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R171" s="170">
        <f t="shared" si="7"/>
        <v>150</v>
      </c>
    </row>
    <row r="172" spans="2:18" ht="15.75" customHeight="1">
      <c r="B172" s="283">
        <v>151</v>
      </c>
      <c r="C172" s="284" t="s">
        <v>639</v>
      </c>
      <c r="D172" s="284"/>
      <c r="E172" s="285">
        <v>1</v>
      </c>
      <c r="F172" s="290" t="s">
        <v>458</v>
      </c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R172" s="170">
        <f t="shared" si="7"/>
        <v>151</v>
      </c>
    </row>
    <row r="173" spans="2:18" ht="15.75" customHeight="1">
      <c r="B173" s="283">
        <v>152</v>
      </c>
      <c r="C173" s="284" t="s">
        <v>640</v>
      </c>
      <c r="D173" s="284"/>
      <c r="E173" s="285">
        <v>1</v>
      </c>
      <c r="F173" s="290" t="s">
        <v>458</v>
      </c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R173" s="170">
        <f t="shared" si="7"/>
        <v>152</v>
      </c>
    </row>
    <row r="174" spans="2:18" ht="15.75" customHeight="1">
      <c r="B174" s="283">
        <v>153</v>
      </c>
      <c r="C174" s="284" t="s">
        <v>641</v>
      </c>
      <c r="D174" s="284"/>
      <c r="E174" s="285">
        <v>1</v>
      </c>
      <c r="F174" s="290" t="s">
        <v>642</v>
      </c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R174" s="170">
        <f t="shared" si="7"/>
        <v>153</v>
      </c>
    </row>
    <row r="175" spans="2:18" ht="15.75" customHeight="1">
      <c r="B175" s="283"/>
      <c r="C175" s="284"/>
      <c r="D175" s="284"/>
      <c r="E175" s="295"/>
      <c r="F175" s="28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R175" s="170" t="str">
        <f t="shared" si="7"/>
        <v/>
      </c>
    </row>
    <row r="176" spans="2:18" ht="15.75" customHeight="1">
      <c r="B176" s="283"/>
      <c r="C176" s="294" t="s">
        <v>643</v>
      </c>
      <c r="D176" s="284"/>
      <c r="E176" s="295"/>
      <c r="F176" s="28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R176" s="170" t="str">
        <f t="shared" si="7"/>
        <v/>
      </c>
    </row>
    <row r="177" spans="2:18" ht="15.75" customHeight="1">
      <c r="B177" s="283">
        <v>154</v>
      </c>
      <c r="C177" s="293" t="s">
        <v>644</v>
      </c>
      <c r="D177" s="293"/>
      <c r="E177" s="285">
        <v>1</v>
      </c>
      <c r="F177" s="286" t="s">
        <v>645</v>
      </c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R177" s="170">
        <f>IF((E177)=0,"",(B174+1))</f>
        <v>154</v>
      </c>
    </row>
    <row r="178" spans="2:18" ht="15.75" customHeight="1">
      <c r="B178" s="283">
        <v>155</v>
      </c>
      <c r="C178" s="299" t="s">
        <v>646</v>
      </c>
      <c r="D178" s="299"/>
      <c r="E178" s="285">
        <v>1</v>
      </c>
      <c r="F178" s="292" t="s">
        <v>647</v>
      </c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R178" s="170">
        <f t="shared" ref="R178:R216" si="8">IF((E178)=0,"",(B177+1))</f>
        <v>155</v>
      </c>
    </row>
    <row r="179" spans="2:18" ht="15.75" customHeight="1">
      <c r="B179" s="283"/>
      <c r="C179" s="297"/>
      <c r="D179" s="297"/>
      <c r="E179" s="295"/>
      <c r="F179" s="297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R179" s="170" t="str">
        <f t="shared" si="8"/>
        <v/>
      </c>
    </row>
    <row r="180" spans="2:18" ht="15.75" customHeight="1">
      <c r="B180" s="283"/>
      <c r="C180" s="294" t="s">
        <v>307</v>
      </c>
      <c r="D180" s="284"/>
      <c r="E180" s="290"/>
      <c r="F180" s="297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R180" s="170" t="str">
        <f t="shared" si="8"/>
        <v/>
      </c>
    </row>
    <row r="181" spans="2:18" ht="15.75" customHeight="1">
      <c r="B181" s="283">
        <v>156</v>
      </c>
      <c r="C181" s="284" t="s">
        <v>648</v>
      </c>
      <c r="D181" s="284"/>
      <c r="E181" s="285">
        <v>1</v>
      </c>
      <c r="F181" s="286" t="s">
        <v>458</v>
      </c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R181" s="170">
        <f t="shared" si="8"/>
        <v>1</v>
      </c>
    </row>
    <row r="182" spans="2:18" ht="15.75" customHeight="1">
      <c r="B182" s="283">
        <v>157</v>
      </c>
      <c r="C182" s="284" t="s">
        <v>649</v>
      </c>
      <c r="D182" s="284"/>
      <c r="E182" s="285">
        <v>1</v>
      </c>
      <c r="F182" s="286" t="s">
        <v>458</v>
      </c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R182" s="170">
        <f t="shared" si="8"/>
        <v>157</v>
      </c>
    </row>
    <row r="183" spans="2:18" ht="15.75" customHeight="1">
      <c r="B183" s="283">
        <v>158</v>
      </c>
      <c r="C183" s="284" t="s">
        <v>650</v>
      </c>
      <c r="D183" s="284"/>
      <c r="E183" s="285">
        <v>1</v>
      </c>
      <c r="F183" s="286" t="s">
        <v>458</v>
      </c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R183" s="170">
        <f t="shared" si="8"/>
        <v>158</v>
      </c>
    </row>
    <row r="184" spans="2:18" ht="15.75" customHeight="1">
      <c r="B184" s="283">
        <v>159</v>
      </c>
      <c r="C184" s="284" t="s">
        <v>651</v>
      </c>
      <c r="D184" s="284"/>
      <c r="E184" s="285">
        <v>1</v>
      </c>
      <c r="F184" s="286" t="s">
        <v>458</v>
      </c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R184" s="170">
        <f t="shared" si="8"/>
        <v>159</v>
      </c>
    </row>
    <row r="185" spans="2:18" ht="15.75" customHeight="1">
      <c r="B185" s="283">
        <v>160</v>
      </c>
      <c r="C185" s="293" t="s">
        <v>652</v>
      </c>
      <c r="D185" s="293"/>
      <c r="E185" s="285">
        <v>1</v>
      </c>
      <c r="F185" s="286" t="s">
        <v>458</v>
      </c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R185" s="170">
        <f t="shared" si="8"/>
        <v>160</v>
      </c>
    </row>
    <row r="186" spans="2:18" ht="15.75" customHeight="1">
      <c r="B186" s="283">
        <v>161</v>
      </c>
      <c r="C186" s="284" t="s">
        <v>653</v>
      </c>
      <c r="D186" s="284"/>
      <c r="E186" s="285">
        <v>1</v>
      </c>
      <c r="F186" s="286" t="s">
        <v>458</v>
      </c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R186" s="170">
        <f t="shared" si="8"/>
        <v>161</v>
      </c>
    </row>
    <row r="187" spans="2:18" ht="15.75" customHeight="1">
      <c r="B187" s="283">
        <v>162</v>
      </c>
      <c r="C187" s="284" t="s">
        <v>654</v>
      </c>
      <c r="D187" s="300"/>
      <c r="E187" s="285">
        <v>1</v>
      </c>
      <c r="F187" s="286" t="s">
        <v>458</v>
      </c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R187" s="170">
        <f t="shared" si="8"/>
        <v>162</v>
      </c>
    </row>
    <row r="188" spans="2:18" ht="15.75" customHeight="1">
      <c r="B188" s="283">
        <v>163</v>
      </c>
      <c r="C188" s="284" t="s">
        <v>655</v>
      </c>
      <c r="D188" s="284"/>
      <c r="E188" s="285">
        <v>1</v>
      </c>
      <c r="F188" s="286" t="s">
        <v>656</v>
      </c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R188" s="170">
        <f t="shared" si="8"/>
        <v>163</v>
      </c>
    </row>
    <row r="189" spans="2:18" ht="15.75" customHeight="1">
      <c r="B189" s="283">
        <v>164</v>
      </c>
      <c r="C189" s="284" t="s">
        <v>657</v>
      </c>
      <c r="D189" s="284"/>
      <c r="E189" s="285">
        <v>1</v>
      </c>
      <c r="F189" s="286" t="s">
        <v>458</v>
      </c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R189" s="170">
        <f t="shared" si="8"/>
        <v>164</v>
      </c>
    </row>
    <row r="190" spans="2:18" ht="15.75" customHeight="1">
      <c r="B190" s="283">
        <v>165</v>
      </c>
      <c r="C190" s="284" t="s">
        <v>658</v>
      </c>
      <c r="D190" s="284"/>
      <c r="E190" s="285">
        <v>1</v>
      </c>
      <c r="F190" s="286" t="s">
        <v>458</v>
      </c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R190" s="170">
        <f t="shared" si="8"/>
        <v>165</v>
      </c>
    </row>
    <row r="191" spans="2:18" ht="15.75" customHeight="1">
      <c r="B191" s="283">
        <v>166</v>
      </c>
      <c r="C191" s="284" t="s">
        <v>659</v>
      </c>
      <c r="D191" s="284"/>
      <c r="E191" s="285">
        <v>1</v>
      </c>
      <c r="F191" s="286" t="s">
        <v>645</v>
      </c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R191" s="170">
        <f t="shared" si="8"/>
        <v>166</v>
      </c>
    </row>
    <row r="192" spans="2:18" ht="15.75" customHeight="1">
      <c r="B192" s="283">
        <v>167</v>
      </c>
      <c r="C192" s="284" t="s">
        <v>660</v>
      </c>
      <c r="D192" s="284"/>
      <c r="E192" s="285">
        <v>1</v>
      </c>
      <c r="F192" s="286" t="s">
        <v>458</v>
      </c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R192" s="170">
        <f t="shared" si="8"/>
        <v>167</v>
      </c>
    </row>
    <row r="193" spans="2:18" ht="15.75" customHeight="1">
      <c r="B193" s="283">
        <v>168</v>
      </c>
      <c r="C193" s="284" t="s">
        <v>661</v>
      </c>
      <c r="D193" s="284"/>
      <c r="E193" s="285">
        <v>1</v>
      </c>
      <c r="F193" s="290" t="s">
        <v>458</v>
      </c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R193" s="170">
        <f t="shared" si="8"/>
        <v>168</v>
      </c>
    </row>
    <row r="194" spans="2:18" ht="15.75" customHeight="1">
      <c r="B194" s="283">
        <v>169</v>
      </c>
      <c r="C194" s="284" t="s">
        <v>662</v>
      </c>
      <c r="D194" s="284"/>
      <c r="E194" s="285">
        <v>1</v>
      </c>
      <c r="F194" s="290" t="s">
        <v>663</v>
      </c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R194" s="170">
        <f t="shared" si="8"/>
        <v>169</v>
      </c>
    </row>
    <row r="195" spans="2:18" ht="15.75" customHeight="1">
      <c r="B195" s="283">
        <v>170</v>
      </c>
      <c r="C195" s="284" t="s">
        <v>664</v>
      </c>
      <c r="D195" s="284"/>
      <c r="E195" s="285">
        <v>1</v>
      </c>
      <c r="F195" s="290" t="s">
        <v>458</v>
      </c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R195" s="170">
        <f t="shared" si="8"/>
        <v>170</v>
      </c>
    </row>
    <row r="196" spans="2:18" ht="15.75" customHeight="1">
      <c r="B196" s="283">
        <v>171</v>
      </c>
      <c r="C196" s="284" t="s">
        <v>665</v>
      </c>
      <c r="D196" s="284"/>
      <c r="E196" s="285">
        <v>1</v>
      </c>
      <c r="F196" s="286" t="s">
        <v>458</v>
      </c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R196" s="170">
        <f t="shared" si="8"/>
        <v>171</v>
      </c>
    </row>
    <row r="197" spans="2:18" ht="15.75" customHeight="1">
      <c r="B197" s="283">
        <v>172</v>
      </c>
      <c r="C197" s="284" t="s">
        <v>666</v>
      </c>
      <c r="D197" s="284"/>
      <c r="E197" s="285">
        <v>1</v>
      </c>
      <c r="F197" s="286" t="s">
        <v>458</v>
      </c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R197" s="170">
        <f t="shared" si="8"/>
        <v>172</v>
      </c>
    </row>
    <row r="198" spans="2:18" ht="15.75" customHeight="1">
      <c r="B198" s="283">
        <v>173</v>
      </c>
      <c r="C198" s="284" t="s">
        <v>667</v>
      </c>
      <c r="D198" s="284"/>
      <c r="E198" s="285">
        <v>1</v>
      </c>
      <c r="F198" s="290" t="s">
        <v>458</v>
      </c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R198" s="170">
        <f t="shared" si="8"/>
        <v>173</v>
      </c>
    </row>
    <row r="199" spans="2:18" ht="15.75" customHeight="1">
      <c r="B199" s="283">
        <v>174</v>
      </c>
      <c r="C199" s="284" t="s">
        <v>668</v>
      </c>
      <c r="D199" s="284"/>
      <c r="E199" s="285">
        <v>1</v>
      </c>
      <c r="F199" s="290" t="s">
        <v>458</v>
      </c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R199" s="170">
        <f t="shared" si="8"/>
        <v>174</v>
      </c>
    </row>
    <row r="200" spans="2:18" ht="15.75" customHeight="1">
      <c r="B200" s="283">
        <v>175</v>
      </c>
      <c r="C200" s="284" t="s">
        <v>669</v>
      </c>
      <c r="D200" s="284"/>
      <c r="E200" s="285">
        <v>1</v>
      </c>
      <c r="F200" s="290" t="s">
        <v>670</v>
      </c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R200" s="170">
        <f t="shared" si="8"/>
        <v>175</v>
      </c>
    </row>
    <row r="201" spans="2:18" ht="15.75" customHeight="1">
      <c r="B201" s="283">
        <v>176</v>
      </c>
      <c r="C201" s="284" t="s">
        <v>671</v>
      </c>
      <c r="D201" s="284"/>
      <c r="E201" s="285">
        <v>1</v>
      </c>
      <c r="F201" s="290" t="s">
        <v>458</v>
      </c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R201" s="170">
        <f t="shared" si="8"/>
        <v>176</v>
      </c>
    </row>
    <row r="202" spans="2:18" ht="15.75" customHeight="1">
      <c r="B202" s="283">
        <v>177</v>
      </c>
      <c r="C202" s="284" t="s">
        <v>672</v>
      </c>
      <c r="D202" s="284"/>
      <c r="E202" s="285">
        <v>1</v>
      </c>
      <c r="F202" s="290" t="s">
        <v>458</v>
      </c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R202" s="170">
        <f t="shared" si="8"/>
        <v>177</v>
      </c>
    </row>
    <row r="203" spans="2:18" ht="15.75" customHeight="1">
      <c r="B203" s="283">
        <v>178</v>
      </c>
      <c r="C203" s="284" t="s">
        <v>673</v>
      </c>
      <c r="D203" s="284"/>
      <c r="E203" s="285">
        <v>1</v>
      </c>
      <c r="F203" s="290" t="s">
        <v>458</v>
      </c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R203" s="170">
        <f t="shared" si="8"/>
        <v>178</v>
      </c>
    </row>
    <row r="204" spans="2:18" ht="15.75" customHeight="1">
      <c r="B204" s="283">
        <v>179</v>
      </c>
      <c r="C204" s="284" t="s">
        <v>674</v>
      </c>
      <c r="D204" s="284"/>
      <c r="E204" s="285">
        <v>1</v>
      </c>
      <c r="F204" s="286" t="s">
        <v>394</v>
      </c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R204" s="170">
        <f t="shared" si="8"/>
        <v>179</v>
      </c>
    </row>
    <row r="205" spans="2:18" ht="15.75" customHeight="1">
      <c r="B205" s="283">
        <v>180</v>
      </c>
      <c r="C205" s="284" t="s">
        <v>675</v>
      </c>
      <c r="D205" s="284"/>
      <c r="E205" s="285">
        <v>1</v>
      </c>
      <c r="F205" s="286" t="s">
        <v>394</v>
      </c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R205" s="170">
        <f t="shared" si="8"/>
        <v>180</v>
      </c>
    </row>
    <row r="206" spans="2:18" ht="15.75" customHeight="1">
      <c r="B206" s="283">
        <v>181</v>
      </c>
      <c r="C206" s="284" t="s">
        <v>676</v>
      </c>
      <c r="D206" s="284"/>
      <c r="E206" s="285">
        <v>1</v>
      </c>
      <c r="F206" s="286" t="s">
        <v>458</v>
      </c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R206" s="170">
        <f t="shared" si="8"/>
        <v>181</v>
      </c>
    </row>
    <row r="207" spans="2:18" ht="15.75" customHeight="1">
      <c r="B207" s="283">
        <v>182</v>
      </c>
      <c r="C207" s="284" t="s">
        <v>677</v>
      </c>
      <c r="D207" s="284"/>
      <c r="E207" s="285">
        <v>1</v>
      </c>
      <c r="F207" s="286" t="s">
        <v>458</v>
      </c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R207" s="170">
        <f t="shared" si="8"/>
        <v>182</v>
      </c>
    </row>
    <row r="208" spans="2:18" ht="15.75" customHeight="1">
      <c r="B208" s="283">
        <v>183</v>
      </c>
      <c r="C208" s="284" t="s">
        <v>678</v>
      </c>
      <c r="D208" s="284"/>
      <c r="E208" s="285">
        <v>1</v>
      </c>
      <c r="F208" s="286" t="s">
        <v>458</v>
      </c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R208" s="170">
        <f t="shared" si="8"/>
        <v>183</v>
      </c>
    </row>
    <row r="209" spans="2:18" ht="15.75" customHeight="1">
      <c r="B209" s="283">
        <v>184</v>
      </c>
      <c r="C209" s="284" t="s">
        <v>679</v>
      </c>
      <c r="D209" s="284"/>
      <c r="E209" s="285">
        <v>1</v>
      </c>
      <c r="F209" s="286" t="s">
        <v>458</v>
      </c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R209" s="170">
        <f t="shared" si="8"/>
        <v>184</v>
      </c>
    </row>
    <row r="210" spans="2:18" ht="15.75" customHeight="1">
      <c r="B210" s="283">
        <v>185</v>
      </c>
      <c r="C210" s="284" t="s">
        <v>680</v>
      </c>
      <c r="D210" s="284"/>
      <c r="E210" s="285">
        <v>1</v>
      </c>
      <c r="F210" s="290" t="s">
        <v>458</v>
      </c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R210" s="170">
        <f t="shared" si="8"/>
        <v>185</v>
      </c>
    </row>
    <row r="211" spans="2:18" ht="15.75" customHeight="1">
      <c r="B211" s="283">
        <v>186</v>
      </c>
      <c r="C211" s="284" t="s">
        <v>681</v>
      </c>
      <c r="D211" s="284"/>
      <c r="E211" s="285">
        <v>1</v>
      </c>
      <c r="F211" s="290" t="s">
        <v>458</v>
      </c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R211" s="170">
        <f t="shared" si="8"/>
        <v>186</v>
      </c>
    </row>
    <row r="212" spans="2:18" ht="15.75" customHeight="1">
      <c r="B212" s="283">
        <v>187</v>
      </c>
      <c r="C212" s="284" t="s">
        <v>682</v>
      </c>
      <c r="D212" s="284"/>
      <c r="E212" s="285">
        <v>1</v>
      </c>
      <c r="F212" s="290" t="s">
        <v>458</v>
      </c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R212" s="170">
        <f t="shared" si="8"/>
        <v>187</v>
      </c>
    </row>
    <row r="213" spans="2:18" ht="15.75" customHeight="1">
      <c r="B213" s="283">
        <v>188</v>
      </c>
      <c r="C213" s="284" t="s">
        <v>683</v>
      </c>
      <c r="D213" s="284"/>
      <c r="E213" s="285">
        <v>1</v>
      </c>
      <c r="F213" s="290" t="s">
        <v>458</v>
      </c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R213" s="170">
        <f t="shared" si="8"/>
        <v>188</v>
      </c>
    </row>
    <row r="214" spans="2:18" ht="15.75" customHeight="1">
      <c r="B214" s="283">
        <v>189</v>
      </c>
      <c r="C214" s="284" t="s">
        <v>684</v>
      </c>
      <c r="D214" s="284"/>
      <c r="E214" s="285">
        <v>1</v>
      </c>
      <c r="F214" s="290" t="s">
        <v>458</v>
      </c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R214" s="170">
        <f t="shared" si="8"/>
        <v>189</v>
      </c>
    </row>
    <row r="215" spans="2:18" ht="15.75" customHeight="1">
      <c r="B215" s="283">
        <v>190</v>
      </c>
      <c r="C215" s="284" t="s">
        <v>685</v>
      </c>
      <c r="D215" s="284"/>
      <c r="E215" s="285">
        <v>1</v>
      </c>
      <c r="F215" s="290" t="s">
        <v>458</v>
      </c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R215" s="170">
        <f t="shared" si="8"/>
        <v>190</v>
      </c>
    </row>
    <row r="216" spans="2:18" ht="15.75" customHeight="1">
      <c r="B216" s="301"/>
      <c r="C216" s="302"/>
      <c r="D216" s="302"/>
      <c r="E216" s="303"/>
      <c r="F216" s="302"/>
      <c r="G216" s="304"/>
      <c r="H216" s="304"/>
      <c r="I216" s="304"/>
      <c r="J216" s="304"/>
      <c r="K216" s="304"/>
      <c r="L216" s="304"/>
      <c r="M216" s="304"/>
      <c r="N216" s="304"/>
      <c r="O216" s="304"/>
      <c r="P216" s="304"/>
      <c r="R216" s="170" t="str">
        <f t="shared" si="8"/>
        <v/>
      </c>
    </row>
    <row r="217" spans="2:18" ht="15.75" customHeight="1"/>
    <row r="218" spans="2:18" ht="15.75" customHeight="1"/>
    <row r="219" spans="2:18" ht="15.75" customHeight="1"/>
    <row r="220" spans="2:18" ht="15.75" customHeight="1"/>
    <row r="221" spans="2:18" ht="15.75" customHeight="1"/>
    <row r="222" spans="2:18" ht="15.75" customHeight="1"/>
    <row r="223" spans="2:18" ht="15.75" customHeight="1"/>
    <row r="224" spans="2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colBreaks count="1" manualBreakCount="1">
    <brk id="1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workbookViewId="0"/>
  </sheetViews>
  <sheetFormatPr baseColWidth="10" defaultColWidth="14.5" defaultRowHeight="15" customHeight="1"/>
  <cols>
    <col min="1" max="1" width="3.6640625" customWidth="1"/>
    <col min="2" max="2" width="4.6640625" customWidth="1"/>
    <col min="3" max="3" width="67.5" customWidth="1"/>
    <col min="4" max="4" width="9.33203125" customWidth="1"/>
    <col min="5" max="5" width="11.33203125" customWidth="1"/>
    <col min="6" max="6" width="14.6640625" hidden="1" customWidth="1"/>
    <col min="7" max="13" width="13.5" hidden="1" customWidth="1"/>
    <col min="14" max="14" width="13.5" customWidth="1"/>
    <col min="15" max="15" width="11.33203125" customWidth="1"/>
    <col min="16" max="16" width="5.33203125" customWidth="1"/>
  </cols>
  <sheetData>
    <row r="1" spans="1:16" ht="15.75" customHeight="1">
      <c r="A1" s="1"/>
      <c r="B1" s="115" t="s">
        <v>1369</v>
      </c>
      <c r="C1" s="1"/>
      <c r="D1" s="3"/>
      <c r="E1" s="3"/>
      <c r="F1" s="1"/>
      <c r="G1" s="1"/>
      <c r="H1" s="1"/>
      <c r="I1" s="1"/>
      <c r="J1" s="52"/>
      <c r="K1" s="52"/>
      <c r="L1" s="52"/>
      <c r="M1" s="52"/>
      <c r="N1" s="52"/>
      <c r="O1" s="1"/>
      <c r="P1" s="1"/>
    </row>
    <row r="2" spans="1:16" ht="15.75" customHeight="1">
      <c r="A2" s="1"/>
      <c r="B2" s="3"/>
      <c r="C2" s="1"/>
      <c r="D2" s="3"/>
      <c r="E2" s="3"/>
      <c r="F2" s="1"/>
      <c r="G2" s="1">
        <v>6</v>
      </c>
      <c r="H2" s="1">
        <v>7</v>
      </c>
      <c r="I2" s="1">
        <v>8</v>
      </c>
      <c r="J2" s="52">
        <v>9</v>
      </c>
      <c r="K2" s="52"/>
      <c r="L2" s="52"/>
      <c r="M2" s="52"/>
      <c r="N2" s="52"/>
      <c r="O2" s="1"/>
      <c r="P2" s="1"/>
    </row>
    <row r="3" spans="1:16" ht="30.75" customHeight="1">
      <c r="A3" s="14"/>
      <c r="B3" s="305" t="s">
        <v>1</v>
      </c>
      <c r="C3" s="306" t="s">
        <v>2</v>
      </c>
      <c r="D3" s="307" t="s">
        <v>3</v>
      </c>
      <c r="E3" s="308" t="s">
        <v>4</v>
      </c>
      <c r="F3" s="150" t="s">
        <v>5</v>
      </c>
      <c r="G3" s="309">
        <v>45107</v>
      </c>
      <c r="H3" s="309">
        <v>45138</v>
      </c>
      <c r="I3" s="309">
        <v>45169</v>
      </c>
      <c r="J3" s="309">
        <v>45199</v>
      </c>
      <c r="K3" s="309">
        <v>45230</v>
      </c>
      <c r="L3" s="309">
        <v>45260</v>
      </c>
      <c r="M3" s="309">
        <v>45291</v>
      </c>
      <c r="N3" s="309">
        <v>45322</v>
      </c>
      <c r="O3" s="14"/>
      <c r="P3" s="14"/>
    </row>
    <row r="4" spans="1:16" ht="19.5" customHeight="1">
      <c r="A4" s="123"/>
      <c r="B4" s="310"/>
      <c r="C4" s="311" t="s">
        <v>1370</v>
      </c>
      <c r="D4" s="102"/>
      <c r="E4" s="24"/>
      <c r="F4" s="39"/>
      <c r="G4" s="32"/>
      <c r="H4" s="32"/>
      <c r="I4" s="32"/>
      <c r="J4" s="32"/>
      <c r="K4" s="32"/>
      <c r="L4" s="32"/>
      <c r="M4" s="32"/>
      <c r="N4" s="32"/>
      <c r="O4" s="112"/>
      <c r="P4" s="1"/>
    </row>
    <row r="5" spans="1:16" ht="19.5" hidden="1" customHeight="1">
      <c r="A5" s="123"/>
      <c r="B5" s="310"/>
      <c r="C5" s="311"/>
      <c r="D5" s="102"/>
      <c r="E5" s="24"/>
      <c r="F5" s="39"/>
      <c r="G5" s="32"/>
      <c r="H5" s="32"/>
      <c r="I5" s="32"/>
      <c r="J5" s="32"/>
      <c r="K5" s="32"/>
      <c r="L5" s="32"/>
      <c r="M5" s="32"/>
      <c r="N5" s="32"/>
      <c r="O5" s="112"/>
      <c r="P5" s="14"/>
    </row>
    <row r="6" spans="1:16" ht="19.5" customHeight="1">
      <c r="A6" s="123"/>
      <c r="B6" s="310">
        <v>1</v>
      </c>
      <c r="C6" s="312" t="s">
        <v>1371</v>
      </c>
      <c r="D6" s="102">
        <v>1</v>
      </c>
      <c r="E6" s="102" t="s">
        <v>312</v>
      </c>
      <c r="F6" s="39"/>
      <c r="G6" s="32"/>
      <c r="H6" s="32"/>
      <c r="I6" s="32"/>
      <c r="J6" s="32"/>
      <c r="K6" s="32"/>
      <c r="L6" s="32"/>
      <c r="M6" s="32"/>
      <c r="N6" s="32">
        <v>482</v>
      </c>
      <c r="O6" s="112"/>
      <c r="P6" s="170">
        <f t="shared" ref="P6:P14" si="0">IF((D6)=0,"",(B5+1))</f>
        <v>1</v>
      </c>
    </row>
    <row r="7" spans="1:16" ht="19.5" customHeight="1">
      <c r="A7" s="123"/>
      <c r="B7" s="310">
        <v>2</v>
      </c>
      <c r="C7" s="312" t="s">
        <v>1372</v>
      </c>
      <c r="D7" s="102">
        <v>1</v>
      </c>
      <c r="E7" s="102" t="s">
        <v>312</v>
      </c>
      <c r="F7" s="39"/>
      <c r="G7" s="32"/>
      <c r="H7" s="32"/>
      <c r="I7" s="32"/>
      <c r="J7" s="32"/>
      <c r="K7" s="32"/>
      <c r="L7" s="32"/>
      <c r="M7" s="32"/>
      <c r="N7" s="32">
        <v>975</v>
      </c>
      <c r="O7" s="112"/>
      <c r="P7" s="170">
        <f t="shared" si="0"/>
        <v>2</v>
      </c>
    </row>
    <row r="8" spans="1:16" ht="19.5" customHeight="1">
      <c r="A8" s="123"/>
      <c r="B8" s="310">
        <v>3</v>
      </c>
      <c r="C8" s="312" t="s">
        <v>1373</v>
      </c>
      <c r="D8" s="102">
        <v>1</v>
      </c>
      <c r="E8" s="102" t="s">
        <v>312</v>
      </c>
      <c r="F8" s="39"/>
      <c r="G8" s="32"/>
      <c r="H8" s="32"/>
      <c r="I8" s="32"/>
      <c r="J8" s="32"/>
      <c r="K8" s="32"/>
      <c r="L8" s="32"/>
      <c r="M8" s="32"/>
      <c r="N8" s="32">
        <v>1184</v>
      </c>
      <c r="O8" s="112"/>
      <c r="P8" s="170">
        <f t="shared" si="0"/>
        <v>3</v>
      </c>
    </row>
    <row r="9" spans="1:16" ht="19.5" customHeight="1">
      <c r="A9" s="123"/>
      <c r="B9" s="310">
        <v>4</v>
      </c>
      <c r="C9" s="312" t="s">
        <v>1374</v>
      </c>
      <c r="D9" s="102">
        <v>1</v>
      </c>
      <c r="E9" s="102" t="s">
        <v>312</v>
      </c>
      <c r="F9" s="39"/>
      <c r="G9" s="32"/>
      <c r="H9" s="32"/>
      <c r="I9" s="32"/>
      <c r="J9" s="32"/>
      <c r="K9" s="32"/>
      <c r="L9" s="32"/>
      <c r="M9" s="32"/>
      <c r="N9" s="32">
        <v>1864</v>
      </c>
      <c r="O9" s="112"/>
      <c r="P9" s="170">
        <f t="shared" si="0"/>
        <v>4</v>
      </c>
    </row>
    <row r="10" spans="1:16" ht="19.5" customHeight="1">
      <c r="A10" s="123"/>
      <c r="B10" s="310">
        <v>5</v>
      </c>
      <c r="C10" s="312" t="s">
        <v>1375</v>
      </c>
      <c r="D10" s="102">
        <v>1</v>
      </c>
      <c r="E10" s="102" t="s">
        <v>312</v>
      </c>
      <c r="F10" s="39"/>
      <c r="G10" s="32"/>
      <c r="H10" s="32"/>
      <c r="I10" s="32"/>
      <c r="J10" s="32"/>
      <c r="K10" s="32"/>
      <c r="L10" s="32"/>
      <c r="M10" s="32"/>
      <c r="N10" s="32">
        <v>1910</v>
      </c>
      <c r="O10" s="112"/>
      <c r="P10" s="170">
        <f t="shared" si="0"/>
        <v>5</v>
      </c>
    </row>
    <row r="11" spans="1:16" ht="19.5" customHeight="1">
      <c r="A11" s="123"/>
      <c r="B11" s="310">
        <v>6</v>
      </c>
      <c r="C11" s="312" t="s">
        <v>1376</v>
      </c>
      <c r="D11" s="102">
        <v>1</v>
      </c>
      <c r="E11" s="102" t="s">
        <v>312</v>
      </c>
      <c r="F11" s="39"/>
      <c r="G11" s="32"/>
      <c r="H11" s="32"/>
      <c r="I11" s="32"/>
      <c r="J11" s="32"/>
      <c r="K11" s="32"/>
      <c r="L11" s="32"/>
      <c r="M11" s="32"/>
      <c r="N11" s="32">
        <v>4556</v>
      </c>
      <c r="O11" s="112"/>
      <c r="P11" s="170">
        <f t="shared" si="0"/>
        <v>6</v>
      </c>
    </row>
    <row r="12" spans="1:16" ht="19.5" customHeight="1">
      <c r="A12" s="123"/>
      <c r="B12" s="310">
        <v>7</v>
      </c>
      <c r="C12" s="312" t="s">
        <v>1377</v>
      </c>
      <c r="D12" s="102">
        <v>1</v>
      </c>
      <c r="E12" s="102"/>
      <c r="F12" s="39"/>
      <c r="G12" s="32"/>
      <c r="H12" s="32"/>
      <c r="I12" s="32"/>
      <c r="J12" s="32"/>
      <c r="K12" s="32"/>
      <c r="L12" s="32"/>
      <c r="M12" s="32"/>
      <c r="N12" s="32"/>
      <c r="O12" s="112"/>
      <c r="P12" s="170">
        <f t="shared" si="0"/>
        <v>7</v>
      </c>
    </row>
    <row r="13" spans="1:16" ht="19.5" customHeight="1">
      <c r="A13" s="123"/>
      <c r="B13" s="310">
        <v>8</v>
      </c>
      <c r="C13" s="312" t="s">
        <v>1378</v>
      </c>
      <c r="D13" s="102">
        <v>1</v>
      </c>
      <c r="E13" s="102"/>
      <c r="F13" s="39"/>
      <c r="G13" s="32"/>
      <c r="H13" s="32"/>
      <c r="I13" s="32"/>
      <c r="J13" s="32"/>
      <c r="K13" s="32"/>
      <c r="L13" s="32"/>
      <c r="M13" s="32"/>
      <c r="N13" s="32"/>
      <c r="O13" s="112"/>
      <c r="P13" s="170">
        <f t="shared" si="0"/>
        <v>8</v>
      </c>
    </row>
    <row r="14" spans="1:16" ht="19.5" customHeight="1">
      <c r="A14" s="123"/>
      <c r="B14" s="310"/>
      <c r="C14" s="311" t="s">
        <v>1379</v>
      </c>
      <c r="D14" s="102"/>
      <c r="E14" s="102"/>
      <c r="F14" s="39"/>
      <c r="G14" s="32"/>
      <c r="H14" s="32"/>
      <c r="I14" s="32"/>
      <c r="J14" s="32"/>
      <c r="K14" s="32"/>
      <c r="L14" s="32"/>
      <c r="M14" s="32"/>
      <c r="N14" s="32"/>
      <c r="O14" s="112"/>
      <c r="P14" s="170" t="str">
        <f t="shared" si="0"/>
        <v/>
      </c>
    </row>
    <row r="15" spans="1:16" ht="19.5" customHeight="1">
      <c r="A15" s="123"/>
      <c r="B15" s="310">
        <v>9</v>
      </c>
      <c r="C15" s="312" t="s">
        <v>1375</v>
      </c>
      <c r="D15" s="102">
        <v>1</v>
      </c>
      <c r="E15" s="102" t="s">
        <v>312</v>
      </c>
      <c r="F15" s="39"/>
      <c r="G15" s="32"/>
      <c r="H15" s="32"/>
      <c r="I15" s="32"/>
      <c r="J15" s="32"/>
      <c r="K15" s="32"/>
      <c r="L15" s="32"/>
      <c r="M15" s="32"/>
      <c r="N15" s="32">
        <v>2368</v>
      </c>
      <c r="O15" s="112"/>
      <c r="P15" s="170">
        <f>IF((D15)=0,"",(B13+1))</f>
        <v>9</v>
      </c>
    </row>
    <row r="16" spans="1:16" ht="19.5" customHeight="1">
      <c r="A16" s="123"/>
      <c r="B16" s="310">
        <v>10</v>
      </c>
      <c r="C16" s="312" t="s">
        <v>1376</v>
      </c>
      <c r="D16" s="102">
        <v>1</v>
      </c>
      <c r="E16" s="102" t="s">
        <v>312</v>
      </c>
      <c r="F16" s="39"/>
      <c r="G16" s="32"/>
      <c r="H16" s="32"/>
      <c r="I16" s="32"/>
      <c r="J16" s="32"/>
      <c r="K16" s="32"/>
      <c r="L16" s="32"/>
      <c r="M16" s="32"/>
      <c r="N16" s="32">
        <v>3358</v>
      </c>
      <c r="O16" s="112"/>
      <c r="P16" s="170">
        <f t="shared" ref="P16:P21" si="1">IF((D16)=0,"",(B15+1))</f>
        <v>10</v>
      </c>
    </row>
    <row r="17" spans="1:16" ht="19.5" customHeight="1">
      <c r="A17" s="123"/>
      <c r="B17" s="310">
        <v>11</v>
      </c>
      <c r="C17" s="312" t="s">
        <v>1377</v>
      </c>
      <c r="D17" s="102">
        <v>1</v>
      </c>
      <c r="E17" s="24"/>
      <c r="F17" s="39"/>
      <c r="G17" s="32"/>
      <c r="H17" s="32"/>
      <c r="I17" s="32"/>
      <c r="J17" s="32"/>
      <c r="K17" s="32"/>
      <c r="L17" s="32"/>
      <c r="M17" s="32"/>
      <c r="N17" s="32"/>
      <c r="O17" s="112"/>
      <c r="P17" s="170">
        <f t="shared" si="1"/>
        <v>11</v>
      </c>
    </row>
    <row r="18" spans="1:16" ht="19.5" customHeight="1">
      <c r="A18" s="123"/>
      <c r="B18" s="310">
        <v>12</v>
      </c>
      <c r="C18" s="312" t="s">
        <v>1378</v>
      </c>
      <c r="D18" s="102">
        <v>1</v>
      </c>
      <c r="E18" s="24"/>
      <c r="F18" s="39"/>
      <c r="G18" s="32"/>
      <c r="H18" s="32"/>
      <c r="I18" s="32"/>
      <c r="J18" s="32"/>
      <c r="K18" s="32"/>
      <c r="L18" s="32"/>
      <c r="M18" s="32"/>
      <c r="N18" s="32"/>
      <c r="O18" s="112"/>
      <c r="P18" s="170">
        <f t="shared" si="1"/>
        <v>12</v>
      </c>
    </row>
    <row r="19" spans="1:16" ht="19.5" customHeight="1">
      <c r="A19" s="123"/>
      <c r="B19" s="310">
        <v>13</v>
      </c>
      <c r="C19" s="312" t="s">
        <v>1380</v>
      </c>
      <c r="D19" s="102">
        <v>1</v>
      </c>
      <c r="E19" s="24"/>
      <c r="F19" s="39"/>
      <c r="G19" s="32"/>
      <c r="H19" s="32"/>
      <c r="I19" s="32"/>
      <c r="J19" s="32"/>
      <c r="K19" s="32"/>
      <c r="L19" s="32"/>
      <c r="M19" s="32"/>
      <c r="N19" s="32"/>
      <c r="O19" s="112"/>
      <c r="P19" s="170">
        <f t="shared" si="1"/>
        <v>13</v>
      </c>
    </row>
    <row r="20" spans="1:16" ht="19.5" customHeight="1">
      <c r="A20" s="123"/>
      <c r="B20" s="310"/>
      <c r="C20" s="313"/>
      <c r="D20" s="102"/>
      <c r="E20" s="102"/>
      <c r="F20" s="127"/>
      <c r="G20" s="127"/>
      <c r="H20" s="127"/>
      <c r="I20" s="127"/>
      <c r="J20" s="26"/>
      <c r="K20" s="26"/>
      <c r="L20" s="26"/>
      <c r="M20" s="26"/>
      <c r="N20" s="26"/>
      <c r="O20" s="1"/>
      <c r="P20" s="170" t="str">
        <f t="shared" si="1"/>
        <v/>
      </c>
    </row>
    <row r="21" spans="1:16" ht="19.5" customHeight="1">
      <c r="A21" s="123"/>
      <c r="B21" s="310"/>
      <c r="C21" s="311" t="s">
        <v>1381</v>
      </c>
      <c r="D21" s="102"/>
      <c r="E21" s="24"/>
      <c r="F21" s="39"/>
      <c r="G21" s="32"/>
      <c r="H21" s="32"/>
      <c r="I21" s="32"/>
      <c r="J21" s="32"/>
      <c r="K21" s="32"/>
      <c r="L21" s="32"/>
      <c r="M21" s="32"/>
      <c r="N21" s="32"/>
      <c r="O21" s="112"/>
      <c r="P21" s="170" t="str">
        <f t="shared" si="1"/>
        <v/>
      </c>
    </row>
    <row r="22" spans="1:16" ht="19.5" customHeight="1">
      <c r="A22" s="123"/>
      <c r="B22" s="310">
        <v>14</v>
      </c>
      <c r="C22" s="314" t="s">
        <v>1382</v>
      </c>
      <c r="D22" s="102">
        <v>1</v>
      </c>
      <c r="E22" s="24" t="s">
        <v>52</v>
      </c>
      <c r="F22" s="39"/>
      <c r="G22" s="32"/>
      <c r="H22" s="32"/>
      <c r="I22" s="32"/>
      <c r="J22" s="32">
        <v>24900</v>
      </c>
      <c r="K22" s="32"/>
      <c r="L22" s="32"/>
      <c r="M22" s="32"/>
      <c r="N22" s="32"/>
      <c r="O22" s="112"/>
      <c r="P22" s="170">
        <f>IF((D22)=0,"",(B19+1))</f>
        <v>14</v>
      </c>
    </row>
    <row r="23" spans="1:16" ht="19.5" customHeight="1">
      <c r="A23" s="123"/>
      <c r="B23" s="310">
        <v>15</v>
      </c>
      <c r="C23" s="314" t="s">
        <v>1383</v>
      </c>
      <c r="D23" s="102">
        <v>1</v>
      </c>
      <c r="E23" s="24" t="s">
        <v>52</v>
      </c>
      <c r="F23" s="39"/>
      <c r="G23" s="32"/>
      <c r="H23" s="32"/>
      <c r="I23" s="32"/>
      <c r="J23" s="32"/>
      <c r="K23" s="32"/>
      <c r="L23" s="32"/>
      <c r="M23" s="32"/>
      <c r="N23" s="32"/>
      <c r="O23" s="112"/>
      <c r="P23" s="170">
        <f t="shared" ref="P23:P53" si="2">IF((D23)=0,"",(B22+1))</f>
        <v>15</v>
      </c>
    </row>
    <row r="24" spans="1:16" ht="19.5" customHeight="1">
      <c r="A24" s="123"/>
      <c r="B24" s="310">
        <v>16</v>
      </c>
      <c r="C24" s="314" t="s">
        <v>1384</v>
      </c>
      <c r="D24" s="102">
        <v>1</v>
      </c>
      <c r="E24" s="24" t="s">
        <v>52</v>
      </c>
      <c r="F24" s="39"/>
      <c r="G24" s="32"/>
      <c r="H24" s="32"/>
      <c r="I24" s="32"/>
      <c r="J24" s="32">
        <v>17400</v>
      </c>
      <c r="K24" s="32"/>
      <c r="L24" s="32"/>
      <c r="M24" s="32"/>
      <c r="N24" s="32"/>
      <c r="O24" s="112"/>
      <c r="P24" s="170">
        <f t="shared" si="2"/>
        <v>16</v>
      </c>
    </row>
    <row r="25" spans="1:16" ht="19.5" customHeight="1">
      <c r="A25" s="123"/>
      <c r="B25" s="310">
        <v>17</v>
      </c>
      <c r="C25" s="314" t="s">
        <v>1385</v>
      </c>
      <c r="D25" s="102">
        <v>1</v>
      </c>
      <c r="E25" s="24" t="s">
        <v>52</v>
      </c>
      <c r="F25" s="39"/>
      <c r="G25" s="32"/>
      <c r="H25" s="32"/>
      <c r="I25" s="32"/>
      <c r="J25" s="32">
        <v>14700</v>
      </c>
      <c r="K25" s="32"/>
      <c r="L25" s="32"/>
      <c r="M25" s="32"/>
      <c r="N25" s="32"/>
      <c r="O25" s="112"/>
      <c r="P25" s="170">
        <f t="shared" si="2"/>
        <v>17</v>
      </c>
    </row>
    <row r="26" spans="1:16" ht="19.5" customHeight="1">
      <c r="A26" s="123"/>
      <c r="B26" s="310">
        <v>18</v>
      </c>
      <c r="C26" s="314" t="s">
        <v>1386</v>
      </c>
      <c r="D26" s="102">
        <v>1</v>
      </c>
      <c r="E26" s="24" t="s">
        <v>52</v>
      </c>
      <c r="F26" s="39"/>
      <c r="G26" s="32"/>
      <c r="H26" s="32"/>
      <c r="I26" s="32"/>
      <c r="J26" s="32">
        <v>31300</v>
      </c>
      <c r="K26" s="32"/>
      <c r="L26" s="32"/>
      <c r="M26" s="32"/>
      <c r="N26" s="32"/>
      <c r="O26" s="112"/>
      <c r="P26" s="170">
        <f t="shared" si="2"/>
        <v>18</v>
      </c>
    </row>
    <row r="27" spans="1:16" ht="19.5" customHeight="1">
      <c r="A27" s="123"/>
      <c r="B27" s="310">
        <v>19</v>
      </c>
      <c r="C27" s="314" t="s">
        <v>1387</v>
      </c>
      <c r="D27" s="102">
        <v>1</v>
      </c>
      <c r="E27" s="24" t="s">
        <v>52</v>
      </c>
      <c r="F27" s="39"/>
      <c r="G27" s="32"/>
      <c r="H27" s="32"/>
      <c r="I27" s="32"/>
      <c r="J27" s="32">
        <v>14500</v>
      </c>
      <c r="K27" s="32"/>
      <c r="L27" s="32"/>
      <c r="M27" s="32"/>
      <c r="N27" s="32"/>
      <c r="O27" s="112"/>
      <c r="P27" s="170">
        <f t="shared" si="2"/>
        <v>19</v>
      </c>
    </row>
    <row r="28" spans="1:16" ht="19.5" customHeight="1">
      <c r="A28" s="123"/>
      <c r="B28" s="310">
        <v>20</v>
      </c>
      <c r="C28" s="314" t="s">
        <v>1388</v>
      </c>
      <c r="D28" s="102">
        <v>1</v>
      </c>
      <c r="E28" s="24" t="s">
        <v>52</v>
      </c>
      <c r="F28" s="39"/>
      <c r="G28" s="32"/>
      <c r="H28" s="32"/>
      <c r="I28" s="32"/>
      <c r="J28" s="32"/>
      <c r="K28" s="32"/>
      <c r="L28" s="32"/>
      <c r="M28" s="32"/>
      <c r="N28" s="32"/>
      <c r="O28" s="112"/>
      <c r="P28" s="170">
        <f t="shared" si="2"/>
        <v>20</v>
      </c>
    </row>
    <row r="29" spans="1:16" ht="19.5" customHeight="1">
      <c r="A29" s="123"/>
      <c r="B29" s="310">
        <v>21</v>
      </c>
      <c r="C29" s="314" t="s">
        <v>1389</v>
      </c>
      <c r="D29" s="102">
        <v>1</v>
      </c>
      <c r="E29" s="24" t="s">
        <v>52</v>
      </c>
      <c r="F29" s="39"/>
      <c r="G29" s="32"/>
      <c r="H29" s="32"/>
      <c r="I29" s="32"/>
      <c r="J29" s="32"/>
      <c r="K29" s="32"/>
      <c r="L29" s="32"/>
      <c r="M29" s="32"/>
      <c r="N29" s="32"/>
      <c r="O29" s="112"/>
      <c r="P29" s="170">
        <f t="shared" si="2"/>
        <v>21</v>
      </c>
    </row>
    <row r="30" spans="1:16" ht="19.5" customHeight="1">
      <c r="A30" s="123"/>
      <c r="B30" s="310">
        <v>22</v>
      </c>
      <c r="C30" s="314" t="s">
        <v>1390</v>
      </c>
      <c r="D30" s="102">
        <v>1</v>
      </c>
      <c r="E30" s="24" t="s">
        <v>52</v>
      </c>
      <c r="F30" s="39"/>
      <c r="G30" s="32"/>
      <c r="H30" s="32"/>
      <c r="I30" s="32"/>
      <c r="J30" s="32"/>
      <c r="K30" s="32"/>
      <c r="L30" s="32"/>
      <c r="M30" s="32"/>
      <c r="N30" s="32"/>
      <c r="O30" s="112"/>
      <c r="P30" s="170">
        <f t="shared" si="2"/>
        <v>22</v>
      </c>
    </row>
    <row r="31" spans="1:16" ht="19.5" customHeight="1">
      <c r="A31" s="123"/>
      <c r="B31" s="310">
        <v>23</v>
      </c>
      <c r="C31" s="314" t="s">
        <v>1391</v>
      </c>
      <c r="D31" s="102">
        <v>1</v>
      </c>
      <c r="E31" s="24" t="s">
        <v>52</v>
      </c>
      <c r="F31" s="39"/>
      <c r="G31" s="32"/>
      <c r="H31" s="32"/>
      <c r="I31" s="32"/>
      <c r="J31" s="32"/>
      <c r="K31" s="32"/>
      <c r="L31" s="32"/>
      <c r="M31" s="32"/>
      <c r="N31" s="32"/>
      <c r="O31" s="112"/>
      <c r="P31" s="170">
        <f t="shared" si="2"/>
        <v>23</v>
      </c>
    </row>
    <row r="32" spans="1:16" ht="19.5" customHeight="1">
      <c r="A32" s="123"/>
      <c r="B32" s="310">
        <v>24</v>
      </c>
      <c r="C32" s="314" t="s">
        <v>1392</v>
      </c>
      <c r="D32" s="102">
        <v>1</v>
      </c>
      <c r="E32" s="24" t="s">
        <v>52</v>
      </c>
      <c r="F32" s="39"/>
      <c r="G32" s="32"/>
      <c r="H32" s="32"/>
      <c r="I32" s="32"/>
      <c r="J32" s="32">
        <v>39900</v>
      </c>
      <c r="K32" s="32"/>
      <c r="L32" s="32"/>
      <c r="M32" s="32"/>
      <c r="N32" s="32"/>
      <c r="O32" s="112"/>
      <c r="P32" s="170">
        <f t="shared" si="2"/>
        <v>24</v>
      </c>
    </row>
    <row r="33" spans="1:16" ht="19.5" customHeight="1">
      <c r="A33" s="123"/>
      <c r="B33" s="310">
        <v>25</v>
      </c>
      <c r="C33" s="314" t="s">
        <v>1393</v>
      </c>
      <c r="D33" s="102">
        <v>1</v>
      </c>
      <c r="E33" s="24" t="s">
        <v>52</v>
      </c>
      <c r="F33" s="39"/>
      <c r="G33" s="32"/>
      <c r="H33" s="32"/>
      <c r="I33" s="32"/>
      <c r="J33" s="32"/>
      <c r="K33" s="32"/>
      <c r="L33" s="32"/>
      <c r="M33" s="32"/>
      <c r="N33" s="32"/>
      <c r="O33" s="112"/>
      <c r="P33" s="170">
        <f t="shared" si="2"/>
        <v>25</v>
      </c>
    </row>
    <row r="34" spans="1:16" ht="19.5" customHeight="1">
      <c r="A34" s="123"/>
      <c r="B34" s="310">
        <v>26</v>
      </c>
      <c r="C34" s="314" t="s">
        <v>1394</v>
      </c>
      <c r="D34" s="102">
        <v>1</v>
      </c>
      <c r="E34" s="24" t="s">
        <v>52</v>
      </c>
      <c r="F34" s="39"/>
      <c r="G34" s="32"/>
      <c r="H34" s="32"/>
      <c r="I34" s="32"/>
      <c r="J34" s="32"/>
      <c r="K34" s="32"/>
      <c r="L34" s="32"/>
      <c r="M34" s="32"/>
      <c r="N34" s="32"/>
      <c r="O34" s="112"/>
      <c r="P34" s="170">
        <f t="shared" si="2"/>
        <v>26</v>
      </c>
    </row>
    <row r="35" spans="1:16" ht="19.5" customHeight="1">
      <c r="A35" s="123"/>
      <c r="B35" s="310">
        <v>27</v>
      </c>
      <c r="C35" s="312" t="s">
        <v>1395</v>
      </c>
      <c r="D35" s="102">
        <v>1</v>
      </c>
      <c r="E35" s="24" t="s">
        <v>52</v>
      </c>
      <c r="F35" s="39"/>
      <c r="G35" s="39"/>
      <c r="H35" s="39"/>
      <c r="I35" s="39"/>
      <c r="J35" s="32">
        <v>2200</v>
      </c>
      <c r="K35" s="32"/>
      <c r="L35" s="32"/>
      <c r="M35" s="32"/>
      <c r="N35" s="32"/>
      <c r="O35" s="112"/>
      <c r="P35" s="170">
        <f t="shared" si="2"/>
        <v>27</v>
      </c>
    </row>
    <row r="36" spans="1:16" ht="19.5" customHeight="1">
      <c r="A36" s="123"/>
      <c r="B36" s="310">
        <v>28</v>
      </c>
      <c r="C36" s="312" t="s">
        <v>1396</v>
      </c>
      <c r="D36" s="102">
        <v>1</v>
      </c>
      <c r="E36" s="24" t="s">
        <v>52</v>
      </c>
      <c r="F36" s="39"/>
      <c r="G36" s="39"/>
      <c r="H36" s="39"/>
      <c r="I36" s="39"/>
      <c r="J36" s="32"/>
      <c r="K36" s="32"/>
      <c r="L36" s="32"/>
      <c r="M36" s="32"/>
      <c r="N36" s="32"/>
      <c r="O36" s="112"/>
      <c r="P36" s="170">
        <f t="shared" si="2"/>
        <v>28</v>
      </c>
    </row>
    <row r="37" spans="1:16" ht="19.5" customHeight="1">
      <c r="A37" s="123"/>
      <c r="B37" s="310">
        <v>29</v>
      </c>
      <c r="C37" s="312" t="s">
        <v>1397</v>
      </c>
      <c r="D37" s="102">
        <v>1</v>
      </c>
      <c r="E37" s="24" t="s">
        <v>52</v>
      </c>
      <c r="F37" s="39"/>
      <c r="G37" s="39"/>
      <c r="H37" s="39"/>
      <c r="I37" s="39"/>
      <c r="J37" s="32"/>
      <c r="K37" s="32"/>
      <c r="L37" s="32"/>
      <c r="M37" s="32"/>
      <c r="N37" s="32"/>
      <c r="O37" s="112"/>
      <c r="P37" s="170">
        <f t="shared" si="2"/>
        <v>29</v>
      </c>
    </row>
    <row r="38" spans="1:16" ht="19.5" customHeight="1">
      <c r="A38" s="123"/>
      <c r="B38" s="310">
        <v>30</v>
      </c>
      <c r="C38" s="312" t="s">
        <v>1398</v>
      </c>
      <c r="D38" s="102">
        <v>1</v>
      </c>
      <c r="E38" s="24" t="s">
        <v>52</v>
      </c>
      <c r="F38" s="39"/>
      <c r="G38" s="26"/>
      <c r="H38" s="26"/>
      <c r="I38" s="26"/>
      <c r="J38" s="26"/>
      <c r="K38" s="26"/>
      <c r="L38" s="26"/>
      <c r="M38" s="26"/>
      <c r="N38" s="26"/>
      <c r="O38" s="1"/>
      <c r="P38" s="170">
        <f t="shared" si="2"/>
        <v>30</v>
      </c>
    </row>
    <row r="39" spans="1:16" ht="19.5" customHeight="1">
      <c r="A39" s="123"/>
      <c r="B39" s="310">
        <v>31</v>
      </c>
      <c r="C39" s="312" t="s">
        <v>1399</v>
      </c>
      <c r="D39" s="102">
        <v>1</v>
      </c>
      <c r="E39" s="24" t="s">
        <v>52</v>
      </c>
      <c r="F39" s="39"/>
      <c r="G39" s="26"/>
      <c r="H39" s="26"/>
      <c r="I39" s="26"/>
      <c r="J39" s="26"/>
      <c r="K39" s="26"/>
      <c r="L39" s="26"/>
      <c r="M39" s="26"/>
      <c r="N39" s="26"/>
      <c r="O39" s="1"/>
      <c r="P39" s="170">
        <f t="shared" si="2"/>
        <v>31</v>
      </c>
    </row>
    <row r="40" spans="1:16" ht="19.5" customHeight="1">
      <c r="A40" s="123"/>
      <c r="B40" s="310">
        <v>32</v>
      </c>
      <c r="C40" s="312" t="s">
        <v>1400</v>
      </c>
      <c r="D40" s="102">
        <v>1</v>
      </c>
      <c r="E40" s="24" t="s">
        <v>52</v>
      </c>
      <c r="F40" s="39"/>
      <c r="G40" s="26"/>
      <c r="H40" s="26"/>
      <c r="I40" s="26"/>
      <c r="J40" s="26"/>
      <c r="K40" s="26"/>
      <c r="L40" s="26"/>
      <c r="M40" s="26"/>
      <c r="N40" s="26"/>
      <c r="O40" s="1"/>
      <c r="P40" s="170">
        <f t="shared" si="2"/>
        <v>32</v>
      </c>
    </row>
    <row r="41" spans="1:16" ht="19.5" customHeight="1">
      <c r="A41" s="123"/>
      <c r="B41" s="310">
        <v>33</v>
      </c>
      <c r="C41" s="312" t="s">
        <v>1401</v>
      </c>
      <c r="D41" s="102">
        <v>1</v>
      </c>
      <c r="E41" s="24" t="s">
        <v>52</v>
      </c>
      <c r="F41" s="39"/>
      <c r="G41" s="127"/>
      <c r="H41" s="127"/>
      <c r="I41" s="127"/>
      <c r="J41" s="26"/>
      <c r="K41" s="26"/>
      <c r="L41" s="26"/>
      <c r="M41" s="26"/>
      <c r="N41" s="26"/>
      <c r="O41" s="1"/>
      <c r="P41" s="170">
        <f t="shared" si="2"/>
        <v>33</v>
      </c>
    </row>
    <row r="42" spans="1:16" ht="19.5" customHeight="1">
      <c r="A42" s="123"/>
      <c r="B42" s="310">
        <v>34</v>
      </c>
      <c r="C42" s="312" t="s">
        <v>1402</v>
      </c>
      <c r="D42" s="102">
        <v>1</v>
      </c>
      <c r="E42" s="24" t="s">
        <v>52</v>
      </c>
      <c r="F42" s="39"/>
      <c r="G42" s="127"/>
      <c r="H42" s="127"/>
      <c r="I42" s="127"/>
      <c r="J42" s="26"/>
      <c r="K42" s="26"/>
      <c r="L42" s="26"/>
      <c r="M42" s="26"/>
      <c r="N42" s="26"/>
      <c r="O42" s="1"/>
      <c r="P42" s="170">
        <f t="shared" si="2"/>
        <v>34</v>
      </c>
    </row>
    <row r="43" spans="1:16" ht="19.5" customHeight="1">
      <c r="A43" s="123"/>
      <c r="B43" s="310">
        <v>35</v>
      </c>
      <c r="C43" s="312" t="s">
        <v>1403</v>
      </c>
      <c r="D43" s="102">
        <v>1</v>
      </c>
      <c r="E43" s="24" t="s">
        <v>52</v>
      </c>
      <c r="F43" s="39"/>
      <c r="G43" s="127"/>
      <c r="H43" s="127"/>
      <c r="I43" s="127"/>
      <c r="J43" s="26"/>
      <c r="K43" s="26"/>
      <c r="L43" s="26"/>
      <c r="M43" s="26"/>
      <c r="N43" s="26"/>
      <c r="O43" s="1"/>
      <c r="P43" s="170">
        <f t="shared" si="2"/>
        <v>35</v>
      </c>
    </row>
    <row r="44" spans="1:16" ht="19.5" customHeight="1">
      <c r="A44" s="123"/>
      <c r="B44" s="310">
        <v>36</v>
      </c>
      <c r="C44" s="312" t="s">
        <v>1404</v>
      </c>
      <c r="D44" s="102">
        <v>1</v>
      </c>
      <c r="E44" s="24" t="s">
        <v>52</v>
      </c>
      <c r="F44" s="39"/>
      <c r="G44" s="127"/>
      <c r="H44" s="127"/>
      <c r="I44" s="127"/>
      <c r="J44" s="26"/>
      <c r="K44" s="26"/>
      <c r="L44" s="26"/>
      <c r="M44" s="26"/>
      <c r="N44" s="26"/>
      <c r="O44" s="1"/>
      <c r="P44" s="170">
        <f t="shared" si="2"/>
        <v>36</v>
      </c>
    </row>
    <row r="45" spans="1:16" ht="19.5" customHeight="1">
      <c r="A45" s="123"/>
      <c r="B45" s="310">
        <v>37</v>
      </c>
      <c r="C45" s="312" t="s">
        <v>1405</v>
      </c>
      <c r="D45" s="102">
        <v>1</v>
      </c>
      <c r="E45" s="24" t="s">
        <v>52</v>
      </c>
      <c r="F45" s="39"/>
      <c r="G45" s="127"/>
      <c r="H45" s="127"/>
      <c r="I45" s="127"/>
      <c r="J45" s="26"/>
      <c r="K45" s="26"/>
      <c r="L45" s="26"/>
      <c r="M45" s="26"/>
      <c r="N45" s="26"/>
      <c r="O45" s="1"/>
      <c r="P45" s="170">
        <f t="shared" si="2"/>
        <v>37</v>
      </c>
    </row>
    <row r="46" spans="1:16" ht="19.5" customHeight="1">
      <c r="A46" s="123"/>
      <c r="B46" s="310">
        <v>38</v>
      </c>
      <c r="C46" s="312" t="s">
        <v>1406</v>
      </c>
      <c r="D46" s="102">
        <v>1</v>
      </c>
      <c r="E46" s="24" t="s">
        <v>52</v>
      </c>
      <c r="F46" s="39"/>
      <c r="G46" s="127"/>
      <c r="H46" s="127"/>
      <c r="I46" s="127"/>
      <c r="J46" s="26"/>
      <c r="K46" s="26"/>
      <c r="L46" s="26"/>
      <c r="M46" s="26"/>
      <c r="N46" s="26"/>
      <c r="O46" s="1"/>
      <c r="P46" s="170">
        <f t="shared" si="2"/>
        <v>38</v>
      </c>
    </row>
    <row r="47" spans="1:16" ht="19.5" customHeight="1">
      <c r="A47" s="123"/>
      <c r="B47" s="310">
        <v>39</v>
      </c>
      <c r="C47" s="312" t="s">
        <v>1407</v>
      </c>
      <c r="D47" s="102">
        <v>1</v>
      </c>
      <c r="E47" s="24" t="s">
        <v>52</v>
      </c>
      <c r="F47" s="39"/>
      <c r="G47" s="127"/>
      <c r="H47" s="127"/>
      <c r="I47" s="127"/>
      <c r="J47" s="26"/>
      <c r="K47" s="26"/>
      <c r="L47" s="26"/>
      <c r="M47" s="26"/>
      <c r="N47" s="26"/>
      <c r="O47" s="1"/>
      <c r="P47" s="170">
        <f t="shared" si="2"/>
        <v>39</v>
      </c>
    </row>
    <row r="48" spans="1:16" ht="19.5" customHeight="1">
      <c r="A48" s="123"/>
      <c r="B48" s="310">
        <v>40</v>
      </c>
      <c r="C48" s="312" t="s">
        <v>1408</v>
      </c>
      <c r="D48" s="102">
        <v>1</v>
      </c>
      <c r="E48" s="24" t="s">
        <v>52</v>
      </c>
      <c r="F48" s="39"/>
      <c r="G48" s="127"/>
      <c r="H48" s="127"/>
      <c r="I48" s="127"/>
      <c r="J48" s="26"/>
      <c r="K48" s="26"/>
      <c r="L48" s="26"/>
      <c r="M48" s="26"/>
      <c r="N48" s="26"/>
      <c r="O48" s="1"/>
      <c r="P48" s="170">
        <f t="shared" si="2"/>
        <v>40</v>
      </c>
    </row>
    <row r="49" spans="1:16" ht="19.5" customHeight="1">
      <c r="A49" s="123"/>
      <c r="B49" s="310">
        <v>41</v>
      </c>
      <c r="C49" s="312" t="s">
        <v>1409</v>
      </c>
      <c r="D49" s="102">
        <v>1</v>
      </c>
      <c r="E49" s="24" t="s">
        <v>52</v>
      </c>
      <c r="F49" s="39"/>
      <c r="G49" s="127"/>
      <c r="H49" s="127"/>
      <c r="I49" s="127"/>
      <c r="J49" s="26"/>
      <c r="K49" s="26"/>
      <c r="L49" s="26"/>
      <c r="M49" s="26"/>
      <c r="N49" s="26"/>
      <c r="O49" s="1"/>
      <c r="P49" s="170">
        <f t="shared" si="2"/>
        <v>41</v>
      </c>
    </row>
    <row r="50" spans="1:16" ht="19.5" customHeight="1">
      <c r="A50" s="123"/>
      <c r="B50" s="310">
        <v>42</v>
      </c>
      <c r="C50" s="312" t="s">
        <v>1410</v>
      </c>
      <c r="D50" s="102">
        <v>1</v>
      </c>
      <c r="E50" s="24" t="s">
        <v>52</v>
      </c>
      <c r="F50" s="39"/>
      <c r="G50" s="127"/>
      <c r="H50" s="127"/>
      <c r="I50" s="127"/>
      <c r="J50" s="26"/>
      <c r="K50" s="26"/>
      <c r="L50" s="26"/>
      <c r="M50" s="26"/>
      <c r="N50" s="26"/>
      <c r="O50" s="1"/>
      <c r="P50" s="170">
        <f t="shared" si="2"/>
        <v>42</v>
      </c>
    </row>
    <row r="51" spans="1:16" ht="19.5" customHeight="1">
      <c r="A51" s="123"/>
      <c r="B51" s="310">
        <v>43</v>
      </c>
      <c r="C51" s="312" t="s">
        <v>1411</v>
      </c>
      <c r="D51" s="102">
        <v>1</v>
      </c>
      <c r="E51" s="24" t="s">
        <v>52</v>
      </c>
      <c r="F51" s="39"/>
      <c r="G51" s="127"/>
      <c r="H51" s="127"/>
      <c r="I51" s="127"/>
      <c r="J51" s="26"/>
      <c r="K51" s="26"/>
      <c r="L51" s="26"/>
      <c r="M51" s="26"/>
      <c r="N51" s="26"/>
      <c r="O51" s="1"/>
      <c r="P51" s="170">
        <f t="shared" si="2"/>
        <v>43</v>
      </c>
    </row>
    <row r="52" spans="1:16" ht="19.5" customHeight="1">
      <c r="A52" s="123"/>
      <c r="B52" s="310">
        <v>44</v>
      </c>
      <c r="C52" s="312" t="s">
        <v>1412</v>
      </c>
      <c r="D52" s="102">
        <v>1</v>
      </c>
      <c r="E52" s="24" t="s">
        <v>52</v>
      </c>
      <c r="F52" s="39"/>
      <c r="G52" s="127"/>
      <c r="H52" s="127"/>
      <c r="I52" s="127"/>
      <c r="J52" s="26"/>
      <c r="K52" s="26"/>
      <c r="L52" s="26"/>
      <c r="M52" s="26"/>
      <c r="N52" s="26"/>
      <c r="O52" s="1"/>
      <c r="P52" s="170">
        <f t="shared" si="2"/>
        <v>44</v>
      </c>
    </row>
    <row r="53" spans="1:16" ht="19.5" customHeight="1">
      <c r="A53" s="123"/>
      <c r="B53" s="310"/>
      <c r="C53" s="312" t="s">
        <v>1413</v>
      </c>
      <c r="D53" s="102"/>
      <c r="E53" s="102"/>
      <c r="F53" s="127"/>
      <c r="G53" s="127"/>
      <c r="H53" s="127"/>
      <c r="I53" s="127"/>
      <c r="J53" s="26"/>
      <c r="K53" s="26"/>
      <c r="L53" s="26"/>
      <c r="M53" s="26"/>
      <c r="N53" s="26"/>
      <c r="O53" s="1"/>
      <c r="P53" s="170" t="str">
        <f t="shared" si="2"/>
        <v/>
      </c>
    </row>
    <row r="54" spans="1:16" ht="19.5" customHeight="1">
      <c r="A54" s="123"/>
      <c r="B54" s="310">
        <v>45</v>
      </c>
      <c r="C54" s="312" t="s">
        <v>1414</v>
      </c>
      <c r="D54" s="102">
        <v>1</v>
      </c>
      <c r="E54" s="24" t="s">
        <v>52</v>
      </c>
      <c r="F54" s="39"/>
      <c r="G54" s="127"/>
      <c r="H54" s="127"/>
      <c r="I54" s="127"/>
      <c r="J54" s="26"/>
      <c r="K54" s="26"/>
      <c r="L54" s="26"/>
      <c r="M54" s="26"/>
      <c r="N54" s="26"/>
      <c r="O54" s="1"/>
      <c r="P54" s="170">
        <f>IF((D54)=0,"",(B52+1))</f>
        <v>45</v>
      </c>
    </row>
    <row r="55" spans="1:16" ht="19.5" customHeight="1">
      <c r="A55" s="123"/>
      <c r="B55" s="310">
        <v>46</v>
      </c>
      <c r="C55" s="312" t="s">
        <v>1415</v>
      </c>
      <c r="D55" s="102">
        <v>1</v>
      </c>
      <c r="E55" s="24" t="s">
        <v>52</v>
      </c>
      <c r="F55" s="39"/>
      <c r="G55" s="127"/>
      <c r="H55" s="127"/>
      <c r="I55" s="127"/>
      <c r="J55" s="26"/>
      <c r="K55" s="26"/>
      <c r="L55" s="26"/>
      <c r="M55" s="26"/>
      <c r="N55" s="26"/>
      <c r="O55" s="1"/>
      <c r="P55" s="170">
        <f t="shared" ref="P55:P65" si="3">IF((D55)=0,"",(B54+1))</f>
        <v>46</v>
      </c>
    </row>
    <row r="56" spans="1:16" ht="19.5" customHeight="1">
      <c r="A56" s="123"/>
      <c r="B56" s="310">
        <v>47</v>
      </c>
      <c r="C56" s="312" t="s">
        <v>1416</v>
      </c>
      <c r="D56" s="102">
        <v>1</v>
      </c>
      <c r="E56" s="24" t="s">
        <v>52</v>
      </c>
      <c r="F56" s="39"/>
      <c r="G56" s="127"/>
      <c r="H56" s="127"/>
      <c r="I56" s="127"/>
      <c r="J56" s="26"/>
      <c r="K56" s="26"/>
      <c r="L56" s="26"/>
      <c r="M56" s="26"/>
      <c r="N56" s="26"/>
      <c r="O56" s="1"/>
      <c r="P56" s="170">
        <f t="shared" si="3"/>
        <v>47</v>
      </c>
    </row>
    <row r="57" spans="1:16" ht="19.5" customHeight="1">
      <c r="A57" s="123"/>
      <c r="B57" s="310">
        <v>48</v>
      </c>
      <c r="C57" s="312" t="s">
        <v>1417</v>
      </c>
      <c r="D57" s="102">
        <v>1</v>
      </c>
      <c r="E57" s="24" t="s">
        <v>52</v>
      </c>
      <c r="F57" s="39"/>
      <c r="G57" s="127"/>
      <c r="H57" s="127"/>
      <c r="I57" s="127"/>
      <c r="J57" s="26">
        <v>765</v>
      </c>
      <c r="K57" s="26"/>
      <c r="L57" s="26"/>
      <c r="M57" s="26"/>
      <c r="N57" s="26"/>
      <c r="O57" s="1"/>
      <c r="P57" s="170">
        <f t="shared" si="3"/>
        <v>48</v>
      </c>
    </row>
    <row r="58" spans="1:16" ht="19.5" customHeight="1">
      <c r="A58" s="123"/>
      <c r="B58" s="310">
        <v>49</v>
      </c>
      <c r="C58" s="312" t="s">
        <v>1418</v>
      </c>
      <c r="D58" s="102">
        <v>1</v>
      </c>
      <c r="E58" s="24" t="s">
        <v>52</v>
      </c>
      <c r="F58" s="39"/>
      <c r="G58" s="127"/>
      <c r="H58" s="127"/>
      <c r="I58" s="127"/>
      <c r="J58" s="26">
        <v>1135</v>
      </c>
      <c r="K58" s="26"/>
      <c r="L58" s="26"/>
      <c r="M58" s="26"/>
      <c r="N58" s="26"/>
      <c r="O58" s="1"/>
      <c r="P58" s="170">
        <f t="shared" si="3"/>
        <v>49</v>
      </c>
    </row>
    <row r="59" spans="1:16" ht="19.5" customHeight="1">
      <c r="A59" s="123"/>
      <c r="B59" s="310">
        <v>50</v>
      </c>
      <c r="C59" s="312" t="s">
        <v>1419</v>
      </c>
      <c r="D59" s="102">
        <v>1</v>
      </c>
      <c r="E59" s="24" t="s">
        <v>52</v>
      </c>
      <c r="F59" s="39"/>
      <c r="G59" s="127"/>
      <c r="H59" s="127"/>
      <c r="I59" s="127"/>
      <c r="J59" s="26">
        <v>1661</v>
      </c>
      <c r="K59" s="26"/>
      <c r="L59" s="26"/>
      <c r="M59" s="26"/>
      <c r="N59" s="26"/>
      <c r="O59" s="1"/>
      <c r="P59" s="170">
        <f t="shared" si="3"/>
        <v>50</v>
      </c>
    </row>
    <row r="60" spans="1:16" ht="19.5" customHeight="1">
      <c r="A60" s="123"/>
      <c r="B60" s="310">
        <v>51</v>
      </c>
      <c r="C60" s="312" t="s">
        <v>1420</v>
      </c>
      <c r="D60" s="102">
        <v>1</v>
      </c>
      <c r="E60" s="24" t="s">
        <v>52</v>
      </c>
      <c r="F60" s="39"/>
      <c r="G60" s="127"/>
      <c r="H60" s="127"/>
      <c r="I60" s="127"/>
      <c r="J60" s="26"/>
      <c r="K60" s="26"/>
      <c r="L60" s="26"/>
      <c r="M60" s="26"/>
      <c r="N60" s="26"/>
      <c r="O60" s="1"/>
      <c r="P60" s="170">
        <f t="shared" si="3"/>
        <v>51</v>
      </c>
    </row>
    <row r="61" spans="1:16" ht="19.5" customHeight="1">
      <c r="A61" s="123"/>
      <c r="B61" s="310">
        <v>52</v>
      </c>
      <c r="C61" s="312" t="s">
        <v>1421</v>
      </c>
      <c r="D61" s="102">
        <v>1</v>
      </c>
      <c r="E61" s="24" t="s">
        <v>52</v>
      </c>
      <c r="F61" s="39"/>
      <c r="G61" s="127"/>
      <c r="H61" s="127"/>
      <c r="I61" s="127"/>
      <c r="J61" s="26">
        <v>750</v>
      </c>
      <c r="K61" s="26"/>
      <c r="L61" s="26"/>
      <c r="M61" s="26"/>
      <c r="N61" s="26"/>
      <c r="O61" s="1"/>
      <c r="P61" s="170">
        <f t="shared" si="3"/>
        <v>52</v>
      </c>
    </row>
    <row r="62" spans="1:16" ht="19.5" customHeight="1">
      <c r="A62" s="123"/>
      <c r="B62" s="310">
        <v>53</v>
      </c>
      <c r="C62" s="312" t="s">
        <v>1422</v>
      </c>
      <c r="D62" s="102">
        <v>1</v>
      </c>
      <c r="E62" s="24" t="s">
        <v>52</v>
      </c>
      <c r="F62" s="39"/>
      <c r="G62" s="127"/>
      <c r="H62" s="127"/>
      <c r="I62" s="127"/>
      <c r="J62" s="26">
        <v>190</v>
      </c>
      <c r="K62" s="26"/>
      <c r="L62" s="26"/>
      <c r="M62" s="26"/>
      <c r="N62" s="26"/>
      <c r="O62" s="1"/>
      <c r="P62" s="170">
        <f t="shared" si="3"/>
        <v>53</v>
      </c>
    </row>
    <row r="63" spans="1:16" ht="19.5" customHeight="1">
      <c r="A63" s="123"/>
      <c r="B63" s="310">
        <v>54</v>
      </c>
      <c r="C63" s="312" t="s">
        <v>1037</v>
      </c>
      <c r="D63" s="102">
        <v>1</v>
      </c>
      <c r="E63" s="24" t="s">
        <v>1043</v>
      </c>
      <c r="F63" s="39"/>
      <c r="G63" s="127"/>
      <c r="H63" s="127"/>
      <c r="I63" s="127"/>
      <c r="J63" s="26">
        <v>1600</v>
      </c>
      <c r="K63" s="26"/>
      <c r="L63" s="26"/>
      <c r="M63" s="26"/>
      <c r="N63" s="26">
        <f>1650</f>
        <v>1650</v>
      </c>
      <c r="O63" s="1"/>
      <c r="P63" s="170">
        <f t="shared" si="3"/>
        <v>54</v>
      </c>
    </row>
    <row r="64" spans="1:16" ht="19.5" customHeight="1">
      <c r="A64" s="123"/>
      <c r="B64" s="310">
        <v>55</v>
      </c>
      <c r="C64" s="312" t="s">
        <v>1423</v>
      </c>
      <c r="D64" s="102">
        <v>1</v>
      </c>
      <c r="E64" s="24" t="s">
        <v>52</v>
      </c>
      <c r="F64" s="39"/>
      <c r="G64" s="127"/>
      <c r="H64" s="127"/>
      <c r="I64" s="127"/>
      <c r="J64" s="26"/>
      <c r="K64" s="26"/>
      <c r="L64" s="26"/>
      <c r="M64" s="26"/>
      <c r="N64" s="26"/>
      <c r="O64" s="1"/>
      <c r="P64" s="170">
        <f t="shared" si="3"/>
        <v>55</v>
      </c>
    </row>
    <row r="65" spans="1:16" ht="19.5" customHeight="1">
      <c r="A65" s="123"/>
      <c r="B65" s="310"/>
      <c r="C65" s="312"/>
      <c r="D65" s="102"/>
      <c r="E65" s="102"/>
      <c r="F65" s="127"/>
      <c r="G65" s="127"/>
      <c r="H65" s="127"/>
      <c r="I65" s="127"/>
      <c r="J65" s="26"/>
      <c r="K65" s="26"/>
      <c r="L65" s="26"/>
      <c r="M65" s="26"/>
      <c r="N65" s="26"/>
      <c r="O65" s="1"/>
      <c r="P65" s="170" t="str">
        <f t="shared" si="3"/>
        <v/>
      </c>
    </row>
    <row r="66" spans="1:16" ht="15.75" customHeight="1">
      <c r="A66" s="1"/>
      <c r="B66" s="3"/>
      <c r="C66" s="1"/>
      <c r="D66" s="3"/>
      <c r="E66" s="3"/>
      <c r="F66" s="1"/>
      <c r="G66" s="1"/>
      <c r="H66" s="1"/>
      <c r="I66" s="1"/>
      <c r="J66" s="52"/>
      <c r="K66" s="52"/>
      <c r="L66" s="52"/>
      <c r="M66" s="52"/>
      <c r="N66" s="52"/>
      <c r="O66" s="1"/>
      <c r="P66" s="170" t="str">
        <f t="shared" ref="P66:P89" si="4">IF((D66)=0,"",(A65+1))</f>
        <v/>
      </c>
    </row>
    <row r="67" spans="1:16" ht="15.75" customHeight="1">
      <c r="A67" s="1"/>
      <c r="B67" s="3"/>
      <c r="C67" s="1"/>
      <c r="D67" s="3"/>
      <c r="E67" s="3"/>
      <c r="F67" s="1"/>
      <c r="G67" s="1"/>
      <c r="H67" s="1"/>
      <c r="I67" s="1"/>
      <c r="J67" s="52"/>
      <c r="K67" s="52"/>
      <c r="L67" s="52"/>
      <c r="M67" s="52"/>
      <c r="N67" s="52"/>
      <c r="O67" s="1"/>
      <c r="P67" s="170" t="str">
        <f t="shared" si="4"/>
        <v/>
      </c>
    </row>
    <row r="68" spans="1:16" ht="15.75" customHeight="1">
      <c r="A68" s="1"/>
      <c r="B68" s="3"/>
      <c r="C68" s="1"/>
      <c r="D68" s="3"/>
      <c r="E68" s="3"/>
      <c r="F68" s="1"/>
      <c r="G68" s="1"/>
      <c r="H68" s="1"/>
      <c r="I68" s="1"/>
      <c r="J68" s="52"/>
      <c r="K68" s="52"/>
      <c r="L68" s="52"/>
      <c r="M68" s="52"/>
      <c r="N68" s="52"/>
      <c r="O68" s="1"/>
      <c r="P68" s="170" t="str">
        <f t="shared" si="4"/>
        <v/>
      </c>
    </row>
    <row r="69" spans="1:16" ht="15.75" customHeight="1">
      <c r="A69" s="1"/>
      <c r="B69" s="3"/>
      <c r="C69" s="1"/>
      <c r="D69" s="3"/>
      <c r="E69" s="3"/>
      <c r="F69" s="1"/>
      <c r="G69" s="1"/>
      <c r="H69" s="1"/>
      <c r="I69" s="1"/>
      <c r="J69" s="52"/>
      <c r="K69" s="52"/>
      <c r="L69" s="52"/>
      <c r="M69" s="52"/>
      <c r="N69" s="52"/>
      <c r="O69" s="1"/>
      <c r="P69" s="170" t="str">
        <f t="shared" si="4"/>
        <v/>
      </c>
    </row>
    <row r="70" spans="1:16" ht="15.75" customHeight="1">
      <c r="A70" s="1"/>
      <c r="B70" s="3"/>
      <c r="C70" s="1"/>
      <c r="D70" s="3"/>
      <c r="E70" s="3"/>
      <c r="F70" s="1"/>
      <c r="G70" s="1"/>
      <c r="H70" s="1"/>
      <c r="I70" s="1"/>
      <c r="J70" s="52"/>
      <c r="K70" s="52"/>
      <c r="L70" s="52"/>
      <c r="M70" s="52"/>
      <c r="N70" s="52"/>
      <c r="O70" s="1"/>
      <c r="P70" s="170" t="str">
        <f t="shared" si="4"/>
        <v/>
      </c>
    </row>
    <row r="71" spans="1:16" ht="15.75" customHeight="1">
      <c r="A71" s="1"/>
      <c r="B71" s="3"/>
      <c r="C71" s="1"/>
      <c r="D71" s="3"/>
      <c r="E71" s="3"/>
      <c r="F71" s="1"/>
      <c r="G71" s="1"/>
      <c r="H71" s="1"/>
      <c r="I71" s="1"/>
      <c r="J71" s="52"/>
      <c r="K71" s="52"/>
      <c r="L71" s="52"/>
      <c r="M71" s="52"/>
      <c r="N71" s="52"/>
      <c r="O71" s="1"/>
      <c r="P71" s="170" t="str">
        <f t="shared" si="4"/>
        <v/>
      </c>
    </row>
    <row r="72" spans="1:16" ht="15.75" customHeight="1">
      <c r="A72" s="1"/>
      <c r="B72" s="3"/>
      <c r="C72" s="1"/>
      <c r="D72" s="3"/>
      <c r="E72" s="3"/>
      <c r="F72" s="1"/>
      <c r="G72" s="1"/>
      <c r="H72" s="1"/>
      <c r="I72" s="1"/>
      <c r="J72" s="52"/>
      <c r="K72" s="52"/>
      <c r="L72" s="52"/>
      <c r="M72" s="52"/>
      <c r="N72" s="52"/>
      <c r="O72" s="1"/>
      <c r="P72" s="170" t="str">
        <f t="shared" si="4"/>
        <v/>
      </c>
    </row>
    <row r="73" spans="1:16" ht="15.75" customHeight="1">
      <c r="A73" s="1"/>
      <c r="B73" s="3"/>
      <c r="C73" s="1"/>
      <c r="D73" s="3"/>
      <c r="E73" s="3"/>
      <c r="F73" s="1"/>
      <c r="G73" s="1"/>
      <c r="H73" s="1"/>
      <c r="I73" s="1"/>
      <c r="J73" s="52"/>
      <c r="K73" s="52"/>
      <c r="L73" s="52"/>
      <c r="M73" s="52"/>
      <c r="N73" s="52"/>
      <c r="O73" s="1"/>
      <c r="P73" s="170" t="str">
        <f t="shared" si="4"/>
        <v/>
      </c>
    </row>
    <row r="74" spans="1:16" ht="15.75" customHeight="1">
      <c r="A74" s="1"/>
      <c r="B74" s="3"/>
      <c r="C74" s="1"/>
      <c r="D74" s="3"/>
      <c r="E74" s="3"/>
      <c r="F74" s="1"/>
      <c r="G74" s="1"/>
      <c r="H74" s="1"/>
      <c r="I74" s="1"/>
      <c r="J74" s="52"/>
      <c r="K74" s="52"/>
      <c r="L74" s="52"/>
      <c r="M74" s="52"/>
      <c r="N74" s="52"/>
      <c r="O74" s="1"/>
      <c r="P74" s="170" t="str">
        <f t="shared" si="4"/>
        <v/>
      </c>
    </row>
    <row r="75" spans="1:16" ht="15.75" customHeight="1">
      <c r="A75" s="1"/>
      <c r="B75" s="3"/>
      <c r="C75" s="1"/>
      <c r="D75" s="3"/>
      <c r="E75" s="3"/>
      <c r="F75" s="1"/>
      <c r="G75" s="1"/>
      <c r="H75" s="1"/>
      <c r="I75" s="1"/>
      <c r="J75" s="52"/>
      <c r="K75" s="52"/>
      <c r="L75" s="52"/>
      <c r="M75" s="52"/>
      <c r="N75" s="52"/>
      <c r="O75" s="1"/>
      <c r="P75" s="170" t="str">
        <f t="shared" si="4"/>
        <v/>
      </c>
    </row>
    <row r="76" spans="1:16" ht="15.75" customHeight="1">
      <c r="A76" s="1"/>
      <c r="B76" s="3"/>
      <c r="C76" s="1"/>
      <c r="D76" s="3"/>
      <c r="E76" s="3"/>
      <c r="F76" s="1"/>
      <c r="G76" s="1"/>
      <c r="H76" s="1"/>
      <c r="I76" s="1"/>
      <c r="J76" s="52"/>
      <c r="K76" s="52"/>
      <c r="L76" s="52"/>
      <c r="M76" s="52"/>
      <c r="N76" s="52"/>
      <c r="O76" s="1"/>
      <c r="P76" s="170" t="str">
        <f t="shared" si="4"/>
        <v/>
      </c>
    </row>
    <row r="77" spans="1:16" ht="15.75" customHeight="1">
      <c r="A77" s="1"/>
      <c r="B77" s="3"/>
      <c r="C77" s="1"/>
      <c r="D77" s="3"/>
      <c r="E77" s="3"/>
      <c r="F77" s="1"/>
      <c r="G77" s="1"/>
      <c r="H77" s="1"/>
      <c r="I77" s="1"/>
      <c r="J77" s="52"/>
      <c r="K77" s="52"/>
      <c r="L77" s="52"/>
      <c r="M77" s="52"/>
      <c r="N77" s="52"/>
      <c r="O77" s="1"/>
      <c r="P77" s="170" t="str">
        <f t="shared" si="4"/>
        <v/>
      </c>
    </row>
    <row r="78" spans="1:16" ht="15.75" customHeight="1">
      <c r="A78" s="1"/>
      <c r="B78" s="3"/>
      <c r="C78" s="1"/>
      <c r="D78" s="3"/>
      <c r="E78" s="3"/>
      <c r="F78" s="1"/>
      <c r="G78" s="1"/>
      <c r="H78" s="1"/>
      <c r="I78" s="1"/>
      <c r="J78" s="52"/>
      <c r="K78" s="52"/>
      <c r="L78" s="52"/>
      <c r="M78" s="52"/>
      <c r="N78" s="52"/>
      <c r="O78" s="1"/>
      <c r="P78" s="170" t="str">
        <f t="shared" si="4"/>
        <v/>
      </c>
    </row>
    <row r="79" spans="1:16" ht="15.75" customHeight="1">
      <c r="A79" s="1"/>
      <c r="B79" s="3"/>
      <c r="C79" s="1"/>
      <c r="D79" s="3"/>
      <c r="E79" s="3"/>
      <c r="F79" s="1"/>
      <c r="G79" s="1"/>
      <c r="H79" s="1"/>
      <c r="I79" s="1"/>
      <c r="J79" s="52"/>
      <c r="K79" s="52"/>
      <c r="L79" s="52"/>
      <c r="M79" s="52"/>
      <c r="N79" s="52"/>
      <c r="O79" s="1"/>
      <c r="P79" s="170" t="str">
        <f t="shared" si="4"/>
        <v/>
      </c>
    </row>
    <row r="80" spans="1:16" ht="15.75" customHeight="1">
      <c r="A80" s="1"/>
      <c r="B80" s="3"/>
      <c r="C80" s="1"/>
      <c r="D80" s="3"/>
      <c r="E80" s="3"/>
      <c r="F80" s="1"/>
      <c r="G80" s="1"/>
      <c r="H80" s="1"/>
      <c r="I80" s="1"/>
      <c r="J80" s="52"/>
      <c r="K80" s="52"/>
      <c r="L80" s="52"/>
      <c r="M80" s="52"/>
      <c r="N80" s="52"/>
      <c r="O80" s="1"/>
      <c r="P80" s="170" t="str">
        <f t="shared" si="4"/>
        <v/>
      </c>
    </row>
    <row r="81" spans="1:16" ht="15.75" customHeight="1">
      <c r="A81" s="1"/>
      <c r="B81" s="3"/>
      <c r="C81" s="1"/>
      <c r="D81" s="3"/>
      <c r="E81" s="3"/>
      <c r="F81" s="1"/>
      <c r="G81" s="1"/>
      <c r="H81" s="1"/>
      <c r="I81" s="1"/>
      <c r="J81" s="52"/>
      <c r="K81" s="52"/>
      <c r="L81" s="52"/>
      <c r="M81" s="52"/>
      <c r="N81" s="52"/>
      <c r="O81" s="1"/>
      <c r="P81" s="170" t="str">
        <f t="shared" si="4"/>
        <v/>
      </c>
    </row>
    <row r="82" spans="1:16" ht="15.75" customHeight="1">
      <c r="A82" s="1"/>
      <c r="B82" s="3"/>
      <c r="C82" s="1"/>
      <c r="D82" s="3"/>
      <c r="E82" s="3"/>
      <c r="F82" s="1"/>
      <c r="G82" s="1"/>
      <c r="H82" s="1"/>
      <c r="I82" s="1"/>
      <c r="J82" s="52"/>
      <c r="K82" s="52"/>
      <c r="L82" s="52"/>
      <c r="M82" s="52"/>
      <c r="N82" s="52"/>
      <c r="O82" s="1"/>
      <c r="P82" s="170" t="str">
        <f t="shared" si="4"/>
        <v/>
      </c>
    </row>
    <row r="83" spans="1:16" ht="15.75" customHeight="1">
      <c r="A83" s="1"/>
      <c r="B83" s="3"/>
      <c r="C83" s="1"/>
      <c r="D83" s="3"/>
      <c r="E83" s="3"/>
      <c r="F83" s="1"/>
      <c r="G83" s="1"/>
      <c r="H83" s="1"/>
      <c r="I83" s="1"/>
      <c r="J83" s="52"/>
      <c r="K83" s="52"/>
      <c r="L83" s="52"/>
      <c r="M83" s="52"/>
      <c r="N83" s="52"/>
      <c r="O83" s="1"/>
      <c r="P83" s="170" t="str">
        <f t="shared" si="4"/>
        <v/>
      </c>
    </row>
    <row r="84" spans="1:16" ht="15.75" customHeight="1">
      <c r="A84" s="1"/>
      <c r="B84" s="3"/>
      <c r="C84" s="1"/>
      <c r="D84" s="3"/>
      <c r="E84" s="3"/>
      <c r="F84" s="1"/>
      <c r="G84" s="1"/>
      <c r="H84" s="1"/>
      <c r="I84" s="1"/>
      <c r="J84" s="52"/>
      <c r="K84" s="52"/>
      <c r="L84" s="52"/>
      <c r="M84" s="52"/>
      <c r="N84" s="52"/>
      <c r="O84" s="1"/>
      <c r="P84" s="170" t="str">
        <f t="shared" si="4"/>
        <v/>
      </c>
    </row>
    <row r="85" spans="1:16" ht="15.75" customHeight="1">
      <c r="A85" s="1"/>
      <c r="B85" s="3"/>
      <c r="C85" s="1"/>
      <c r="D85" s="3"/>
      <c r="E85" s="3"/>
      <c r="F85" s="1"/>
      <c r="G85" s="1"/>
      <c r="H85" s="1"/>
      <c r="I85" s="1"/>
      <c r="J85" s="52"/>
      <c r="K85" s="52"/>
      <c r="L85" s="52"/>
      <c r="M85" s="52"/>
      <c r="N85" s="52"/>
      <c r="O85" s="1"/>
      <c r="P85" s="170" t="str">
        <f t="shared" si="4"/>
        <v/>
      </c>
    </row>
    <row r="86" spans="1:16" ht="15.75" customHeight="1">
      <c r="A86" s="1"/>
      <c r="B86" s="3"/>
      <c r="C86" s="1"/>
      <c r="D86" s="3"/>
      <c r="E86" s="3"/>
      <c r="F86" s="1"/>
      <c r="G86" s="1"/>
      <c r="H86" s="1"/>
      <c r="I86" s="1"/>
      <c r="J86" s="52"/>
      <c r="K86" s="52"/>
      <c r="L86" s="52"/>
      <c r="M86" s="52"/>
      <c r="N86" s="52"/>
      <c r="O86" s="1"/>
      <c r="P86" s="170" t="str">
        <f t="shared" si="4"/>
        <v/>
      </c>
    </row>
    <row r="87" spans="1:16" ht="15.75" customHeight="1">
      <c r="A87" s="1"/>
      <c r="B87" s="3"/>
      <c r="C87" s="1"/>
      <c r="D87" s="3"/>
      <c r="E87" s="3"/>
      <c r="F87" s="1"/>
      <c r="G87" s="1"/>
      <c r="H87" s="1"/>
      <c r="I87" s="1"/>
      <c r="J87" s="52"/>
      <c r="K87" s="52"/>
      <c r="L87" s="52"/>
      <c r="M87" s="52"/>
      <c r="N87" s="52"/>
      <c r="O87" s="1"/>
      <c r="P87" s="170" t="str">
        <f t="shared" si="4"/>
        <v/>
      </c>
    </row>
    <row r="88" spans="1:16" ht="15.75" customHeight="1">
      <c r="A88" s="1"/>
      <c r="B88" s="3"/>
      <c r="C88" s="1"/>
      <c r="D88" s="3"/>
      <c r="E88" s="3"/>
      <c r="F88" s="1"/>
      <c r="G88" s="1"/>
      <c r="H88" s="1"/>
      <c r="I88" s="1"/>
      <c r="J88" s="52"/>
      <c r="K88" s="52"/>
      <c r="L88" s="52"/>
      <c r="M88" s="52"/>
      <c r="N88" s="52"/>
      <c r="O88" s="1"/>
      <c r="P88" s="170" t="str">
        <f t="shared" si="4"/>
        <v/>
      </c>
    </row>
    <row r="89" spans="1:16" ht="15.75" customHeight="1">
      <c r="A89" s="1"/>
      <c r="B89" s="3"/>
      <c r="C89" s="1"/>
      <c r="D89" s="3"/>
      <c r="E89" s="3"/>
      <c r="F89" s="1"/>
      <c r="G89" s="1"/>
      <c r="H89" s="1"/>
      <c r="I89" s="1"/>
      <c r="J89" s="52"/>
      <c r="K89" s="52"/>
      <c r="L89" s="52"/>
      <c r="M89" s="52"/>
      <c r="N89" s="52"/>
      <c r="O89" s="1"/>
      <c r="P89" s="170" t="str">
        <f t="shared" si="4"/>
        <v/>
      </c>
    </row>
    <row r="90" spans="1:16" ht="15.75" customHeight="1">
      <c r="A90" s="1"/>
      <c r="B90" s="3"/>
      <c r="C90" s="1"/>
      <c r="D90" s="3"/>
      <c r="E90" s="3"/>
      <c r="F90" s="1"/>
      <c r="G90" s="1"/>
      <c r="H90" s="1"/>
      <c r="I90" s="1"/>
      <c r="J90" s="52"/>
      <c r="K90" s="52"/>
      <c r="L90" s="52"/>
      <c r="M90" s="52"/>
      <c r="N90" s="52"/>
      <c r="O90" s="1"/>
      <c r="P90" s="170" t="str">
        <f>IF((D90)=0,"",(A87+1))</f>
        <v/>
      </c>
    </row>
    <row r="91" spans="1:16" ht="15.75" customHeight="1">
      <c r="A91" s="1"/>
      <c r="B91" s="3"/>
      <c r="C91" s="1"/>
      <c r="D91" s="3"/>
      <c r="E91" s="3"/>
      <c r="F91" s="1"/>
      <c r="G91" s="1"/>
      <c r="H91" s="1"/>
      <c r="I91" s="1"/>
      <c r="J91" s="52"/>
      <c r="K91" s="52"/>
      <c r="L91" s="52"/>
      <c r="M91" s="52"/>
      <c r="N91" s="52"/>
      <c r="O91" s="1"/>
      <c r="P91" s="170" t="str">
        <f t="shared" ref="P91:P104" si="5">IF((D91)=0,"",(A90+1))</f>
        <v/>
      </c>
    </row>
    <row r="92" spans="1:16" ht="15.75" customHeight="1">
      <c r="A92" s="1"/>
      <c r="B92" s="3"/>
      <c r="C92" s="1"/>
      <c r="D92" s="3"/>
      <c r="E92" s="3"/>
      <c r="F92" s="1"/>
      <c r="G92" s="1"/>
      <c r="H92" s="1"/>
      <c r="I92" s="1"/>
      <c r="J92" s="52"/>
      <c r="K92" s="52"/>
      <c r="L92" s="52"/>
      <c r="M92" s="52"/>
      <c r="N92" s="52"/>
      <c r="O92" s="1"/>
      <c r="P92" s="170" t="str">
        <f t="shared" si="5"/>
        <v/>
      </c>
    </row>
    <row r="93" spans="1:16" ht="15.75" customHeight="1">
      <c r="A93" s="1"/>
      <c r="B93" s="3"/>
      <c r="C93" s="1"/>
      <c r="D93" s="3"/>
      <c r="E93" s="3"/>
      <c r="F93" s="1"/>
      <c r="G93" s="1"/>
      <c r="H93" s="1"/>
      <c r="I93" s="1"/>
      <c r="J93" s="52"/>
      <c r="K93" s="52"/>
      <c r="L93" s="52"/>
      <c r="M93" s="52"/>
      <c r="N93" s="52"/>
      <c r="O93" s="1"/>
      <c r="P93" s="170" t="str">
        <f t="shared" si="5"/>
        <v/>
      </c>
    </row>
    <row r="94" spans="1:16" ht="15.75" customHeight="1">
      <c r="A94" s="1"/>
      <c r="B94" s="3"/>
      <c r="C94" s="1"/>
      <c r="D94" s="3"/>
      <c r="E94" s="3"/>
      <c r="F94" s="1"/>
      <c r="G94" s="1"/>
      <c r="H94" s="1"/>
      <c r="I94" s="1"/>
      <c r="J94" s="52"/>
      <c r="K94" s="52"/>
      <c r="L94" s="52"/>
      <c r="M94" s="52"/>
      <c r="N94" s="52"/>
      <c r="O94" s="1"/>
      <c r="P94" s="170" t="str">
        <f t="shared" si="5"/>
        <v/>
      </c>
    </row>
    <row r="95" spans="1:16" ht="15.75" customHeight="1">
      <c r="A95" s="1"/>
      <c r="B95" s="3"/>
      <c r="C95" s="1"/>
      <c r="D95" s="3"/>
      <c r="E95" s="3"/>
      <c r="F95" s="1"/>
      <c r="G95" s="1"/>
      <c r="H95" s="1"/>
      <c r="I95" s="1"/>
      <c r="J95" s="52"/>
      <c r="K95" s="52"/>
      <c r="L95" s="52"/>
      <c r="M95" s="52"/>
      <c r="N95" s="52"/>
      <c r="O95" s="1"/>
      <c r="P95" s="170" t="str">
        <f t="shared" si="5"/>
        <v/>
      </c>
    </row>
    <row r="96" spans="1:16" ht="15.75" customHeight="1">
      <c r="A96" s="1"/>
      <c r="B96" s="3"/>
      <c r="C96" s="1"/>
      <c r="D96" s="3"/>
      <c r="E96" s="3"/>
      <c r="F96" s="1"/>
      <c r="G96" s="1"/>
      <c r="H96" s="1"/>
      <c r="I96" s="1"/>
      <c r="J96" s="52"/>
      <c r="K96" s="52"/>
      <c r="L96" s="52"/>
      <c r="M96" s="52"/>
      <c r="N96" s="52"/>
      <c r="O96" s="1"/>
      <c r="P96" s="170" t="str">
        <f t="shared" si="5"/>
        <v/>
      </c>
    </row>
    <row r="97" spans="1:16" ht="15.75" customHeight="1">
      <c r="A97" s="1"/>
      <c r="B97" s="3"/>
      <c r="C97" s="1"/>
      <c r="D97" s="3"/>
      <c r="E97" s="3"/>
      <c r="F97" s="1"/>
      <c r="G97" s="1"/>
      <c r="H97" s="1"/>
      <c r="I97" s="1"/>
      <c r="J97" s="52"/>
      <c r="K97" s="52"/>
      <c r="L97" s="52"/>
      <c r="M97" s="52"/>
      <c r="N97" s="52"/>
      <c r="O97" s="1"/>
      <c r="P97" s="170" t="str">
        <f t="shared" si="5"/>
        <v/>
      </c>
    </row>
    <row r="98" spans="1:16" ht="15.75" customHeight="1">
      <c r="A98" s="1"/>
      <c r="B98" s="3"/>
      <c r="C98" s="1"/>
      <c r="D98" s="3"/>
      <c r="E98" s="3"/>
      <c r="F98" s="1"/>
      <c r="G98" s="1"/>
      <c r="H98" s="1"/>
      <c r="I98" s="1"/>
      <c r="J98" s="52"/>
      <c r="K98" s="52"/>
      <c r="L98" s="52"/>
      <c r="M98" s="52"/>
      <c r="N98" s="52"/>
      <c r="O98" s="1"/>
      <c r="P98" s="170" t="str">
        <f t="shared" si="5"/>
        <v/>
      </c>
    </row>
    <row r="99" spans="1:16" ht="15.75" customHeight="1">
      <c r="A99" s="1"/>
      <c r="B99" s="3"/>
      <c r="C99" s="1"/>
      <c r="D99" s="3"/>
      <c r="E99" s="3"/>
      <c r="F99" s="1"/>
      <c r="G99" s="1"/>
      <c r="H99" s="1"/>
      <c r="I99" s="1"/>
      <c r="J99" s="52"/>
      <c r="K99" s="52"/>
      <c r="L99" s="52"/>
      <c r="M99" s="52"/>
      <c r="N99" s="52"/>
      <c r="O99" s="1"/>
      <c r="P99" s="170" t="str">
        <f t="shared" si="5"/>
        <v/>
      </c>
    </row>
    <row r="100" spans="1:16" ht="15.75" customHeight="1">
      <c r="A100" s="1"/>
      <c r="B100" s="3"/>
      <c r="C100" s="1"/>
      <c r="D100" s="3"/>
      <c r="E100" s="3"/>
      <c r="F100" s="1"/>
      <c r="G100" s="1"/>
      <c r="H100" s="1"/>
      <c r="I100" s="1"/>
      <c r="J100" s="52"/>
      <c r="K100" s="52"/>
      <c r="L100" s="52"/>
      <c r="M100" s="52"/>
      <c r="N100" s="52"/>
      <c r="O100" s="1"/>
      <c r="P100" s="170" t="str">
        <f t="shared" si="5"/>
        <v/>
      </c>
    </row>
    <row r="101" spans="1:16" ht="15.75" customHeight="1">
      <c r="A101" s="1"/>
      <c r="B101" s="3"/>
      <c r="C101" s="1"/>
      <c r="D101" s="3"/>
      <c r="E101" s="3"/>
      <c r="F101" s="1"/>
      <c r="G101" s="1"/>
      <c r="H101" s="1"/>
      <c r="I101" s="1"/>
      <c r="J101" s="52"/>
      <c r="K101" s="52"/>
      <c r="L101" s="52"/>
      <c r="M101" s="52"/>
      <c r="N101" s="52"/>
      <c r="O101" s="1"/>
      <c r="P101" s="170" t="str">
        <f t="shared" si="5"/>
        <v/>
      </c>
    </row>
    <row r="102" spans="1:16" ht="15.75" customHeight="1">
      <c r="A102" s="1"/>
      <c r="B102" s="3"/>
      <c r="C102" s="1"/>
      <c r="D102" s="3"/>
      <c r="E102" s="3"/>
      <c r="F102" s="1"/>
      <c r="G102" s="1"/>
      <c r="H102" s="1"/>
      <c r="I102" s="1"/>
      <c r="J102" s="52"/>
      <c r="K102" s="52"/>
      <c r="L102" s="52"/>
      <c r="M102" s="52"/>
      <c r="N102" s="52"/>
      <c r="O102" s="1"/>
      <c r="P102" s="170" t="str">
        <f t="shared" si="5"/>
        <v/>
      </c>
    </row>
    <row r="103" spans="1:16" ht="15.75" customHeight="1">
      <c r="A103" s="1"/>
      <c r="B103" s="3"/>
      <c r="C103" s="1"/>
      <c r="D103" s="3"/>
      <c r="E103" s="3"/>
      <c r="F103" s="1"/>
      <c r="G103" s="1"/>
      <c r="H103" s="1"/>
      <c r="I103" s="1"/>
      <c r="J103" s="52"/>
      <c r="K103" s="52"/>
      <c r="L103" s="52"/>
      <c r="M103" s="52"/>
      <c r="N103" s="52"/>
      <c r="O103" s="1"/>
      <c r="P103" s="170" t="str">
        <f t="shared" si="5"/>
        <v/>
      </c>
    </row>
    <row r="104" spans="1:16" ht="15.75" customHeight="1">
      <c r="A104" s="1"/>
      <c r="B104" s="3"/>
      <c r="C104" s="1"/>
      <c r="D104" s="3"/>
      <c r="E104" s="3"/>
      <c r="F104" s="1"/>
      <c r="G104" s="1"/>
      <c r="H104" s="1"/>
      <c r="I104" s="1"/>
      <c r="J104" s="52"/>
      <c r="K104" s="52"/>
      <c r="L104" s="52"/>
      <c r="M104" s="52"/>
      <c r="N104" s="52"/>
      <c r="O104" s="1"/>
      <c r="P104" s="170" t="str">
        <f t="shared" si="5"/>
        <v/>
      </c>
    </row>
    <row r="105" spans="1:16" ht="15.75" customHeight="1">
      <c r="A105" s="1"/>
      <c r="B105" s="3"/>
      <c r="C105" s="1"/>
      <c r="D105" s="3"/>
      <c r="E105" s="3"/>
      <c r="F105" s="1"/>
      <c r="G105" s="1"/>
      <c r="H105" s="1"/>
      <c r="I105" s="1"/>
      <c r="J105" s="52"/>
      <c r="K105" s="52"/>
      <c r="L105" s="52"/>
      <c r="M105" s="52"/>
      <c r="N105" s="52"/>
      <c r="O105" s="1"/>
      <c r="P105" s="170" t="str">
        <f>IF((D105)=0,"",(A102+1))</f>
        <v/>
      </c>
    </row>
    <row r="106" spans="1:16" ht="15.75" customHeight="1">
      <c r="A106" s="1"/>
      <c r="B106" s="3"/>
      <c r="C106" s="1"/>
      <c r="D106" s="3"/>
      <c r="E106" s="3"/>
      <c r="F106" s="1"/>
      <c r="G106" s="1"/>
      <c r="H106" s="1"/>
      <c r="I106" s="1"/>
      <c r="J106" s="52"/>
      <c r="K106" s="52"/>
      <c r="L106" s="52"/>
      <c r="M106" s="52"/>
      <c r="N106" s="52"/>
      <c r="O106" s="1"/>
      <c r="P106" s="170" t="str">
        <f t="shared" ref="P106:P136" si="6">IF((D106)=0,"",(A105+1))</f>
        <v/>
      </c>
    </row>
    <row r="107" spans="1:16" ht="15.75" customHeight="1">
      <c r="A107" s="1"/>
      <c r="B107" s="3"/>
      <c r="C107" s="1"/>
      <c r="D107" s="3"/>
      <c r="E107" s="3"/>
      <c r="F107" s="1"/>
      <c r="G107" s="1"/>
      <c r="H107" s="1"/>
      <c r="I107" s="1"/>
      <c r="J107" s="52"/>
      <c r="K107" s="52"/>
      <c r="L107" s="52"/>
      <c r="M107" s="52"/>
      <c r="N107" s="52"/>
      <c r="O107" s="1"/>
      <c r="P107" s="170" t="str">
        <f t="shared" si="6"/>
        <v/>
      </c>
    </row>
    <row r="108" spans="1:16" ht="15.75" customHeight="1">
      <c r="A108" s="1"/>
      <c r="B108" s="3"/>
      <c r="C108" s="1"/>
      <c r="D108" s="3"/>
      <c r="E108" s="3"/>
      <c r="F108" s="1"/>
      <c r="G108" s="1"/>
      <c r="H108" s="1"/>
      <c r="I108" s="1"/>
      <c r="J108" s="52"/>
      <c r="K108" s="52"/>
      <c r="L108" s="52"/>
      <c r="M108" s="52"/>
      <c r="N108" s="52"/>
      <c r="O108" s="1"/>
      <c r="P108" s="170" t="str">
        <f t="shared" si="6"/>
        <v/>
      </c>
    </row>
    <row r="109" spans="1:16" ht="15.75" customHeight="1">
      <c r="A109" s="1"/>
      <c r="B109" s="3"/>
      <c r="C109" s="1"/>
      <c r="D109" s="3"/>
      <c r="E109" s="3"/>
      <c r="F109" s="1"/>
      <c r="G109" s="1"/>
      <c r="H109" s="1"/>
      <c r="I109" s="1"/>
      <c r="J109" s="52"/>
      <c r="K109" s="52"/>
      <c r="L109" s="52"/>
      <c r="M109" s="52"/>
      <c r="N109" s="52"/>
      <c r="O109" s="1"/>
      <c r="P109" s="170" t="str">
        <f t="shared" si="6"/>
        <v/>
      </c>
    </row>
    <row r="110" spans="1:16" ht="15.75" customHeight="1">
      <c r="A110" s="1"/>
      <c r="B110" s="3"/>
      <c r="C110" s="1"/>
      <c r="D110" s="3"/>
      <c r="E110" s="3"/>
      <c r="F110" s="1"/>
      <c r="G110" s="1"/>
      <c r="H110" s="1"/>
      <c r="I110" s="1"/>
      <c r="J110" s="52"/>
      <c r="K110" s="52"/>
      <c r="L110" s="52"/>
      <c r="M110" s="52"/>
      <c r="N110" s="52"/>
      <c r="O110" s="1"/>
      <c r="P110" s="170" t="str">
        <f t="shared" si="6"/>
        <v/>
      </c>
    </row>
    <row r="111" spans="1:16" ht="15.75" customHeight="1">
      <c r="A111" s="1"/>
      <c r="B111" s="3"/>
      <c r="C111" s="1"/>
      <c r="D111" s="3"/>
      <c r="E111" s="3"/>
      <c r="F111" s="1"/>
      <c r="G111" s="1"/>
      <c r="H111" s="1"/>
      <c r="I111" s="1"/>
      <c r="J111" s="52"/>
      <c r="K111" s="52"/>
      <c r="L111" s="52"/>
      <c r="M111" s="52"/>
      <c r="N111" s="52"/>
      <c r="O111" s="1"/>
      <c r="P111" s="170" t="str">
        <f t="shared" si="6"/>
        <v/>
      </c>
    </row>
    <row r="112" spans="1:16" ht="15.75" customHeight="1">
      <c r="A112" s="1"/>
      <c r="B112" s="3"/>
      <c r="C112" s="1"/>
      <c r="D112" s="3"/>
      <c r="E112" s="3"/>
      <c r="F112" s="1"/>
      <c r="G112" s="1"/>
      <c r="H112" s="1"/>
      <c r="I112" s="1"/>
      <c r="J112" s="52"/>
      <c r="K112" s="52"/>
      <c r="L112" s="52"/>
      <c r="M112" s="52"/>
      <c r="N112" s="52"/>
      <c r="O112" s="1"/>
      <c r="P112" s="170" t="str">
        <f t="shared" si="6"/>
        <v/>
      </c>
    </row>
    <row r="113" spans="1:16" ht="15.75" customHeight="1">
      <c r="A113" s="1"/>
      <c r="B113" s="3"/>
      <c r="C113" s="1"/>
      <c r="D113" s="3"/>
      <c r="E113" s="3"/>
      <c r="F113" s="1"/>
      <c r="G113" s="1"/>
      <c r="H113" s="1"/>
      <c r="I113" s="1"/>
      <c r="J113" s="52"/>
      <c r="K113" s="52"/>
      <c r="L113" s="52"/>
      <c r="M113" s="52"/>
      <c r="N113" s="52"/>
      <c r="O113" s="1"/>
      <c r="P113" s="170" t="str">
        <f t="shared" si="6"/>
        <v/>
      </c>
    </row>
    <row r="114" spans="1:16" ht="15.75" customHeight="1">
      <c r="A114" s="1"/>
      <c r="B114" s="3"/>
      <c r="C114" s="1"/>
      <c r="D114" s="3"/>
      <c r="E114" s="3"/>
      <c r="F114" s="1"/>
      <c r="G114" s="1"/>
      <c r="H114" s="1"/>
      <c r="I114" s="1"/>
      <c r="J114" s="52"/>
      <c r="K114" s="52"/>
      <c r="L114" s="52"/>
      <c r="M114" s="52"/>
      <c r="N114" s="52"/>
      <c r="O114" s="1"/>
      <c r="P114" s="170" t="str">
        <f t="shared" si="6"/>
        <v/>
      </c>
    </row>
    <row r="115" spans="1:16" ht="15.75" customHeight="1">
      <c r="A115" s="1"/>
      <c r="B115" s="3"/>
      <c r="C115" s="1"/>
      <c r="D115" s="3"/>
      <c r="E115" s="3"/>
      <c r="F115" s="1"/>
      <c r="G115" s="1"/>
      <c r="H115" s="1"/>
      <c r="I115" s="1"/>
      <c r="J115" s="52"/>
      <c r="K115" s="52"/>
      <c r="L115" s="52"/>
      <c r="M115" s="52"/>
      <c r="N115" s="52"/>
      <c r="O115" s="1"/>
      <c r="P115" s="170" t="str">
        <f t="shared" si="6"/>
        <v/>
      </c>
    </row>
    <row r="116" spans="1:16" ht="15.75" customHeight="1">
      <c r="A116" s="1"/>
      <c r="B116" s="3"/>
      <c r="C116" s="1"/>
      <c r="D116" s="3"/>
      <c r="E116" s="3"/>
      <c r="F116" s="1"/>
      <c r="G116" s="1"/>
      <c r="H116" s="1"/>
      <c r="I116" s="1"/>
      <c r="J116" s="52"/>
      <c r="K116" s="52"/>
      <c r="L116" s="52"/>
      <c r="M116" s="52"/>
      <c r="N116" s="52"/>
      <c r="O116" s="1"/>
      <c r="P116" s="170" t="str">
        <f t="shared" si="6"/>
        <v/>
      </c>
    </row>
    <row r="117" spans="1:16" ht="15.75" customHeight="1">
      <c r="A117" s="1"/>
      <c r="B117" s="3"/>
      <c r="C117" s="1"/>
      <c r="D117" s="3"/>
      <c r="E117" s="3"/>
      <c r="F117" s="1"/>
      <c r="G117" s="1"/>
      <c r="H117" s="1"/>
      <c r="I117" s="1"/>
      <c r="J117" s="52"/>
      <c r="K117" s="52"/>
      <c r="L117" s="52"/>
      <c r="M117" s="52"/>
      <c r="N117" s="52"/>
      <c r="O117" s="1"/>
      <c r="P117" s="170" t="str">
        <f t="shared" si="6"/>
        <v/>
      </c>
    </row>
    <row r="118" spans="1:16" ht="15.75" customHeight="1">
      <c r="A118" s="1"/>
      <c r="B118" s="3"/>
      <c r="C118" s="1"/>
      <c r="D118" s="3"/>
      <c r="E118" s="3"/>
      <c r="F118" s="1"/>
      <c r="G118" s="1"/>
      <c r="H118" s="1"/>
      <c r="I118" s="1"/>
      <c r="J118" s="52"/>
      <c r="K118" s="52"/>
      <c r="L118" s="52"/>
      <c r="M118" s="52"/>
      <c r="N118" s="52"/>
      <c r="O118" s="1"/>
      <c r="P118" s="170" t="str">
        <f t="shared" si="6"/>
        <v/>
      </c>
    </row>
    <row r="119" spans="1:16" ht="15.75" customHeight="1">
      <c r="A119" s="1"/>
      <c r="B119" s="3"/>
      <c r="C119" s="1"/>
      <c r="D119" s="3"/>
      <c r="E119" s="3"/>
      <c r="F119" s="1"/>
      <c r="G119" s="1"/>
      <c r="H119" s="1"/>
      <c r="I119" s="1"/>
      <c r="J119" s="52"/>
      <c r="K119" s="52"/>
      <c r="L119" s="52"/>
      <c r="M119" s="52"/>
      <c r="N119" s="52"/>
      <c r="O119" s="1"/>
      <c r="P119" s="170" t="str">
        <f t="shared" si="6"/>
        <v/>
      </c>
    </row>
    <row r="120" spans="1:16" ht="15.75" customHeight="1">
      <c r="A120" s="1"/>
      <c r="B120" s="3"/>
      <c r="C120" s="1"/>
      <c r="D120" s="3"/>
      <c r="E120" s="3"/>
      <c r="F120" s="1"/>
      <c r="G120" s="1"/>
      <c r="H120" s="1"/>
      <c r="I120" s="1"/>
      <c r="J120" s="52"/>
      <c r="K120" s="52"/>
      <c r="L120" s="52"/>
      <c r="M120" s="52"/>
      <c r="N120" s="52"/>
      <c r="O120" s="1"/>
      <c r="P120" s="170" t="str">
        <f t="shared" si="6"/>
        <v/>
      </c>
    </row>
    <row r="121" spans="1:16" ht="15.75" customHeight="1">
      <c r="A121" s="1"/>
      <c r="B121" s="3"/>
      <c r="C121" s="1"/>
      <c r="D121" s="3"/>
      <c r="E121" s="3"/>
      <c r="F121" s="1"/>
      <c r="G121" s="1"/>
      <c r="H121" s="1"/>
      <c r="I121" s="1"/>
      <c r="J121" s="52"/>
      <c r="K121" s="52"/>
      <c r="L121" s="52"/>
      <c r="M121" s="52"/>
      <c r="N121" s="52"/>
      <c r="O121" s="1"/>
      <c r="P121" s="170" t="str">
        <f t="shared" si="6"/>
        <v/>
      </c>
    </row>
    <row r="122" spans="1:16" ht="15.75" customHeight="1">
      <c r="A122" s="1"/>
      <c r="B122" s="3"/>
      <c r="C122" s="1"/>
      <c r="D122" s="3"/>
      <c r="E122" s="3"/>
      <c r="F122" s="1"/>
      <c r="G122" s="1"/>
      <c r="H122" s="1"/>
      <c r="I122" s="1"/>
      <c r="J122" s="52"/>
      <c r="K122" s="52"/>
      <c r="L122" s="52"/>
      <c r="M122" s="52"/>
      <c r="N122" s="52"/>
      <c r="O122" s="1"/>
      <c r="P122" s="170" t="str">
        <f t="shared" si="6"/>
        <v/>
      </c>
    </row>
    <row r="123" spans="1:16" ht="15.75" customHeight="1">
      <c r="A123" s="1"/>
      <c r="B123" s="3"/>
      <c r="C123" s="1"/>
      <c r="D123" s="3"/>
      <c r="E123" s="3"/>
      <c r="F123" s="1"/>
      <c r="G123" s="1"/>
      <c r="H123" s="1"/>
      <c r="I123" s="1"/>
      <c r="J123" s="52"/>
      <c r="K123" s="52"/>
      <c r="L123" s="52"/>
      <c r="M123" s="52"/>
      <c r="N123" s="52"/>
      <c r="O123" s="1"/>
      <c r="P123" s="170" t="str">
        <f t="shared" si="6"/>
        <v/>
      </c>
    </row>
    <row r="124" spans="1:16" ht="15.75" customHeight="1">
      <c r="A124" s="1"/>
      <c r="B124" s="3"/>
      <c r="C124" s="1"/>
      <c r="D124" s="3"/>
      <c r="E124" s="3"/>
      <c r="F124" s="1"/>
      <c r="G124" s="1"/>
      <c r="H124" s="1"/>
      <c r="I124" s="1"/>
      <c r="J124" s="52"/>
      <c r="K124" s="52"/>
      <c r="L124" s="52"/>
      <c r="M124" s="52"/>
      <c r="N124" s="52"/>
      <c r="O124" s="1"/>
      <c r="P124" s="170" t="str">
        <f t="shared" si="6"/>
        <v/>
      </c>
    </row>
    <row r="125" spans="1:16" ht="15.75" customHeight="1">
      <c r="A125" s="1"/>
      <c r="B125" s="3"/>
      <c r="C125" s="1"/>
      <c r="D125" s="3"/>
      <c r="E125" s="3"/>
      <c r="F125" s="1"/>
      <c r="G125" s="1"/>
      <c r="H125" s="1"/>
      <c r="I125" s="1"/>
      <c r="J125" s="52"/>
      <c r="K125" s="52"/>
      <c r="L125" s="52"/>
      <c r="M125" s="52"/>
      <c r="N125" s="52"/>
      <c r="O125" s="1"/>
      <c r="P125" s="170" t="str">
        <f t="shared" si="6"/>
        <v/>
      </c>
    </row>
    <row r="126" spans="1:16" ht="15.75" customHeight="1">
      <c r="A126" s="1"/>
      <c r="B126" s="3"/>
      <c r="C126" s="1"/>
      <c r="D126" s="3"/>
      <c r="E126" s="3"/>
      <c r="F126" s="1"/>
      <c r="G126" s="1"/>
      <c r="H126" s="1"/>
      <c r="I126" s="1"/>
      <c r="J126" s="52"/>
      <c r="K126" s="52"/>
      <c r="L126" s="52"/>
      <c r="M126" s="52"/>
      <c r="N126" s="52"/>
      <c r="O126" s="1"/>
      <c r="P126" s="170" t="str">
        <f t="shared" si="6"/>
        <v/>
      </c>
    </row>
    <row r="127" spans="1:16" ht="15.75" customHeight="1">
      <c r="A127" s="1"/>
      <c r="B127" s="3"/>
      <c r="C127" s="1"/>
      <c r="D127" s="3"/>
      <c r="E127" s="3"/>
      <c r="F127" s="1"/>
      <c r="G127" s="1"/>
      <c r="H127" s="1"/>
      <c r="I127" s="1"/>
      <c r="J127" s="52"/>
      <c r="K127" s="52"/>
      <c r="L127" s="52"/>
      <c r="M127" s="52"/>
      <c r="N127" s="52"/>
      <c r="O127" s="1"/>
      <c r="P127" s="170" t="str">
        <f t="shared" si="6"/>
        <v/>
      </c>
    </row>
    <row r="128" spans="1:16" ht="15.75" customHeight="1">
      <c r="A128" s="1"/>
      <c r="B128" s="3"/>
      <c r="C128" s="1"/>
      <c r="D128" s="3"/>
      <c r="E128" s="3"/>
      <c r="F128" s="1"/>
      <c r="G128" s="1"/>
      <c r="H128" s="1"/>
      <c r="I128" s="1"/>
      <c r="J128" s="52"/>
      <c r="K128" s="52"/>
      <c r="L128" s="52"/>
      <c r="M128" s="52"/>
      <c r="N128" s="52"/>
      <c r="O128" s="1"/>
      <c r="P128" s="170" t="str">
        <f t="shared" si="6"/>
        <v/>
      </c>
    </row>
    <row r="129" spans="1:16" ht="15.75" customHeight="1">
      <c r="A129" s="1"/>
      <c r="B129" s="3"/>
      <c r="C129" s="1"/>
      <c r="D129" s="3"/>
      <c r="E129" s="3"/>
      <c r="F129" s="1"/>
      <c r="G129" s="1"/>
      <c r="H129" s="1"/>
      <c r="I129" s="1"/>
      <c r="J129" s="52"/>
      <c r="K129" s="52"/>
      <c r="L129" s="52"/>
      <c r="M129" s="52"/>
      <c r="N129" s="52"/>
      <c r="O129" s="1"/>
      <c r="P129" s="170" t="str">
        <f t="shared" si="6"/>
        <v/>
      </c>
    </row>
    <row r="130" spans="1:16" ht="15.75" customHeight="1">
      <c r="A130" s="1"/>
      <c r="B130" s="3"/>
      <c r="C130" s="1"/>
      <c r="D130" s="3"/>
      <c r="E130" s="3"/>
      <c r="F130" s="1"/>
      <c r="G130" s="1"/>
      <c r="H130" s="1"/>
      <c r="I130" s="1"/>
      <c r="J130" s="52"/>
      <c r="K130" s="52"/>
      <c r="L130" s="52"/>
      <c r="M130" s="52"/>
      <c r="N130" s="52"/>
      <c r="O130" s="1"/>
      <c r="P130" s="170" t="str">
        <f t="shared" si="6"/>
        <v/>
      </c>
    </row>
    <row r="131" spans="1:16" ht="15.75" customHeight="1">
      <c r="A131" s="1"/>
      <c r="B131" s="3"/>
      <c r="C131" s="1"/>
      <c r="D131" s="3"/>
      <c r="E131" s="3"/>
      <c r="F131" s="1"/>
      <c r="G131" s="1"/>
      <c r="H131" s="1"/>
      <c r="I131" s="1"/>
      <c r="J131" s="52"/>
      <c r="K131" s="52"/>
      <c r="L131" s="52"/>
      <c r="M131" s="52"/>
      <c r="N131" s="52"/>
      <c r="O131" s="1"/>
      <c r="P131" s="170" t="str">
        <f t="shared" si="6"/>
        <v/>
      </c>
    </row>
    <row r="132" spans="1:16" ht="15.75" customHeight="1">
      <c r="A132" s="1"/>
      <c r="B132" s="3"/>
      <c r="C132" s="1"/>
      <c r="D132" s="3"/>
      <c r="E132" s="3"/>
      <c r="F132" s="1"/>
      <c r="G132" s="1"/>
      <c r="H132" s="1"/>
      <c r="I132" s="1"/>
      <c r="J132" s="52"/>
      <c r="K132" s="52"/>
      <c r="L132" s="52"/>
      <c r="M132" s="52"/>
      <c r="N132" s="52"/>
      <c r="O132" s="1"/>
      <c r="P132" s="170" t="str">
        <f t="shared" si="6"/>
        <v/>
      </c>
    </row>
    <row r="133" spans="1:16" ht="15.75" customHeight="1">
      <c r="A133" s="1"/>
      <c r="B133" s="3"/>
      <c r="C133" s="1"/>
      <c r="D133" s="3"/>
      <c r="E133" s="3"/>
      <c r="F133" s="1"/>
      <c r="G133" s="1"/>
      <c r="H133" s="1"/>
      <c r="I133" s="1"/>
      <c r="J133" s="52"/>
      <c r="K133" s="52"/>
      <c r="L133" s="52"/>
      <c r="M133" s="52"/>
      <c r="N133" s="52"/>
      <c r="O133" s="1"/>
      <c r="P133" s="170" t="str">
        <f t="shared" si="6"/>
        <v/>
      </c>
    </row>
    <row r="134" spans="1:16" ht="15.75" customHeight="1">
      <c r="A134" s="1"/>
      <c r="B134" s="3"/>
      <c r="C134" s="1"/>
      <c r="D134" s="3"/>
      <c r="E134" s="3"/>
      <c r="F134" s="1"/>
      <c r="G134" s="1"/>
      <c r="H134" s="1"/>
      <c r="I134" s="1"/>
      <c r="J134" s="52"/>
      <c r="K134" s="52"/>
      <c r="L134" s="52"/>
      <c r="M134" s="52"/>
      <c r="N134" s="52"/>
      <c r="O134" s="1"/>
      <c r="P134" s="170" t="str">
        <f t="shared" si="6"/>
        <v/>
      </c>
    </row>
    <row r="135" spans="1:16" ht="15.75" customHeight="1">
      <c r="A135" s="1"/>
      <c r="B135" s="3"/>
      <c r="C135" s="1"/>
      <c r="D135" s="3"/>
      <c r="E135" s="3"/>
      <c r="F135" s="1"/>
      <c r="G135" s="1"/>
      <c r="H135" s="1"/>
      <c r="I135" s="1"/>
      <c r="J135" s="52"/>
      <c r="K135" s="52"/>
      <c r="L135" s="52"/>
      <c r="M135" s="52"/>
      <c r="N135" s="52"/>
      <c r="O135" s="1"/>
      <c r="P135" s="170" t="str">
        <f t="shared" si="6"/>
        <v/>
      </c>
    </row>
    <row r="136" spans="1:16" ht="15.75" customHeight="1">
      <c r="A136" s="1"/>
      <c r="B136" s="3"/>
      <c r="C136" s="1"/>
      <c r="D136" s="3"/>
      <c r="E136" s="3"/>
      <c r="F136" s="1"/>
      <c r="G136" s="1"/>
      <c r="H136" s="1"/>
      <c r="I136" s="1"/>
      <c r="J136" s="52"/>
      <c r="K136" s="52"/>
      <c r="L136" s="52"/>
      <c r="M136" s="52"/>
      <c r="N136" s="52"/>
      <c r="O136" s="1"/>
      <c r="P136" s="170" t="str">
        <f t="shared" si="6"/>
        <v/>
      </c>
    </row>
    <row r="137" spans="1:16" ht="15.75" customHeight="1">
      <c r="A137" s="1"/>
      <c r="B137" s="3"/>
      <c r="C137" s="1"/>
      <c r="D137" s="3"/>
      <c r="E137" s="3"/>
      <c r="F137" s="1"/>
      <c r="G137" s="1"/>
      <c r="H137" s="1"/>
      <c r="I137" s="1"/>
      <c r="J137" s="52"/>
      <c r="K137" s="52"/>
      <c r="L137" s="52"/>
      <c r="M137" s="52"/>
      <c r="N137" s="52"/>
      <c r="O137" s="1"/>
      <c r="P137" s="170" t="str">
        <f>IF((D137)=0,"",(A135+1))</f>
        <v/>
      </c>
    </row>
    <row r="138" spans="1:16" ht="15.75" customHeight="1">
      <c r="A138" s="1"/>
      <c r="B138" s="3"/>
      <c r="C138" s="1"/>
      <c r="D138" s="3"/>
      <c r="E138" s="3"/>
      <c r="F138" s="1"/>
      <c r="G138" s="1"/>
      <c r="H138" s="1"/>
      <c r="I138" s="1"/>
      <c r="J138" s="52"/>
      <c r="K138" s="52"/>
      <c r="L138" s="52"/>
      <c r="M138" s="52"/>
      <c r="N138" s="52"/>
      <c r="O138" s="1"/>
      <c r="P138" s="170" t="str">
        <f t="shared" ref="P138:P144" si="7">IF((D138)=0,"",(A137+1))</f>
        <v/>
      </c>
    </row>
    <row r="139" spans="1:16" ht="15.75" customHeight="1">
      <c r="A139" s="1"/>
      <c r="B139" s="3"/>
      <c r="C139" s="1"/>
      <c r="D139" s="3"/>
      <c r="E139" s="3"/>
      <c r="F139" s="1"/>
      <c r="G139" s="1"/>
      <c r="H139" s="1"/>
      <c r="I139" s="1"/>
      <c r="J139" s="52"/>
      <c r="K139" s="52"/>
      <c r="L139" s="52"/>
      <c r="M139" s="52"/>
      <c r="N139" s="52"/>
      <c r="O139" s="1"/>
      <c r="P139" s="170" t="str">
        <f t="shared" si="7"/>
        <v/>
      </c>
    </row>
    <row r="140" spans="1:16" ht="15.75" customHeight="1">
      <c r="A140" s="1"/>
      <c r="B140" s="3"/>
      <c r="C140" s="1"/>
      <c r="D140" s="3"/>
      <c r="E140" s="3"/>
      <c r="F140" s="1"/>
      <c r="G140" s="1"/>
      <c r="H140" s="1"/>
      <c r="I140" s="1"/>
      <c r="J140" s="52"/>
      <c r="K140" s="52"/>
      <c r="L140" s="52"/>
      <c r="M140" s="52"/>
      <c r="N140" s="52"/>
      <c r="O140" s="1"/>
      <c r="P140" s="170" t="str">
        <f t="shared" si="7"/>
        <v/>
      </c>
    </row>
    <row r="141" spans="1:16" ht="15.75" customHeight="1">
      <c r="A141" s="1"/>
      <c r="B141" s="3"/>
      <c r="C141" s="1"/>
      <c r="D141" s="3"/>
      <c r="E141" s="3"/>
      <c r="F141" s="1"/>
      <c r="G141" s="1"/>
      <c r="H141" s="1"/>
      <c r="I141" s="1"/>
      <c r="J141" s="52"/>
      <c r="K141" s="52"/>
      <c r="L141" s="52"/>
      <c r="M141" s="52"/>
      <c r="N141" s="52"/>
      <c r="O141" s="1"/>
      <c r="P141" s="170" t="str">
        <f t="shared" si="7"/>
        <v/>
      </c>
    </row>
    <row r="142" spans="1:16" ht="15.75" customHeight="1">
      <c r="A142" s="1"/>
      <c r="B142" s="3"/>
      <c r="C142" s="1"/>
      <c r="D142" s="3"/>
      <c r="E142" s="3"/>
      <c r="F142" s="1"/>
      <c r="G142" s="1"/>
      <c r="H142" s="1"/>
      <c r="I142" s="1"/>
      <c r="J142" s="52"/>
      <c r="K142" s="52"/>
      <c r="L142" s="52"/>
      <c r="M142" s="52"/>
      <c r="N142" s="52"/>
      <c r="O142" s="1"/>
      <c r="P142" s="170" t="str">
        <f t="shared" si="7"/>
        <v/>
      </c>
    </row>
    <row r="143" spans="1:16" ht="15.75" customHeight="1">
      <c r="A143" s="1"/>
      <c r="B143" s="3"/>
      <c r="C143" s="1"/>
      <c r="D143" s="3"/>
      <c r="E143" s="3"/>
      <c r="F143" s="1"/>
      <c r="G143" s="1"/>
      <c r="H143" s="1"/>
      <c r="I143" s="1"/>
      <c r="J143" s="52"/>
      <c r="K143" s="52"/>
      <c r="L143" s="52"/>
      <c r="M143" s="52"/>
      <c r="N143" s="52"/>
      <c r="O143" s="1"/>
      <c r="P143" s="170" t="str">
        <f t="shared" si="7"/>
        <v/>
      </c>
    </row>
    <row r="144" spans="1:16" ht="15.75" customHeight="1">
      <c r="A144" s="1"/>
      <c r="B144" s="3"/>
      <c r="C144" s="1"/>
      <c r="D144" s="3"/>
      <c r="E144" s="3"/>
      <c r="F144" s="1"/>
      <c r="G144" s="1"/>
      <c r="H144" s="1"/>
      <c r="I144" s="1"/>
      <c r="J144" s="52"/>
      <c r="K144" s="52"/>
      <c r="L144" s="52"/>
      <c r="M144" s="52"/>
      <c r="N144" s="52"/>
      <c r="O144" s="1"/>
      <c r="P144" s="170" t="str">
        <f t="shared" si="7"/>
        <v/>
      </c>
    </row>
    <row r="145" spans="1:16" ht="15.75" customHeight="1">
      <c r="A145" s="1"/>
      <c r="B145" s="3"/>
      <c r="C145" s="1"/>
      <c r="D145" s="3"/>
      <c r="E145" s="3"/>
      <c r="F145" s="1"/>
      <c r="G145" s="1"/>
      <c r="H145" s="1"/>
      <c r="I145" s="1"/>
      <c r="J145" s="52"/>
      <c r="K145" s="52"/>
      <c r="L145" s="52"/>
      <c r="M145" s="52"/>
      <c r="N145" s="52"/>
      <c r="O145" s="1"/>
      <c r="P145" s="170" t="str">
        <f>IF((D145)=0,"",(A142+1))</f>
        <v/>
      </c>
    </row>
    <row r="146" spans="1:16" ht="15.75" customHeight="1">
      <c r="A146" s="1"/>
      <c r="B146" s="3"/>
      <c r="C146" s="1"/>
      <c r="D146" s="3"/>
      <c r="E146" s="3"/>
      <c r="F146" s="1"/>
      <c r="G146" s="1"/>
      <c r="H146" s="1"/>
      <c r="I146" s="1"/>
      <c r="J146" s="52"/>
      <c r="K146" s="52"/>
      <c r="L146" s="52"/>
      <c r="M146" s="52"/>
      <c r="N146" s="52"/>
      <c r="O146" s="1"/>
      <c r="P146" s="170" t="str">
        <f t="shared" ref="P146:P168" si="8">IF((D146)=0,"",(A145+1))</f>
        <v/>
      </c>
    </row>
    <row r="147" spans="1:16" ht="15.75" customHeight="1">
      <c r="A147" s="1"/>
      <c r="B147" s="3"/>
      <c r="C147" s="1"/>
      <c r="D147" s="3"/>
      <c r="E147" s="3"/>
      <c r="F147" s="1"/>
      <c r="G147" s="1"/>
      <c r="H147" s="1"/>
      <c r="I147" s="1"/>
      <c r="J147" s="52"/>
      <c r="K147" s="52"/>
      <c r="L147" s="52"/>
      <c r="M147" s="52"/>
      <c r="N147" s="52"/>
      <c r="O147" s="1"/>
      <c r="P147" s="170" t="str">
        <f t="shared" si="8"/>
        <v/>
      </c>
    </row>
    <row r="148" spans="1:16" ht="15.75" customHeight="1">
      <c r="A148" s="1"/>
      <c r="B148" s="3"/>
      <c r="C148" s="1"/>
      <c r="D148" s="3"/>
      <c r="E148" s="3"/>
      <c r="F148" s="1"/>
      <c r="G148" s="1"/>
      <c r="H148" s="1"/>
      <c r="I148" s="1"/>
      <c r="J148" s="52"/>
      <c r="K148" s="52"/>
      <c r="L148" s="52"/>
      <c r="M148" s="52"/>
      <c r="N148" s="52"/>
      <c r="O148" s="1"/>
      <c r="P148" s="170" t="str">
        <f t="shared" si="8"/>
        <v/>
      </c>
    </row>
    <row r="149" spans="1:16" ht="15.75" customHeight="1">
      <c r="A149" s="1"/>
      <c r="B149" s="3"/>
      <c r="C149" s="1"/>
      <c r="D149" s="3"/>
      <c r="E149" s="3"/>
      <c r="F149" s="1"/>
      <c r="G149" s="1"/>
      <c r="H149" s="1"/>
      <c r="I149" s="1"/>
      <c r="J149" s="52"/>
      <c r="K149" s="52"/>
      <c r="L149" s="52"/>
      <c r="M149" s="52"/>
      <c r="N149" s="52"/>
      <c r="O149" s="1"/>
      <c r="P149" s="170" t="str">
        <f t="shared" si="8"/>
        <v/>
      </c>
    </row>
    <row r="150" spans="1:16" ht="15.75" customHeight="1">
      <c r="A150" s="1"/>
      <c r="B150" s="3"/>
      <c r="C150" s="1"/>
      <c r="D150" s="3"/>
      <c r="E150" s="3"/>
      <c r="F150" s="1"/>
      <c r="G150" s="1"/>
      <c r="H150" s="1"/>
      <c r="I150" s="1"/>
      <c r="J150" s="52"/>
      <c r="K150" s="52"/>
      <c r="L150" s="52"/>
      <c r="M150" s="52"/>
      <c r="N150" s="52"/>
      <c r="O150" s="1"/>
      <c r="P150" s="170" t="str">
        <f t="shared" si="8"/>
        <v/>
      </c>
    </row>
    <row r="151" spans="1:16" ht="15.75" customHeight="1">
      <c r="A151" s="1"/>
      <c r="B151" s="3"/>
      <c r="C151" s="1"/>
      <c r="D151" s="3"/>
      <c r="E151" s="3"/>
      <c r="F151" s="1"/>
      <c r="G151" s="1"/>
      <c r="H151" s="1"/>
      <c r="I151" s="1"/>
      <c r="J151" s="52"/>
      <c r="K151" s="52"/>
      <c r="L151" s="52"/>
      <c r="M151" s="52"/>
      <c r="N151" s="52"/>
      <c r="O151" s="1"/>
      <c r="P151" s="170" t="str">
        <f t="shared" si="8"/>
        <v/>
      </c>
    </row>
    <row r="152" spans="1:16" ht="15.75" customHeight="1">
      <c r="A152" s="1"/>
      <c r="B152" s="3"/>
      <c r="C152" s="1"/>
      <c r="D152" s="3"/>
      <c r="E152" s="3"/>
      <c r="F152" s="1"/>
      <c r="G152" s="1"/>
      <c r="H152" s="1"/>
      <c r="I152" s="1"/>
      <c r="J152" s="52"/>
      <c r="K152" s="52"/>
      <c r="L152" s="52"/>
      <c r="M152" s="52"/>
      <c r="N152" s="52"/>
      <c r="O152" s="1"/>
      <c r="P152" s="170" t="str">
        <f t="shared" si="8"/>
        <v/>
      </c>
    </row>
    <row r="153" spans="1:16" ht="15.75" customHeight="1">
      <c r="A153" s="1"/>
      <c r="B153" s="3"/>
      <c r="C153" s="1"/>
      <c r="D153" s="3"/>
      <c r="E153" s="3"/>
      <c r="F153" s="1"/>
      <c r="G153" s="1"/>
      <c r="H153" s="1"/>
      <c r="I153" s="1"/>
      <c r="J153" s="52"/>
      <c r="K153" s="52"/>
      <c r="L153" s="52"/>
      <c r="M153" s="52"/>
      <c r="N153" s="52"/>
      <c r="O153" s="1"/>
      <c r="P153" s="170" t="str">
        <f t="shared" si="8"/>
        <v/>
      </c>
    </row>
    <row r="154" spans="1:16" ht="15.75" customHeight="1">
      <c r="A154" s="1"/>
      <c r="B154" s="3"/>
      <c r="C154" s="1"/>
      <c r="D154" s="3"/>
      <c r="E154" s="3"/>
      <c r="F154" s="1"/>
      <c r="G154" s="1"/>
      <c r="H154" s="1"/>
      <c r="I154" s="1"/>
      <c r="J154" s="52"/>
      <c r="K154" s="52"/>
      <c r="L154" s="52"/>
      <c r="M154" s="52"/>
      <c r="N154" s="52"/>
      <c r="O154" s="1"/>
      <c r="P154" s="170" t="str">
        <f t="shared" si="8"/>
        <v/>
      </c>
    </row>
    <row r="155" spans="1:16" ht="15.75" customHeight="1">
      <c r="A155" s="1"/>
      <c r="B155" s="3"/>
      <c r="C155" s="1"/>
      <c r="D155" s="3"/>
      <c r="E155" s="3"/>
      <c r="F155" s="1"/>
      <c r="G155" s="1"/>
      <c r="H155" s="1"/>
      <c r="I155" s="1"/>
      <c r="J155" s="52"/>
      <c r="K155" s="52"/>
      <c r="L155" s="52"/>
      <c r="M155" s="52"/>
      <c r="N155" s="52"/>
      <c r="O155" s="1"/>
      <c r="P155" s="170" t="str">
        <f t="shared" si="8"/>
        <v/>
      </c>
    </row>
    <row r="156" spans="1:16" ht="15.75" customHeight="1">
      <c r="A156" s="1"/>
      <c r="B156" s="3"/>
      <c r="C156" s="1"/>
      <c r="D156" s="3"/>
      <c r="E156" s="3"/>
      <c r="F156" s="1"/>
      <c r="G156" s="1"/>
      <c r="H156" s="1"/>
      <c r="I156" s="1"/>
      <c r="J156" s="52"/>
      <c r="K156" s="52"/>
      <c r="L156" s="52"/>
      <c r="M156" s="52"/>
      <c r="N156" s="52"/>
      <c r="O156" s="1"/>
      <c r="P156" s="170" t="str">
        <f t="shared" si="8"/>
        <v/>
      </c>
    </row>
    <row r="157" spans="1:16" ht="15.75" customHeight="1">
      <c r="A157" s="1"/>
      <c r="B157" s="3"/>
      <c r="C157" s="1"/>
      <c r="D157" s="3"/>
      <c r="E157" s="3"/>
      <c r="F157" s="1"/>
      <c r="G157" s="1"/>
      <c r="H157" s="1"/>
      <c r="I157" s="1"/>
      <c r="J157" s="52"/>
      <c r="K157" s="52"/>
      <c r="L157" s="52"/>
      <c r="M157" s="52"/>
      <c r="N157" s="52"/>
      <c r="O157" s="1"/>
      <c r="P157" s="170" t="str">
        <f t="shared" si="8"/>
        <v/>
      </c>
    </row>
    <row r="158" spans="1:16" ht="15.75" customHeight="1">
      <c r="A158" s="1"/>
      <c r="B158" s="3"/>
      <c r="C158" s="1"/>
      <c r="D158" s="3"/>
      <c r="E158" s="3"/>
      <c r="F158" s="1"/>
      <c r="G158" s="1"/>
      <c r="H158" s="1"/>
      <c r="I158" s="1"/>
      <c r="J158" s="52"/>
      <c r="K158" s="52"/>
      <c r="L158" s="52"/>
      <c r="M158" s="52"/>
      <c r="N158" s="52"/>
      <c r="O158" s="1"/>
      <c r="P158" s="170" t="str">
        <f t="shared" si="8"/>
        <v/>
      </c>
    </row>
    <row r="159" spans="1:16" ht="15.75" customHeight="1">
      <c r="A159" s="1"/>
      <c r="B159" s="3"/>
      <c r="C159" s="1"/>
      <c r="D159" s="3"/>
      <c r="E159" s="3"/>
      <c r="F159" s="1"/>
      <c r="G159" s="1"/>
      <c r="H159" s="1"/>
      <c r="I159" s="1"/>
      <c r="J159" s="52"/>
      <c r="K159" s="52"/>
      <c r="L159" s="52"/>
      <c r="M159" s="52"/>
      <c r="N159" s="52"/>
      <c r="O159" s="1"/>
      <c r="P159" s="170" t="str">
        <f t="shared" si="8"/>
        <v/>
      </c>
    </row>
    <row r="160" spans="1:16" ht="15.75" customHeight="1">
      <c r="A160" s="1"/>
      <c r="B160" s="3"/>
      <c r="C160" s="1"/>
      <c r="D160" s="3"/>
      <c r="E160" s="3"/>
      <c r="F160" s="1"/>
      <c r="G160" s="1"/>
      <c r="H160" s="1"/>
      <c r="I160" s="1"/>
      <c r="J160" s="52"/>
      <c r="K160" s="52"/>
      <c r="L160" s="52"/>
      <c r="M160" s="52"/>
      <c r="N160" s="52"/>
      <c r="O160" s="1"/>
      <c r="P160" s="170" t="str">
        <f t="shared" si="8"/>
        <v/>
      </c>
    </row>
    <row r="161" spans="1:16" ht="15.75" customHeight="1">
      <c r="A161" s="1"/>
      <c r="B161" s="3"/>
      <c r="C161" s="1"/>
      <c r="D161" s="3"/>
      <c r="E161" s="3"/>
      <c r="F161" s="1"/>
      <c r="G161" s="1"/>
      <c r="H161" s="1"/>
      <c r="I161" s="1"/>
      <c r="J161" s="52"/>
      <c r="K161" s="52"/>
      <c r="L161" s="52"/>
      <c r="M161" s="52"/>
      <c r="N161" s="52"/>
      <c r="O161" s="1"/>
      <c r="P161" s="170" t="str">
        <f t="shared" si="8"/>
        <v/>
      </c>
    </row>
    <row r="162" spans="1:16" ht="15.75" customHeight="1">
      <c r="A162" s="1"/>
      <c r="B162" s="3"/>
      <c r="C162" s="1"/>
      <c r="D162" s="3"/>
      <c r="E162" s="3"/>
      <c r="F162" s="1"/>
      <c r="G162" s="1"/>
      <c r="H162" s="1"/>
      <c r="I162" s="1"/>
      <c r="J162" s="52"/>
      <c r="K162" s="52"/>
      <c r="L162" s="52"/>
      <c r="M162" s="52"/>
      <c r="N162" s="52"/>
      <c r="O162" s="1"/>
      <c r="P162" s="170" t="str">
        <f t="shared" si="8"/>
        <v/>
      </c>
    </row>
    <row r="163" spans="1:16" ht="15.75" customHeight="1">
      <c r="A163" s="1"/>
      <c r="B163" s="3"/>
      <c r="C163" s="1"/>
      <c r="D163" s="3"/>
      <c r="E163" s="3"/>
      <c r="F163" s="1"/>
      <c r="G163" s="1"/>
      <c r="H163" s="1"/>
      <c r="I163" s="1"/>
      <c r="J163" s="52"/>
      <c r="K163" s="52"/>
      <c r="L163" s="52"/>
      <c r="M163" s="52"/>
      <c r="N163" s="52"/>
      <c r="O163" s="1"/>
      <c r="P163" s="170" t="str">
        <f t="shared" si="8"/>
        <v/>
      </c>
    </row>
    <row r="164" spans="1:16" ht="15.75" customHeight="1">
      <c r="A164" s="1"/>
      <c r="B164" s="3"/>
      <c r="C164" s="1"/>
      <c r="D164" s="3"/>
      <c r="E164" s="3"/>
      <c r="F164" s="1"/>
      <c r="G164" s="1"/>
      <c r="H164" s="1"/>
      <c r="I164" s="1"/>
      <c r="J164" s="52"/>
      <c r="K164" s="52"/>
      <c r="L164" s="52"/>
      <c r="M164" s="52"/>
      <c r="N164" s="52"/>
      <c r="O164" s="1"/>
      <c r="P164" s="170" t="str">
        <f t="shared" si="8"/>
        <v/>
      </c>
    </row>
    <row r="165" spans="1:16" ht="15.75" customHeight="1">
      <c r="A165" s="1"/>
      <c r="B165" s="3"/>
      <c r="C165" s="1"/>
      <c r="D165" s="3"/>
      <c r="E165" s="3"/>
      <c r="F165" s="1"/>
      <c r="G165" s="1"/>
      <c r="H165" s="1"/>
      <c r="I165" s="1"/>
      <c r="J165" s="52"/>
      <c r="K165" s="52"/>
      <c r="L165" s="52"/>
      <c r="M165" s="52"/>
      <c r="N165" s="52"/>
      <c r="O165" s="1"/>
      <c r="P165" s="170" t="str">
        <f t="shared" si="8"/>
        <v/>
      </c>
    </row>
    <row r="166" spans="1:16" ht="15.75" customHeight="1">
      <c r="A166" s="1"/>
      <c r="B166" s="3"/>
      <c r="C166" s="1"/>
      <c r="D166" s="3"/>
      <c r="E166" s="3"/>
      <c r="F166" s="1"/>
      <c r="G166" s="1"/>
      <c r="H166" s="1"/>
      <c r="I166" s="1"/>
      <c r="J166" s="52"/>
      <c r="K166" s="52"/>
      <c r="L166" s="52"/>
      <c r="M166" s="52"/>
      <c r="N166" s="52"/>
      <c r="O166" s="1"/>
      <c r="P166" s="170" t="str">
        <f t="shared" si="8"/>
        <v/>
      </c>
    </row>
    <row r="167" spans="1:16" ht="15.75" customHeight="1">
      <c r="A167" s="1"/>
      <c r="B167" s="3"/>
      <c r="C167" s="1"/>
      <c r="D167" s="3"/>
      <c r="E167" s="3"/>
      <c r="F167" s="1"/>
      <c r="G167" s="1"/>
      <c r="H167" s="1"/>
      <c r="I167" s="1"/>
      <c r="J167" s="52"/>
      <c r="K167" s="52"/>
      <c r="L167" s="52"/>
      <c r="M167" s="52"/>
      <c r="N167" s="52"/>
      <c r="O167" s="1"/>
      <c r="P167" s="170" t="str">
        <f t="shared" si="8"/>
        <v/>
      </c>
    </row>
    <row r="168" spans="1:16" ht="15.75" customHeight="1">
      <c r="A168" s="1"/>
      <c r="B168" s="3"/>
      <c r="C168" s="1"/>
      <c r="D168" s="3"/>
      <c r="E168" s="3"/>
      <c r="F168" s="1"/>
      <c r="G168" s="1"/>
      <c r="H168" s="1"/>
      <c r="I168" s="1"/>
      <c r="J168" s="52"/>
      <c r="K168" s="52"/>
      <c r="L168" s="52"/>
      <c r="M168" s="52"/>
      <c r="N168" s="52"/>
      <c r="O168" s="1"/>
      <c r="P168" s="170" t="str">
        <f t="shared" si="8"/>
        <v/>
      </c>
    </row>
    <row r="169" spans="1:16" ht="15.75" customHeight="1">
      <c r="A169" s="1"/>
      <c r="B169" s="3"/>
      <c r="C169" s="1"/>
      <c r="D169" s="3"/>
      <c r="E169" s="3"/>
      <c r="F169" s="1"/>
      <c r="G169" s="1"/>
      <c r="H169" s="1"/>
      <c r="I169" s="1"/>
      <c r="J169" s="52"/>
      <c r="K169" s="52"/>
      <c r="L169" s="52"/>
      <c r="M169" s="52"/>
      <c r="N169" s="52"/>
      <c r="O169" s="1"/>
      <c r="P169" s="170" t="str">
        <f>IF((D169)=0,"",(A166+1))</f>
        <v/>
      </c>
    </row>
    <row r="170" spans="1:16" ht="15.75" customHeight="1">
      <c r="A170" s="1"/>
      <c r="B170" s="3"/>
      <c r="C170" s="1"/>
      <c r="D170" s="3"/>
      <c r="E170" s="3"/>
      <c r="F170" s="1"/>
      <c r="G170" s="1"/>
      <c r="H170" s="1"/>
      <c r="I170" s="1"/>
      <c r="J170" s="52"/>
      <c r="K170" s="52"/>
      <c r="L170" s="52"/>
      <c r="M170" s="52"/>
      <c r="N170" s="52"/>
      <c r="O170" s="1"/>
      <c r="P170" s="170" t="str">
        <f t="shared" ref="P170:P208" si="9">IF((D170)=0,"",(A169+1))</f>
        <v/>
      </c>
    </row>
    <row r="171" spans="1:16" ht="15.75" customHeight="1">
      <c r="A171" s="1"/>
      <c r="B171" s="3"/>
      <c r="C171" s="1"/>
      <c r="D171" s="3"/>
      <c r="E171" s="3"/>
      <c r="F171" s="1"/>
      <c r="G171" s="1"/>
      <c r="H171" s="1"/>
      <c r="I171" s="1"/>
      <c r="J171" s="52"/>
      <c r="K171" s="52"/>
      <c r="L171" s="52"/>
      <c r="M171" s="52"/>
      <c r="N171" s="52"/>
      <c r="O171" s="1"/>
      <c r="P171" s="170" t="str">
        <f t="shared" si="9"/>
        <v/>
      </c>
    </row>
    <row r="172" spans="1:16" ht="15.75" customHeight="1">
      <c r="A172" s="1"/>
      <c r="B172" s="3"/>
      <c r="C172" s="1"/>
      <c r="D172" s="3"/>
      <c r="E172" s="3"/>
      <c r="F172" s="1"/>
      <c r="G172" s="1"/>
      <c r="H172" s="1"/>
      <c r="I172" s="1"/>
      <c r="J172" s="52"/>
      <c r="K172" s="52"/>
      <c r="L172" s="52"/>
      <c r="M172" s="52"/>
      <c r="N172" s="52"/>
      <c r="O172" s="1"/>
      <c r="P172" s="170" t="str">
        <f t="shared" si="9"/>
        <v/>
      </c>
    </row>
    <row r="173" spans="1:16" ht="15.75" customHeight="1">
      <c r="A173" s="1"/>
      <c r="B173" s="3"/>
      <c r="C173" s="1"/>
      <c r="D173" s="3"/>
      <c r="E173" s="3"/>
      <c r="F173" s="1"/>
      <c r="G173" s="1"/>
      <c r="H173" s="1"/>
      <c r="I173" s="1"/>
      <c r="J173" s="52"/>
      <c r="K173" s="52"/>
      <c r="L173" s="52"/>
      <c r="M173" s="52"/>
      <c r="N173" s="52"/>
      <c r="O173" s="1"/>
      <c r="P173" s="170" t="str">
        <f t="shared" si="9"/>
        <v/>
      </c>
    </row>
    <row r="174" spans="1:16" ht="15.75" customHeight="1">
      <c r="A174" s="1"/>
      <c r="B174" s="3"/>
      <c r="C174" s="1"/>
      <c r="D174" s="3"/>
      <c r="E174" s="3"/>
      <c r="F174" s="1"/>
      <c r="G174" s="1"/>
      <c r="H174" s="1"/>
      <c r="I174" s="1"/>
      <c r="J174" s="52"/>
      <c r="K174" s="52"/>
      <c r="L174" s="52"/>
      <c r="M174" s="52"/>
      <c r="N174" s="52"/>
      <c r="O174" s="1"/>
      <c r="P174" s="170" t="str">
        <f t="shared" si="9"/>
        <v/>
      </c>
    </row>
    <row r="175" spans="1:16" ht="15.75" customHeight="1">
      <c r="A175" s="1"/>
      <c r="B175" s="3"/>
      <c r="C175" s="1"/>
      <c r="D175" s="3"/>
      <c r="E175" s="3"/>
      <c r="F175" s="1"/>
      <c r="G175" s="1"/>
      <c r="H175" s="1"/>
      <c r="I175" s="1"/>
      <c r="J175" s="52"/>
      <c r="K175" s="52"/>
      <c r="L175" s="52"/>
      <c r="M175" s="52"/>
      <c r="N175" s="52"/>
      <c r="O175" s="1"/>
      <c r="P175" s="170" t="str">
        <f t="shared" si="9"/>
        <v/>
      </c>
    </row>
    <row r="176" spans="1:16" ht="15.75" customHeight="1">
      <c r="A176" s="1"/>
      <c r="B176" s="3"/>
      <c r="C176" s="1"/>
      <c r="D176" s="3"/>
      <c r="E176" s="3"/>
      <c r="F176" s="1"/>
      <c r="G176" s="1"/>
      <c r="H176" s="1"/>
      <c r="I176" s="1"/>
      <c r="J176" s="52"/>
      <c r="K176" s="52"/>
      <c r="L176" s="52"/>
      <c r="M176" s="52"/>
      <c r="N176" s="52"/>
      <c r="O176" s="1"/>
      <c r="P176" s="170" t="str">
        <f t="shared" si="9"/>
        <v/>
      </c>
    </row>
    <row r="177" spans="1:16" ht="15.75" customHeight="1">
      <c r="A177" s="1"/>
      <c r="B177" s="3"/>
      <c r="C177" s="1"/>
      <c r="D177" s="3"/>
      <c r="E177" s="3"/>
      <c r="F177" s="1"/>
      <c r="G177" s="1"/>
      <c r="H177" s="1"/>
      <c r="I177" s="1"/>
      <c r="J177" s="52"/>
      <c r="K177" s="52"/>
      <c r="L177" s="52"/>
      <c r="M177" s="52"/>
      <c r="N177" s="52"/>
      <c r="O177" s="1"/>
      <c r="P177" s="170" t="str">
        <f t="shared" si="9"/>
        <v/>
      </c>
    </row>
    <row r="178" spans="1:16" ht="15.75" customHeight="1">
      <c r="A178" s="1"/>
      <c r="B178" s="3"/>
      <c r="C178" s="1"/>
      <c r="D178" s="3"/>
      <c r="E178" s="3"/>
      <c r="F178" s="1"/>
      <c r="G178" s="1"/>
      <c r="H178" s="1"/>
      <c r="I178" s="1"/>
      <c r="J178" s="52"/>
      <c r="K178" s="52"/>
      <c r="L178" s="52"/>
      <c r="M178" s="52"/>
      <c r="N178" s="52"/>
      <c r="O178" s="1"/>
      <c r="P178" s="170" t="str">
        <f t="shared" si="9"/>
        <v/>
      </c>
    </row>
    <row r="179" spans="1:16" ht="15.75" customHeight="1">
      <c r="A179" s="1"/>
      <c r="B179" s="3"/>
      <c r="C179" s="1"/>
      <c r="D179" s="3"/>
      <c r="E179" s="3"/>
      <c r="F179" s="1"/>
      <c r="G179" s="1"/>
      <c r="H179" s="1"/>
      <c r="I179" s="1"/>
      <c r="J179" s="52"/>
      <c r="K179" s="52"/>
      <c r="L179" s="52"/>
      <c r="M179" s="52"/>
      <c r="N179" s="52"/>
      <c r="O179" s="1"/>
      <c r="P179" s="170" t="str">
        <f t="shared" si="9"/>
        <v/>
      </c>
    </row>
    <row r="180" spans="1:16" ht="15.75" customHeight="1">
      <c r="A180" s="1"/>
      <c r="B180" s="3"/>
      <c r="C180" s="1"/>
      <c r="D180" s="3"/>
      <c r="E180" s="3"/>
      <c r="F180" s="1"/>
      <c r="G180" s="1"/>
      <c r="H180" s="1"/>
      <c r="I180" s="1"/>
      <c r="J180" s="52"/>
      <c r="K180" s="52"/>
      <c r="L180" s="52"/>
      <c r="M180" s="52"/>
      <c r="N180" s="52"/>
      <c r="O180" s="1"/>
      <c r="P180" s="170" t="str">
        <f t="shared" si="9"/>
        <v/>
      </c>
    </row>
    <row r="181" spans="1:16" ht="15.75" customHeight="1">
      <c r="A181" s="1"/>
      <c r="B181" s="3"/>
      <c r="C181" s="1"/>
      <c r="D181" s="3"/>
      <c r="E181" s="3"/>
      <c r="F181" s="1"/>
      <c r="G181" s="1"/>
      <c r="H181" s="1"/>
      <c r="I181" s="1"/>
      <c r="J181" s="52"/>
      <c r="K181" s="52"/>
      <c r="L181" s="52"/>
      <c r="M181" s="52"/>
      <c r="N181" s="52"/>
      <c r="O181" s="1"/>
      <c r="P181" s="170" t="str">
        <f t="shared" si="9"/>
        <v/>
      </c>
    </row>
    <row r="182" spans="1:16" ht="15.75" customHeight="1">
      <c r="A182" s="1"/>
      <c r="B182" s="3"/>
      <c r="C182" s="1"/>
      <c r="D182" s="3"/>
      <c r="E182" s="3"/>
      <c r="F182" s="1"/>
      <c r="G182" s="1"/>
      <c r="H182" s="1"/>
      <c r="I182" s="1"/>
      <c r="J182" s="52"/>
      <c r="K182" s="52"/>
      <c r="L182" s="52"/>
      <c r="M182" s="52"/>
      <c r="N182" s="52"/>
      <c r="O182" s="1"/>
      <c r="P182" s="170" t="str">
        <f t="shared" si="9"/>
        <v/>
      </c>
    </row>
    <row r="183" spans="1:16" ht="15.75" customHeight="1">
      <c r="A183" s="1"/>
      <c r="B183" s="3"/>
      <c r="C183" s="1"/>
      <c r="D183" s="3"/>
      <c r="E183" s="3"/>
      <c r="F183" s="1"/>
      <c r="G183" s="1"/>
      <c r="H183" s="1"/>
      <c r="I183" s="1"/>
      <c r="J183" s="52"/>
      <c r="K183" s="52"/>
      <c r="L183" s="52"/>
      <c r="M183" s="52"/>
      <c r="N183" s="52"/>
      <c r="O183" s="1"/>
      <c r="P183" s="170" t="str">
        <f t="shared" si="9"/>
        <v/>
      </c>
    </row>
    <row r="184" spans="1:16" ht="15.75" customHeight="1">
      <c r="A184" s="1"/>
      <c r="B184" s="3"/>
      <c r="C184" s="1"/>
      <c r="D184" s="3"/>
      <c r="E184" s="3"/>
      <c r="F184" s="1"/>
      <c r="G184" s="1"/>
      <c r="H184" s="1"/>
      <c r="I184" s="1"/>
      <c r="J184" s="52"/>
      <c r="K184" s="52"/>
      <c r="L184" s="52"/>
      <c r="M184" s="52"/>
      <c r="N184" s="52"/>
      <c r="O184" s="1"/>
      <c r="P184" s="170" t="str">
        <f t="shared" si="9"/>
        <v/>
      </c>
    </row>
    <row r="185" spans="1:16" ht="15.75" customHeight="1">
      <c r="A185" s="1"/>
      <c r="B185" s="3"/>
      <c r="C185" s="1"/>
      <c r="D185" s="3"/>
      <c r="E185" s="3"/>
      <c r="F185" s="1"/>
      <c r="G185" s="1"/>
      <c r="H185" s="1"/>
      <c r="I185" s="1"/>
      <c r="J185" s="52"/>
      <c r="K185" s="52"/>
      <c r="L185" s="52"/>
      <c r="M185" s="52"/>
      <c r="N185" s="52"/>
      <c r="O185" s="1"/>
      <c r="P185" s="170" t="str">
        <f t="shared" si="9"/>
        <v/>
      </c>
    </row>
    <row r="186" spans="1:16" ht="15.75" customHeight="1">
      <c r="A186" s="1"/>
      <c r="B186" s="3"/>
      <c r="C186" s="1"/>
      <c r="D186" s="3"/>
      <c r="E186" s="3"/>
      <c r="F186" s="1"/>
      <c r="G186" s="1"/>
      <c r="H186" s="1"/>
      <c r="I186" s="1"/>
      <c r="J186" s="52"/>
      <c r="K186" s="52"/>
      <c r="L186" s="52"/>
      <c r="M186" s="52"/>
      <c r="N186" s="52"/>
      <c r="O186" s="1"/>
      <c r="P186" s="170" t="str">
        <f t="shared" si="9"/>
        <v/>
      </c>
    </row>
    <row r="187" spans="1:16" ht="15.75" customHeight="1">
      <c r="A187" s="1"/>
      <c r="B187" s="3"/>
      <c r="C187" s="1"/>
      <c r="D187" s="3"/>
      <c r="E187" s="3"/>
      <c r="F187" s="1"/>
      <c r="G187" s="1"/>
      <c r="H187" s="1"/>
      <c r="I187" s="1"/>
      <c r="J187" s="52"/>
      <c r="K187" s="52"/>
      <c r="L187" s="52"/>
      <c r="M187" s="52"/>
      <c r="N187" s="52"/>
      <c r="O187" s="1"/>
      <c r="P187" s="170" t="str">
        <f t="shared" si="9"/>
        <v/>
      </c>
    </row>
    <row r="188" spans="1:16" ht="15.75" customHeight="1">
      <c r="A188" s="1"/>
      <c r="B188" s="3"/>
      <c r="C188" s="1"/>
      <c r="D188" s="3"/>
      <c r="E188" s="3"/>
      <c r="F188" s="1"/>
      <c r="G188" s="1"/>
      <c r="H188" s="1"/>
      <c r="I188" s="1"/>
      <c r="J188" s="52"/>
      <c r="K188" s="52"/>
      <c r="L188" s="52"/>
      <c r="M188" s="52"/>
      <c r="N188" s="52"/>
      <c r="O188" s="1"/>
      <c r="P188" s="170" t="str">
        <f t="shared" si="9"/>
        <v/>
      </c>
    </row>
    <row r="189" spans="1:16" ht="15.75" customHeight="1">
      <c r="A189" s="1"/>
      <c r="B189" s="3"/>
      <c r="C189" s="1"/>
      <c r="D189" s="3"/>
      <c r="E189" s="3"/>
      <c r="F189" s="1"/>
      <c r="G189" s="1"/>
      <c r="H189" s="1"/>
      <c r="I189" s="1"/>
      <c r="J189" s="52"/>
      <c r="K189" s="52"/>
      <c r="L189" s="52"/>
      <c r="M189" s="52"/>
      <c r="N189" s="52"/>
      <c r="O189" s="1"/>
      <c r="P189" s="170" t="str">
        <f t="shared" si="9"/>
        <v/>
      </c>
    </row>
    <row r="190" spans="1:16" ht="15.75" customHeight="1">
      <c r="A190" s="1"/>
      <c r="B190" s="3"/>
      <c r="C190" s="1"/>
      <c r="D190" s="3"/>
      <c r="E190" s="3"/>
      <c r="F190" s="1"/>
      <c r="G190" s="1"/>
      <c r="H190" s="1"/>
      <c r="I190" s="1"/>
      <c r="J190" s="52"/>
      <c r="K190" s="52"/>
      <c r="L190" s="52"/>
      <c r="M190" s="52"/>
      <c r="N190" s="52"/>
      <c r="O190" s="1"/>
      <c r="P190" s="170" t="str">
        <f t="shared" si="9"/>
        <v/>
      </c>
    </row>
    <row r="191" spans="1:16" ht="15.75" customHeight="1">
      <c r="A191" s="1"/>
      <c r="B191" s="3"/>
      <c r="C191" s="1"/>
      <c r="D191" s="3"/>
      <c r="E191" s="3"/>
      <c r="F191" s="1"/>
      <c r="G191" s="1"/>
      <c r="H191" s="1"/>
      <c r="I191" s="1"/>
      <c r="J191" s="52"/>
      <c r="K191" s="52"/>
      <c r="L191" s="52"/>
      <c r="M191" s="52"/>
      <c r="N191" s="52"/>
      <c r="O191" s="1"/>
      <c r="P191" s="170" t="str">
        <f t="shared" si="9"/>
        <v/>
      </c>
    </row>
    <row r="192" spans="1:16" ht="15.75" customHeight="1">
      <c r="A192" s="1"/>
      <c r="B192" s="3"/>
      <c r="C192" s="1"/>
      <c r="D192" s="3"/>
      <c r="E192" s="3"/>
      <c r="F192" s="1"/>
      <c r="G192" s="1"/>
      <c r="H192" s="1"/>
      <c r="I192" s="1"/>
      <c r="J192" s="52"/>
      <c r="K192" s="52"/>
      <c r="L192" s="52"/>
      <c r="M192" s="52"/>
      <c r="N192" s="52"/>
      <c r="O192" s="1"/>
      <c r="P192" s="170" t="str">
        <f t="shared" si="9"/>
        <v/>
      </c>
    </row>
    <row r="193" spans="1:16" ht="15.75" customHeight="1">
      <c r="A193" s="1"/>
      <c r="B193" s="3"/>
      <c r="C193" s="1"/>
      <c r="D193" s="3"/>
      <c r="E193" s="3"/>
      <c r="F193" s="1"/>
      <c r="G193" s="1"/>
      <c r="H193" s="1"/>
      <c r="I193" s="1"/>
      <c r="J193" s="52"/>
      <c r="K193" s="52"/>
      <c r="L193" s="52"/>
      <c r="M193" s="52"/>
      <c r="N193" s="52"/>
      <c r="O193" s="1"/>
      <c r="P193" s="170" t="str">
        <f t="shared" si="9"/>
        <v/>
      </c>
    </row>
    <row r="194" spans="1:16" ht="15.75" customHeight="1">
      <c r="A194" s="1"/>
      <c r="B194" s="3"/>
      <c r="C194" s="1"/>
      <c r="D194" s="3"/>
      <c r="E194" s="3"/>
      <c r="F194" s="1"/>
      <c r="G194" s="1"/>
      <c r="H194" s="1"/>
      <c r="I194" s="1"/>
      <c r="J194" s="52"/>
      <c r="K194" s="52"/>
      <c r="L194" s="52"/>
      <c r="M194" s="52"/>
      <c r="N194" s="52"/>
      <c r="O194" s="1"/>
      <c r="P194" s="170" t="str">
        <f t="shared" si="9"/>
        <v/>
      </c>
    </row>
    <row r="195" spans="1:16" ht="15.75" customHeight="1">
      <c r="A195" s="1"/>
      <c r="B195" s="3"/>
      <c r="C195" s="1"/>
      <c r="D195" s="3"/>
      <c r="E195" s="3"/>
      <c r="F195" s="1"/>
      <c r="G195" s="1"/>
      <c r="H195" s="1"/>
      <c r="I195" s="1"/>
      <c r="J195" s="52"/>
      <c r="K195" s="52"/>
      <c r="L195" s="52"/>
      <c r="M195" s="52"/>
      <c r="N195" s="52"/>
      <c r="O195" s="1"/>
      <c r="P195" s="170" t="str">
        <f t="shared" si="9"/>
        <v/>
      </c>
    </row>
    <row r="196" spans="1:16" ht="15.75" customHeight="1">
      <c r="A196" s="1"/>
      <c r="B196" s="3"/>
      <c r="C196" s="1"/>
      <c r="D196" s="3"/>
      <c r="E196" s="3"/>
      <c r="F196" s="1"/>
      <c r="G196" s="1"/>
      <c r="H196" s="1"/>
      <c r="I196" s="1"/>
      <c r="J196" s="52"/>
      <c r="K196" s="52"/>
      <c r="L196" s="52"/>
      <c r="M196" s="52"/>
      <c r="N196" s="52"/>
      <c r="O196" s="1"/>
      <c r="P196" s="170" t="str">
        <f t="shared" si="9"/>
        <v/>
      </c>
    </row>
    <row r="197" spans="1:16" ht="15.75" customHeight="1">
      <c r="A197" s="1"/>
      <c r="B197" s="3"/>
      <c r="C197" s="1"/>
      <c r="D197" s="3"/>
      <c r="E197" s="3"/>
      <c r="F197" s="1"/>
      <c r="G197" s="1"/>
      <c r="H197" s="1"/>
      <c r="I197" s="1"/>
      <c r="J197" s="52"/>
      <c r="K197" s="52"/>
      <c r="L197" s="52"/>
      <c r="M197" s="52"/>
      <c r="N197" s="52"/>
      <c r="O197" s="1"/>
      <c r="P197" s="170" t="str">
        <f t="shared" si="9"/>
        <v/>
      </c>
    </row>
    <row r="198" spans="1:16" ht="15.75" customHeight="1">
      <c r="A198" s="1"/>
      <c r="B198" s="3"/>
      <c r="C198" s="1"/>
      <c r="D198" s="3"/>
      <c r="E198" s="3"/>
      <c r="F198" s="1"/>
      <c r="G198" s="1"/>
      <c r="H198" s="1"/>
      <c r="I198" s="1"/>
      <c r="J198" s="52"/>
      <c r="K198" s="52"/>
      <c r="L198" s="52"/>
      <c r="M198" s="52"/>
      <c r="N198" s="52"/>
      <c r="O198" s="1"/>
      <c r="P198" s="170" t="str">
        <f t="shared" si="9"/>
        <v/>
      </c>
    </row>
    <row r="199" spans="1:16" ht="15.75" customHeight="1">
      <c r="A199" s="1"/>
      <c r="B199" s="3"/>
      <c r="C199" s="1"/>
      <c r="D199" s="3"/>
      <c r="E199" s="3"/>
      <c r="F199" s="1"/>
      <c r="G199" s="1"/>
      <c r="H199" s="1"/>
      <c r="I199" s="1"/>
      <c r="J199" s="52"/>
      <c r="K199" s="52"/>
      <c r="L199" s="52"/>
      <c r="M199" s="52"/>
      <c r="N199" s="52"/>
      <c r="O199" s="1"/>
      <c r="P199" s="170" t="str">
        <f t="shared" si="9"/>
        <v/>
      </c>
    </row>
    <row r="200" spans="1:16" ht="15.75" customHeight="1">
      <c r="A200" s="1"/>
      <c r="B200" s="3"/>
      <c r="C200" s="1"/>
      <c r="D200" s="3"/>
      <c r="E200" s="3"/>
      <c r="F200" s="1"/>
      <c r="G200" s="1"/>
      <c r="H200" s="1"/>
      <c r="I200" s="1"/>
      <c r="J200" s="52"/>
      <c r="K200" s="52"/>
      <c r="L200" s="52"/>
      <c r="M200" s="52"/>
      <c r="N200" s="52"/>
      <c r="O200" s="1"/>
      <c r="P200" s="170" t="str">
        <f t="shared" si="9"/>
        <v/>
      </c>
    </row>
    <row r="201" spans="1:16" ht="15.75" customHeight="1">
      <c r="A201" s="1"/>
      <c r="B201" s="3"/>
      <c r="C201" s="1"/>
      <c r="D201" s="3"/>
      <c r="E201" s="3"/>
      <c r="F201" s="1"/>
      <c r="G201" s="1"/>
      <c r="H201" s="1"/>
      <c r="I201" s="1"/>
      <c r="J201" s="52"/>
      <c r="K201" s="52"/>
      <c r="L201" s="52"/>
      <c r="M201" s="52"/>
      <c r="N201" s="52"/>
      <c r="O201" s="1"/>
      <c r="P201" s="170" t="str">
        <f t="shared" si="9"/>
        <v/>
      </c>
    </row>
    <row r="202" spans="1:16" ht="15.75" customHeight="1">
      <c r="A202" s="1"/>
      <c r="B202" s="3"/>
      <c r="C202" s="1"/>
      <c r="D202" s="3"/>
      <c r="E202" s="3"/>
      <c r="F202" s="1"/>
      <c r="G202" s="1"/>
      <c r="H202" s="1"/>
      <c r="I202" s="1"/>
      <c r="J202" s="52"/>
      <c r="K202" s="52"/>
      <c r="L202" s="52"/>
      <c r="M202" s="52"/>
      <c r="N202" s="52"/>
      <c r="O202" s="1"/>
      <c r="P202" s="170" t="str">
        <f t="shared" si="9"/>
        <v/>
      </c>
    </row>
    <row r="203" spans="1:16" ht="15.75" customHeight="1">
      <c r="A203" s="1"/>
      <c r="B203" s="3"/>
      <c r="C203" s="1"/>
      <c r="D203" s="3"/>
      <c r="E203" s="3"/>
      <c r="F203" s="1"/>
      <c r="G203" s="1"/>
      <c r="H203" s="1"/>
      <c r="I203" s="1"/>
      <c r="J203" s="52"/>
      <c r="K203" s="52"/>
      <c r="L203" s="52"/>
      <c r="M203" s="52"/>
      <c r="N203" s="52"/>
      <c r="O203" s="1"/>
      <c r="P203" s="170" t="str">
        <f t="shared" si="9"/>
        <v/>
      </c>
    </row>
    <row r="204" spans="1:16" ht="15.75" customHeight="1">
      <c r="A204" s="1"/>
      <c r="B204" s="3"/>
      <c r="C204" s="1"/>
      <c r="D204" s="3"/>
      <c r="E204" s="3"/>
      <c r="F204" s="1"/>
      <c r="G204" s="1"/>
      <c r="H204" s="1"/>
      <c r="I204" s="1"/>
      <c r="J204" s="52"/>
      <c r="K204" s="52"/>
      <c r="L204" s="52"/>
      <c r="M204" s="52"/>
      <c r="N204" s="52"/>
      <c r="O204" s="1"/>
      <c r="P204" s="170" t="str">
        <f t="shared" si="9"/>
        <v/>
      </c>
    </row>
    <row r="205" spans="1:16" ht="15.75" customHeight="1">
      <c r="A205" s="1"/>
      <c r="B205" s="3"/>
      <c r="C205" s="1"/>
      <c r="D205" s="3"/>
      <c r="E205" s="3"/>
      <c r="F205" s="1"/>
      <c r="G205" s="1"/>
      <c r="H205" s="1"/>
      <c r="I205" s="1"/>
      <c r="J205" s="52"/>
      <c r="K205" s="52"/>
      <c r="L205" s="52"/>
      <c r="M205" s="52"/>
      <c r="N205" s="52"/>
      <c r="O205" s="1"/>
      <c r="P205" s="170" t="str">
        <f t="shared" si="9"/>
        <v/>
      </c>
    </row>
    <row r="206" spans="1:16" ht="15.75" customHeight="1">
      <c r="A206" s="1"/>
      <c r="B206" s="3"/>
      <c r="C206" s="1"/>
      <c r="D206" s="3"/>
      <c r="E206" s="3"/>
      <c r="F206" s="1"/>
      <c r="G206" s="1"/>
      <c r="H206" s="1"/>
      <c r="I206" s="1"/>
      <c r="J206" s="52"/>
      <c r="K206" s="52"/>
      <c r="L206" s="52"/>
      <c r="M206" s="52"/>
      <c r="N206" s="52"/>
      <c r="O206" s="1"/>
      <c r="P206" s="170" t="str">
        <f t="shared" si="9"/>
        <v/>
      </c>
    </row>
    <row r="207" spans="1:16" ht="15.75" customHeight="1">
      <c r="A207" s="1"/>
      <c r="B207" s="3"/>
      <c r="C207" s="1"/>
      <c r="D207" s="3"/>
      <c r="E207" s="3"/>
      <c r="F207" s="1"/>
      <c r="G207" s="1"/>
      <c r="H207" s="1"/>
      <c r="I207" s="1"/>
      <c r="J207" s="52"/>
      <c r="K207" s="52"/>
      <c r="L207" s="52"/>
      <c r="M207" s="52"/>
      <c r="N207" s="52"/>
      <c r="O207" s="1"/>
      <c r="P207" s="170" t="str">
        <f t="shared" si="9"/>
        <v/>
      </c>
    </row>
    <row r="208" spans="1:16" ht="15.75" customHeight="1">
      <c r="A208" s="1"/>
      <c r="B208" s="3"/>
      <c r="C208" s="1"/>
      <c r="D208" s="3"/>
      <c r="E208" s="3"/>
      <c r="F208" s="1"/>
      <c r="G208" s="1"/>
      <c r="H208" s="1"/>
      <c r="I208" s="1"/>
      <c r="J208" s="52"/>
      <c r="K208" s="52"/>
      <c r="L208" s="52"/>
      <c r="M208" s="52"/>
      <c r="N208" s="52"/>
      <c r="O208" s="1"/>
      <c r="P208" s="170" t="str">
        <f t="shared" si="9"/>
        <v/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Material </vt:lpstr>
      <vt:lpstr>Electrical </vt:lpstr>
      <vt:lpstr>Plumbing </vt:lpstr>
      <vt:lpstr>GI Pipes and Box bars</vt:lpstr>
      <vt:lpstr>Rates</vt:lpstr>
      <vt:lpstr>Steel Calculator</vt:lpstr>
      <vt:lpstr>Material</vt:lpstr>
      <vt:lpstr>Electrical</vt:lpstr>
      <vt:lpstr>Plumbing</vt:lpstr>
      <vt:lpstr>Ton</vt:lpstr>
      <vt:lpstr>tonprice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Muditha Aruppola</dc:creator>
  <cp:lastModifiedBy>Perera, Nipuna</cp:lastModifiedBy>
  <dcterms:created xsi:type="dcterms:W3CDTF">2024-08-29T06:37:23Z</dcterms:created>
  <dcterms:modified xsi:type="dcterms:W3CDTF">2025-02-11T04:16:08Z</dcterms:modified>
</cp:coreProperties>
</file>